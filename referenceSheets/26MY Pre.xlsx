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ck price" sheetId="1" r:id="rId5"/>
    <sheet state="visible" name="modelPricing" sheetId="2" r:id="rId6"/>
    <sheet state="visible" name="STINGRAY" sheetId="3" r:id="rId7"/>
    <sheet state="visible" name="Sheet5" sheetId="4" r:id="rId8"/>
    <sheet state="visible" name="Pivot Table 2" sheetId="5" r:id="rId9"/>
    <sheet state="visible" name="STINGRAY_INT" sheetId="6" r:id="rId10"/>
    <sheet state="visible" name="All_S" sheetId="7" r:id="rId11"/>
    <sheet state="visible" name="ERAY" sheetId="8" r:id="rId12"/>
    <sheet state="visible" name="Z06" sheetId="9" r:id="rId13"/>
    <sheet state="visible" name="ZR1" sheetId="10" r:id="rId14"/>
    <sheet state="visible" name="ZR1X" sheetId="11" r:id="rId15"/>
    <sheet state="visible" name="ERay.Z06_Int" sheetId="12" r:id="rId16"/>
    <sheet state="visible" name="All_E" sheetId="13" r:id="rId17"/>
    <sheet state="visible" name="All_Z" sheetId="14" r:id="rId18"/>
    <sheet state="visible" name="ZR1_INT" sheetId="15" r:id="rId19"/>
    <sheet state="visible" name="All_ZR" sheetId="16" r:id="rId20"/>
    <sheet state="visible" name="PriceRef" sheetId="17" r:id="rId21"/>
    <sheet state="visible" name="ZR1XPriceSchedule" sheetId="18" r:id="rId22"/>
    <sheet state="visible" name="PriceSchedule" sheetId="19" r:id="rId23"/>
    <sheet state="visible" name="Standard Equipment STINGRAY" sheetId="20" r:id="rId24"/>
    <sheet state="visible" name="Standard Equipment Z06" sheetId="21" r:id="rId25"/>
    <sheet state="visible" name="Standard Equipment ERAY" sheetId="22" r:id="rId26"/>
    <sheet state="visible" name="Standard Equipment ZR1" sheetId="23" r:id="rId27"/>
  </sheets>
  <definedNames>
    <definedName hidden="1" localSheetId="2" name="_xlnm._FilterDatabase">STINGRAY!$A$1:$G$133</definedName>
    <definedName hidden="1" localSheetId="5" name="Z_B85D8ECB_49C0_4569_B578_25F16D8E67D6_.wvu.FilterData">STINGRAY_INT!$A$1:$L$154</definedName>
    <definedName hidden="1" localSheetId="11" name="Z_B85D8ECB_49C0_4569_B578_25F16D8E67D6_.wvu.FilterData">ERay.Z06_Int!$A$1:$L$158</definedName>
    <definedName hidden="1" localSheetId="14" name="Z_B85D8ECB_49C0_4569_B578_25F16D8E67D6_.wvu.FilterData">ZR1_INT!$A$1:$L$109</definedName>
    <definedName hidden="1" localSheetId="5" name="Z_394DB86B_E24D_45B0_AA91_1500FAE92EF1_.wvu.FilterData">STINGRAY_INT!$A$1:$L$154</definedName>
    <definedName hidden="1" localSheetId="11" name="Z_394DB86B_E24D_45B0_AA91_1500FAE92EF1_.wvu.FilterData">ERay.Z06_Int!$A$1:$L$158</definedName>
    <definedName hidden="1" localSheetId="14" name="Z_394DB86B_E24D_45B0_AA91_1500FAE92EF1_.wvu.FilterData">ZR1_INT!$A$1:$L$109</definedName>
    <definedName hidden="1" localSheetId="5" name="Z_7334F225_E228_4992_B1DA_18CE0E932279_.wvu.FilterData">STINGRAY_INT!$A$1:$L$154</definedName>
    <definedName hidden="1" localSheetId="11" name="Z_7334F225_E228_4992_B1DA_18CE0E932279_.wvu.FilterData">ERay.Z06_Int!$A$1:$L$158</definedName>
    <definedName hidden="1" localSheetId="14" name="Z_7334F225_E228_4992_B1DA_18CE0E932279_.wvu.FilterData">ZR1_INT!$A$1:$L$109</definedName>
  </definedNames>
  <calcPr/>
  <customWorkbookViews>
    <customWorkbookView activeSheetId="0" maximized="1" windowHeight="0" windowWidth="0" guid="{B85D8ECB-49C0-4569-B578-25F16D8E67D6}" name="Group by Section [2]"/>
    <customWorkbookView activeSheetId="0" maximized="1" windowHeight="0" windowWidth="0" guid="{7334F225-E228-4992-B1DA-18CE0E932279}" name="Group by Section"/>
    <customWorkbookView activeSheetId="0" maximized="1" windowHeight="0" windowWidth="0" guid="{394DB86B-E24D-45B0-AA91-1500FAE92EF1}" name="Group by Seat"/>
  </customWorkbookViews>
  <pivotCaches>
    <pivotCache cacheId="0" r:id="rId28"/>
  </pivotCaches>
</workbook>
</file>

<file path=xl/sharedStrings.xml><?xml version="1.0" encoding="utf-8"?>
<sst xmlns="http://schemas.openxmlformats.org/spreadsheetml/2006/main" count="12983" uniqueCount="3147">
  <si>
    <t>Quick Price</t>
  </si>
  <si>
    <t>RPO</t>
  </si>
  <si>
    <t>Price</t>
  </si>
  <si>
    <t>ZR1X Coupe 3LZ</t>
  </si>
  <si>
    <t>R8E T0E</t>
  </si>
  <si>
    <t>3F9</t>
  </si>
  <si>
    <t>NGA</t>
  </si>
  <si>
    <t>PEF</t>
  </si>
  <si>
    <t>SBT</t>
  </si>
  <si>
    <t>BAZ</t>
  </si>
  <si>
    <t>E60</t>
  </si>
  <si>
    <t>ETV</t>
  </si>
  <si>
    <t>FA6</t>
  </si>
  <si>
    <t>J6E</t>
  </si>
  <si>
    <t>ZYC</t>
  </si>
  <si>
    <t>SPY</t>
  </si>
  <si>
    <t>SOG</t>
  </si>
  <si>
    <t>MSRP:</t>
  </si>
  <si>
    <t>Model</t>
  </si>
  <si>
    <t>Model Description</t>
  </si>
  <si>
    <t>List
Price</t>
  </si>
  <si>
    <t>MSRP(c)</t>
  </si>
  <si>
    <t>New DFC</t>
  </si>
  <si>
    <t>New List</t>
  </si>
  <si>
    <t>R8E</t>
  </si>
  <si>
    <t>LAST YEAR $$$ Incl DFC</t>
  </si>
  <si>
    <t>$ DIFF</t>
  </si>
  <si>
    <t>Diff Stingray</t>
  </si>
  <si>
    <t>Diff ERAY</t>
  </si>
  <si>
    <t>Diff Z06</t>
  </si>
  <si>
    <t>Diff ZR1</t>
  </si>
  <si>
    <t>Diff ZR1X</t>
  </si>
  <si>
    <t>1YC07</t>
  </si>
  <si>
    <t>Stingray Coupe 1LT</t>
  </si>
  <si>
    <t>Stingray Coupe 2LT</t>
  </si>
  <si>
    <t>Stingray Coupe 3LT</t>
  </si>
  <si>
    <t>1YC67</t>
  </si>
  <si>
    <t>Stingray Convertible 1LT</t>
  </si>
  <si>
    <t>Stingray Convertible 2LT</t>
  </si>
  <si>
    <t>Stingray Convertible 3LT</t>
  </si>
  <si>
    <t>1YG07</t>
  </si>
  <si>
    <t>E-Ray Coupe 1LZ</t>
  </si>
  <si>
    <t>E-Ray Coupe 2LZ</t>
  </si>
  <si>
    <t>E-Ray Coupe 3LZ</t>
  </si>
  <si>
    <t>1YG67</t>
  </si>
  <si>
    <t>E-Ray Convertible 1LZ</t>
  </si>
  <si>
    <t>E-Ray Convertible 2LZ</t>
  </si>
  <si>
    <t>E-Ray Convertible 3LZ</t>
  </si>
  <si>
    <t>1YH07</t>
  </si>
  <si>
    <t>Z06 Coupe 1LZ</t>
  </si>
  <si>
    <t>Z06 Coupe 2LZ</t>
  </si>
  <si>
    <t>Z06 Coupe 3LZ</t>
  </si>
  <si>
    <t>1YH67</t>
  </si>
  <si>
    <t>Z06 Convertible 1LZ</t>
  </si>
  <si>
    <t>Z06 Convertible 2LZ</t>
  </si>
  <si>
    <t>Z06 Convertible 3LZ</t>
  </si>
  <si>
    <t>1YR07</t>
  </si>
  <si>
    <t>ZR1 Coupe 1LZ</t>
  </si>
  <si>
    <t>ZR1 Coupe 3LZ</t>
  </si>
  <si>
    <t>1YR67</t>
  </si>
  <si>
    <t>ZR1 Convertible 1LZ</t>
  </si>
  <si>
    <t>ZR1 Convertible 3LZ</t>
  </si>
  <si>
    <t>1YS07</t>
  </si>
  <si>
    <t>ZR1X Coupe 1LZ</t>
  </si>
  <si>
    <t>1YS67</t>
  </si>
  <si>
    <t>ZR1X Convertible 1LZ</t>
  </si>
  <si>
    <t>ZR1X Convertible 3LZ</t>
  </si>
  <si>
    <t>RPO Code</t>
  </si>
  <si>
    <t>Name</t>
  </si>
  <si>
    <t>Detail</t>
  </si>
  <si>
    <t>Compatibility</t>
  </si>
  <si>
    <t>Category</t>
  </si>
  <si>
    <t>Section</t>
  </si>
  <si>
    <t>Column 8</t>
  </si>
  <si>
    <t>5DG</t>
  </si>
  <si>
    <t>20-Spoke Tech Bronze Forged Aluminum Rims</t>
  </si>
  <si>
    <t>Comes as a Second Set of Wheels. Includes Bronze center caps, Black wheel locks and Black Lugnuts</t>
  </si>
  <si>
    <t>Not available w/ R8C</t>
  </si>
  <si>
    <t>lpo, wheels</t>
  </si>
  <si>
    <t>Exterior Accessories</t>
  </si>
  <si>
    <t>5DO</t>
  </si>
  <si>
    <t>15-spoke Bright polished aluminum wheels</t>
  </si>
  <si>
    <t>Comes as a 2nd set of wheels</t>
  </si>
  <si>
    <t>Carbon Fiber</t>
  </si>
  <si>
    <t>5JR</t>
  </si>
  <si>
    <t>Visible Carbon Fiber Mirror Covers</t>
  </si>
  <si>
    <t xml:space="preserve">3LT/LZ only. Adds DRG carbon flash painted mirrors (N/C) </t>
  </si>
  <si>
    <t>3LT/LZ only. Available with 1LZ on ZR1.</t>
  </si>
  <si>
    <t>carbon_fiber, lpo</t>
  </si>
  <si>
    <t>Spoilers</t>
  </si>
  <si>
    <t>5V5</t>
  </si>
  <si>
    <t>High Wing Spoiler- Carbon Fiber Weave</t>
  </si>
  <si>
    <t>Not available at this time.</t>
  </si>
  <si>
    <t>spoilers, carbon_fiber</t>
  </si>
  <si>
    <t>Wheel Accessories</t>
  </si>
  <si>
    <t>5V7</t>
  </si>
  <si>
    <t>Black Ground Effects</t>
  </si>
  <si>
    <t xml:space="preserve">Includes STI and Front splitter. </t>
  </si>
  <si>
    <t>Requires 5V5, 5ZU, 5ZZ</t>
  </si>
  <si>
    <t>lpo</t>
  </si>
  <si>
    <t>Engine Appearance</t>
  </si>
  <si>
    <t>5ZC</t>
  </si>
  <si>
    <t>Jake Logo wheel center caps</t>
  </si>
  <si>
    <t>Custom Delivery</t>
  </si>
  <si>
    <t>5ZD</t>
  </si>
  <si>
    <t>Carbon Flash Center Caps w/ Crossed Flags logo</t>
  </si>
  <si>
    <t>Coupe Roof Panel</t>
  </si>
  <si>
    <t>5ZU</t>
  </si>
  <si>
    <t>High Wing Spoiler- Body color</t>
  </si>
  <si>
    <t>Deletes T0A Z51 rear spoiler when ordered with Z51 Performance Package.</t>
  </si>
  <si>
    <t xml:space="preserve">Requires exterior color G8G Arctic White, GBA Black or GKZ Torch Red, Not available with 5V5, 5ZW, 5ZZ, TVS, </t>
  </si>
  <si>
    <t>spoilers, lpo</t>
  </si>
  <si>
    <t>Interior Accessories</t>
  </si>
  <si>
    <t>5ZW</t>
  </si>
  <si>
    <t>Visible carbon fiber two-stanchion spoiler, LPO</t>
  </si>
  <si>
    <t>Deletes T0A Z51 rear spoiler when ordered with Z51 Performance Package</t>
  </si>
  <si>
    <t>Not available with 5V5, 5ZU, 5ZZ, TVS</t>
  </si>
  <si>
    <t>Convertible Roof Panel</t>
  </si>
  <si>
    <t>5ZZ</t>
  </si>
  <si>
    <t>High Wing Spoiler- Carbon Flash Painted</t>
  </si>
  <si>
    <t>Dealer Installed. Deletes T0A Z51 rear spoiler when ordered with Z51 Performance Package.</t>
  </si>
  <si>
    <t xml:space="preserve"> Not available with 5V5, 5ZW, 5ZZ, TVS, </t>
  </si>
  <si>
    <t>Stripes</t>
  </si>
  <si>
    <t>B6P</t>
  </si>
  <si>
    <t>Coupe Engine Appearance Package</t>
  </si>
  <si>
    <t>Includes Carbon Fiber Trim, D3V Engine Bay Lights, and SL9 Engine Specification Plaque</t>
  </si>
  <si>
    <t>engine_bay, carbon_fiber</t>
  </si>
  <si>
    <t>Mechanical</t>
  </si>
  <si>
    <t>BC7</t>
  </si>
  <si>
    <t>LT2 Engine Cover, Black</t>
  </si>
  <si>
    <t>Standard on Coupe. Includes metal Corvette nameplate</t>
  </si>
  <si>
    <t>Requires ZZ3 Engine appearance package on Convertible.</t>
  </si>
  <si>
    <t>engine_bay</t>
  </si>
  <si>
    <t>Accents</t>
  </si>
  <si>
    <t>BCP</t>
  </si>
  <si>
    <t>LPO, Engine Cover in Edge Red</t>
  </si>
  <si>
    <t xml:space="preserve">Includes D3V Engine Bay Lights on Coupe. </t>
  </si>
  <si>
    <t>When equipped with B6P on Coupe. Requires ZZ3 Engine appearance package on Convertible.</t>
  </si>
  <si>
    <t>engine_bay, lpo</t>
  </si>
  <si>
    <t>Badges</t>
  </si>
  <si>
    <t>BCP-s</t>
  </si>
  <si>
    <t>Not Equipped with B6P. Requires ZZ3 Engine appearance package on Convertible.</t>
  </si>
  <si>
    <t>Paint Color</t>
  </si>
  <si>
    <t>BCS</t>
  </si>
  <si>
    <t>LPO, Engine Cover in Sterling Silver</t>
  </si>
  <si>
    <t>Silver with metal Corvette nameplate.</t>
  </si>
  <si>
    <t>Brake Calipers</t>
  </si>
  <si>
    <t>BCS-s</t>
  </si>
  <si>
    <t>LPO Packages</t>
  </si>
  <si>
    <t>BV4</t>
  </si>
  <si>
    <t>Plaque, personalized, custom-made with your name and VIN</t>
  </si>
  <si>
    <t>Personalized plaque is included in museum delivery R8C, Plaque is located between the seats on the speaker grille.</t>
  </si>
  <si>
    <t>customdelivery</t>
  </si>
  <si>
    <t>Wheels</t>
  </si>
  <si>
    <t>C2Z</t>
  </si>
  <si>
    <t>Visible Carbon Fiber weave w/body color border roof panel</t>
  </si>
  <si>
    <t>roof, carbon_fiber</t>
  </si>
  <si>
    <t>Car Covers</t>
  </si>
  <si>
    <t>CAV</t>
  </si>
  <si>
    <t>Contoured Cargo Area Liners w/ Jake logo</t>
  </si>
  <si>
    <t>Included w/PEF. Stingray and Z06 include both cargo areas. E-Ray and ZR1 rear trunk only</t>
  </si>
  <si>
    <t>CC3</t>
  </si>
  <si>
    <t>Transparent Glass roof panel</t>
  </si>
  <si>
    <t>roof</t>
  </si>
  <si>
    <t>CF7</t>
  </si>
  <si>
    <t>Body-Color Carbon Roof panel</t>
  </si>
  <si>
    <t>Standard</t>
  </si>
  <si>
    <t>CF8</t>
  </si>
  <si>
    <t>Electrochromic Dimming Roof Panel</t>
  </si>
  <si>
    <t xml:space="preserve">Electrochromic dimming, removable. </t>
  </si>
  <si>
    <t>Not available on 1LT, 1LZ. Not available with any Full Length Dual Racing Stripes (DPB, DPC, DPG, DPL, DPT, DSY, DSZ, DT0, DTB, DTH, DUB, DUK, DUW).</t>
  </si>
  <si>
    <t>CM9</t>
  </si>
  <si>
    <t>Body-Color roof and nacelles</t>
  </si>
  <si>
    <t>D3V</t>
  </si>
  <si>
    <t>Engine Bay, Lights only</t>
  </si>
  <si>
    <t>Coupe Only. Included with BCP, BCS, B6P, BCW.</t>
  </si>
  <si>
    <t>D84</t>
  </si>
  <si>
    <t>Carbon Flash painted nacelles and roof</t>
  </si>
  <si>
    <t>Not available w/ GBA Black</t>
  </si>
  <si>
    <t>D86</t>
  </si>
  <si>
    <t>Carbon Flash painted nacelles and body color roof</t>
  </si>
  <si>
    <t>DPB</t>
  </si>
  <si>
    <t>Carbon Flash with Blue accent Full Length Dual Racing Stripes</t>
  </si>
  <si>
    <t>Not available with exterior color GJV Riptide Blue Metallic, GMO Rapid Blue, or GXL Hysteria Purple.</t>
  </si>
  <si>
    <t>stripes</t>
  </si>
  <si>
    <t>DPC</t>
  </si>
  <si>
    <t>Carbon Flash with Yellow accent Full Length Dual Racing Stripes</t>
  </si>
  <si>
    <t>Not available with exterior color GBK Competition Yellow Tintcoat Metallic.</t>
  </si>
  <si>
    <t>DPG</t>
  </si>
  <si>
    <t>Carbon Flash with Orange accent Full Length Dual Racing Stripes</t>
  </si>
  <si>
    <t>Not available with exterior color G26 Sebring Orange Tintcoat.</t>
  </si>
  <si>
    <t>DPL</t>
  </si>
  <si>
    <t>Carbon Flash with Red accent Full Length Dual Racing Stripes</t>
  </si>
  <si>
    <t>Not available with exterior color GKZ Torch Red or GPH Red Mist Metallic Tintcoat.</t>
  </si>
  <si>
    <t>DPT</t>
  </si>
  <si>
    <t>Carbon Flash with Silver accent Full Length Dual Racing Stripes</t>
  </si>
  <si>
    <t>DSY</t>
  </si>
  <si>
    <t>Edge Orange Full Length Dual Racing Stripe</t>
  </si>
  <si>
    <t>DSZ</t>
  </si>
  <si>
    <t>Edge Red Full Length Dual Racing Stripe</t>
  </si>
  <si>
    <t>DT0</t>
  </si>
  <si>
    <t>Competition Yellow Full Length Dual Racing Stripe</t>
  </si>
  <si>
    <t>DTH</t>
  </si>
  <si>
    <t>Carbon Flash Full Length Dual Racing Stripe</t>
  </si>
  <si>
    <t>DUB</t>
  </si>
  <si>
    <t>Sterling Silver Full Length Dual Racing Stripe</t>
  </si>
  <si>
    <t>DUK</t>
  </si>
  <si>
    <t>Asymmetrical Adrenaline Red/Carbon Flash Full Length Dual Racing Stripes</t>
  </si>
  <si>
    <t xml:space="preserve"> Not available with exterior color (GKZ) Torch Red or (GPH) Red Mist Metallic Tintcoat.</t>
  </si>
  <si>
    <t>DUW</t>
  </si>
  <si>
    <t>Edge Blue Full Length Dual Racing Stripe</t>
  </si>
  <si>
    <t>DZU</t>
  </si>
  <si>
    <t>Stinger Stripe, Carbon Flash/ Competition Yellow</t>
  </si>
  <si>
    <t>DZV</t>
  </si>
  <si>
    <t>Stinger Stripe, Carbon Flash/ Midnight Silver</t>
  </si>
  <si>
    <t>DZX</t>
  </si>
  <si>
    <t>Stinger Stripe, Carbon Flash/ Edge Red</t>
  </si>
  <si>
    <t>Front lift adjustable height w/ memory</t>
  </si>
  <si>
    <t>2LT/Z or 3LT/Z trim level only</t>
  </si>
  <si>
    <t>mechanical</t>
  </si>
  <si>
    <t>EFR</t>
  </si>
  <si>
    <t>Carbon Flash exterior accents</t>
  </si>
  <si>
    <t>Standard Carbon Flash.  Includes side vents and front/rear grille accents. Includes tonneau vent on convertible. Includes rockers on E-Ray and Z06</t>
  </si>
  <si>
    <t>accents</t>
  </si>
  <si>
    <t>EFY</t>
  </si>
  <si>
    <t>Body Color exterior accents</t>
  </si>
  <si>
    <t xml:space="preserve">Includes side vents and front/rear grille accents. Includes tonneau vent on convertible. </t>
  </si>
  <si>
    <t>Not available with Black [GBA]</t>
  </si>
  <si>
    <t>ERI</t>
  </si>
  <si>
    <t>Battery Protection Package</t>
  </si>
  <si>
    <t>Battery tender used to keep the battery charged when vehicle is stored for long periods of time.</t>
  </si>
  <si>
    <t>EYK</t>
  </si>
  <si>
    <t>Chrome Exterior Badge Package</t>
  </si>
  <si>
    <t>Includes badges on the nose and decklid, "Corvette" script on rear, and lower rocker badge on wide-body models.</t>
  </si>
  <si>
    <t>badges</t>
  </si>
  <si>
    <t>EYT</t>
  </si>
  <si>
    <t>Carbon Flash Exterior Badge Package</t>
  </si>
  <si>
    <t>Standard. Includes badges on the nose and decklid, "Corvette" script on rear, and lower rocker badge on wide-body models.</t>
  </si>
  <si>
    <t>FE2</t>
  </si>
  <si>
    <t>Magnetic Selective Ride Control without Z51 package</t>
  </si>
  <si>
    <t>NON-Z51</t>
  </si>
  <si>
    <t>Without Z51</t>
  </si>
  <si>
    <t>FE4</t>
  </si>
  <si>
    <t>Magnetic Selective Ride Control with PTM</t>
  </si>
  <si>
    <t>Z51, Includes Performance Traction Management</t>
  </si>
  <si>
    <t>With Z51</t>
  </si>
  <si>
    <t>G26</t>
  </si>
  <si>
    <t>Sebring Orange Tintcoat</t>
  </si>
  <si>
    <t>Premium Tintcoat Color new</t>
  </si>
  <si>
    <t>paint</t>
  </si>
  <si>
    <t>G4Z</t>
  </si>
  <si>
    <t>Roswell Green Metallic exterior color (extra cost)</t>
  </si>
  <si>
    <t>new Premium Color</t>
  </si>
  <si>
    <t>G8G</t>
  </si>
  <si>
    <t>Arctic White</t>
  </si>
  <si>
    <t>GBA</t>
  </si>
  <si>
    <t>Black</t>
  </si>
  <si>
    <t>GBK</t>
  </si>
  <si>
    <t>Competition Yellow Tintcoat Metallic</t>
  </si>
  <si>
    <t>GJV</t>
  </si>
  <si>
    <t>Riptide Blue Metallic</t>
  </si>
  <si>
    <t>GKA</t>
  </si>
  <si>
    <t>Blade Silver Metallic exterior color</t>
  </si>
  <si>
    <t>new</t>
  </si>
  <si>
    <t>GKZ</t>
  </si>
  <si>
    <t>Torch Red</t>
  </si>
  <si>
    <t>GPH</t>
  </si>
  <si>
    <t>Red Mist Metallic Tintcoat</t>
  </si>
  <si>
    <t>Premium Tintcoat Color</t>
  </si>
  <si>
    <t>GXL</t>
  </si>
  <si>
    <t>Hysteria Purple Metallic</t>
  </si>
  <si>
    <t>J6A</t>
  </si>
  <si>
    <t>Black Painted Calipers</t>
  </si>
  <si>
    <t>Standard, Gloss finish. Not available with J57</t>
  </si>
  <si>
    <t>Not available with J57 ceramic brakes</t>
  </si>
  <si>
    <t>calipers</t>
  </si>
  <si>
    <t>Velocity Yellow Painted Calipers</t>
  </si>
  <si>
    <t>Gloss finish</t>
  </si>
  <si>
    <t>J6F</t>
  </si>
  <si>
    <t>Bright Red Painted Calipers</t>
  </si>
  <si>
    <t>J6N</t>
  </si>
  <si>
    <t>Edge Red Painted Calipers</t>
  </si>
  <si>
    <t>Darker shade of red, satin finish</t>
  </si>
  <si>
    <t>Black Exhaust Tips</t>
  </si>
  <si>
    <t>Requires NPP (Stingray)</t>
  </si>
  <si>
    <t>Requires NPP</t>
  </si>
  <si>
    <t>NPP</t>
  </si>
  <si>
    <t>Performance Exhaust</t>
  </si>
  <si>
    <t>NON-Z51, Adds 5hp and 5lb/ft tq. Standard on Z51</t>
  </si>
  <si>
    <t>PCU</t>
  </si>
  <si>
    <t>Stingray Protection Package</t>
  </si>
  <si>
    <t>Includes VWE front grille screens, STI black composite rocker extensions, and VQK splash guards. Not available with 5V7 ground effects.</t>
  </si>
  <si>
    <t>Not available with 5V7 ground effects.</t>
  </si>
  <si>
    <t>PCX</t>
  </si>
  <si>
    <t>Tech Bronze Accent Package</t>
  </si>
  <si>
    <t>Includes 5DG, SFZ, SHT, and SNG</t>
  </si>
  <si>
    <t>Not available with EYK, PDV, SB7 or stripes DPB, DPC, DPG, DPL, DPT, DSY, DSZ, DT0, DTH, DUB, DUW, DZU, DZV, DZX</t>
  </si>
  <si>
    <t>lpo, wheels, stripes, badges</t>
  </si>
  <si>
    <t>PDV</t>
  </si>
  <si>
    <t>Stingray R Appearance Package</t>
  </si>
  <si>
    <t>Includes SB7 and VWD</t>
  </si>
  <si>
    <t>lpo, stripes</t>
  </si>
  <si>
    <t>PDY</t>
  </si>
  <si>
    <t>Roadside Safety Package</t>
  </si>
  <si>
    <t>Includes First Aid Kit RYT and Highway Safety Kit S08</t>
  </si>
  <si>
    <t>Contoured Liner Protection Package</t>
  </si>
  <si>
    <t>Includes CAV and RIA. ZR1 includes rear cargo liner only</t>
  </si>
  <si>
    <t>PIN</t>
  </si>
  <si>
    <t>Customer selectable VIN ending*</t>
  </si>
  <si>
    <t>This option is subject to restrictions and approval.</t>
  </si>
  <si>
    <t>Q99</t>
  </si>
  <si>
    <t>20 Spoke Bright Machined-face</t>
  </si>
  <si>
    <t>(19" x 8.5" Front / 20" x 11" Rear) Forged Aluminum Rims</t>
  </si>
  <si>
    <t>wheels</t>
  </si>
  <si>
    <t>Q9A</t>
  </si>
  <si>
    <t>20 Spoke Midnight Gray w/ Red Stripe</t>
  </si>
  <si>
    <t>Q9I</t>
  </si>
  <si>
    <t>20 Spoke Gloss Black</t>
  </si>
  <si>
    <t>Q9O</t>
  </si>
  <si>
    <t>5-split-spoke Satin Graphite with machined edge</t>
  </si>
  <si>
    <t>Q9Y</t>
  </si>
  <si>
    <t>5-split spoke machined-face Sterling Silver-painted</t>
  </si>
  <si>
    <t>QE5</t>
  </si>
  <si>
    <t>5-split spoke Black Painted</t>
  </si>
  <si>
    <t>QEB</t>
  </si>
  <si>
    <t>5-split-spoke Pearl Nickel forged aluminum wheels</t>
  </si>
  <si>
    <t>Standard (19" x 8.5" Front / 20" x 11" Rear) Forged Aluminum Rims</t>
  </si>
  <si>
    <t>R88</t>
  </si>
  <si>
    <t>NEW!  LPO, Illuminated crossed flags emblem</t>
  </si>
  <si>
    <t>Not available at start of production.</t>
  </si>
  <si>
    <t>Not available with (SFZ) Dark Stealth crossed flags emblems, LPO, (EYK) Chrome Exterior Badge Package or any Full Length Dual Racing Stripes (DPB, DPC, DPG, DPL, DPT, DSY, DSZ, DT0, DTB, DTH, DUB, DUK, DUK, DUW).</t>
  </si>
  <si>
    <t>R8C</t>
  </si>
  <si>
    <t>Corvette Museum Delivery</t>
  </si>
  <si>
    <t>Guided VIP tour of the Corvette Assembly Plant (when available) for customer and 3 guests, Guided VIP tour of the NCM where the owner will see their Corvette on display, Quality, detailed orientation of the car by Delivery Team Guide, Celebratory drive out of the Museum (complimentary SD card to record for those with PDR), Unique gold RSC decal placed on the inside of the driver's door jamb, Custom interior dash plaque, Individual one-year NCM membership, Commemorative wall plaque with nameplate (customer's name, date of delivery, VIN#), Opportunity to purchase exclusive apparel, bricks and build sheet, Delivery can be viewed world-wide via our live webcams, Photos of the customer with the car (shared via email)</t>
  </si>
  <si>
    <t>RIA</t>
  </si>
  <si>
    <t>All Weather floor liner w/ Jake logo</t>
  </si>
  <si>
    <t>Included w/PEF</t>
  </si>
  <si>
    <t>RIK</t>
  </si>
  <si>
    <t>Rear Corvette Script, Torch Red</t>
  </si>
  <si>
    <t>Not available with SL8, RIN</t>
  </si>
  <si>
    <t>RIN</t>
  </si>
  <si>
    <t>Rear Corvette Script, Arctic White</t>
  </si>
  <si>
    <t>Not available with SL8, RIK</t>
  </si>
  <si>
    <t>RNX</t>
  </si>
  <si>
    <t>Premium outdoor car cover, Gray, Stingray logo, access panels</t>
  </si>
  <si>
    <t>Not available with High Wing</t>
  </si>
  <si>
    <t>RWH</t>
  </si>
  <si>
    <t>Premium Indoor car cover, Black with crossed flags logo</t>
  </si>
  <si>
    <t>RWJ</t>
  </si>
  <si>
    <t>Premium outdoor car cover, Gray w/ Crossed Flags logo &amp; Vette Silhouette</t>
  </si>
  <si>
    <t>RWU</t>
  </si>
  <si>
    <t>Cargo Area Organizer, collapsible</t>
  </si>
  <si>
    <t>RXH</t>
  </si>
  <si>
    <t>Silver wheel center caps w/ Stingray logo &amp; Red outline</t>
  </si>
  <si>
    <t>RXJ</t>
  </si>
  <si>
    <t>Black wheel center caps with Gray Stingray logo</t>
  </si>
  <si>
    <t>RYQ</t>
  </si>
  <si>
    <t>Visible Carbon Fiber Door Intake Trim</t>
  </si>
  <si>
    <t xml:space="preserve">Not available with (EFY) body-color exterior accents. </t>
  </si>
  <si>
    <t>RYT</t>
  </si>
  <si>
    <t>First Aid Kit, Genuine Corvette Accessory</t>
  </si>
  <si>
    <t>Included in PDY</t>
  </si>
  <si>
    <t>RZ9</t>
  </si>
  <si>
    <t>Visible Carbon Fiber Grille Insert</t>
  </si>
  <si>
    <t>Not available at this time, Not available with EFY body-color exterior accents.</t>
  </si>
  <si>
    <t>S08</t>
  </si>
  <si>
    <t>Highway Safety Kit, Genuine Corvette Accessory</t>
  </si>
  <si>
    <t>S2L</t>
  </si>
  <si>
    <t>Premium Leather weekend travel bags</t>
  </si>
  <si>
    <t>Set of 2</t>
  </si>
  <si>
    <t>S47</t>
  </si>
  <si>
    <t>Chrome lug nuts</t>
  </si>
  <si>
    <t>SB7</t>
  </si>
  <si>
    <t>Corvette Racing themed graphics w/ Jake and Stingray R logos</t>
  </si>
  <si>
    <t>Dealer Installed</t>
  </si>
  <si>
    <t>SC7</t>
  </si>
  <si>
    <t>Roof panel storage pouch</t>
  </si>
  <si>
    <t>Keeps roof panel protected when storing OUTSIDE of car. Can NOT store roof panel in pouch and put in rear trunk; damage can occur to the roof panel and trunk lid.</t>
  </si>
  <si>
    <t>Coupe only</t>
  </si>
  <si>
    <t>SDA</t>
  </si>
  <si>
    <t>Black recovery hook</t>
  </si>
  <si>
    <t>SFE</t>
  </si>
  <si>
    <t>Wheel locks</t>
  </si>
  <si>
    <t>SFZ</t>
  </si>
  <si>
    <t>Dark Stealth crossed flags emblem</t>
  </si>
  <si>
    <t>Not available with EYK Chrome Exterior Badge Package or any Full Length Dual Racing Stripes DPB, DPC, DPG, DPL, DPT, DSY, DSZ, DT0, DTB, DTH, DUB, DUW, Included with PCX/PCZ Tech Bronze Accent Package, LPO.</t>
  </si>
  <si>
    <t>SHQ</t>
  </si>
  <si>
    <t>Fender hash stripes, Silver with Carbon Flash Metallic accent</t>
  </si>
  <si>
    <t>SHT</t>
  </si>
  <si>
    <t>Jake Hood Graphic w/ Tech Bronze Accent</t>
  </si>
  <si>
    <t>SHW</t>
  </si>
  <si>
    <t>Fender hash stripes, Carbon Flash Metallic with Edge Red accent</t>
  </si>
  <si>
    <t>SL1</t>
  </si>
  <si>
    <t>Premium Indoor car cover, Red w/ Stingray Logo</t>
  </si>
  <si>
    <t>SL8</t>
  </si>
  <si>
    <t>Rear Corvette Script, Edge Red</t>
  </si>
  <si>
    <t>Not available with RIK, RIN</t>
  </si>
  <si>
    <t>SL9</t>
  </si>
  <si>
    <t>Engine Specification Plaque</t>
  </si>
  <si>
    <t>Included with B6P/ZZ3 Engine Appearance Package new</t>
  </si>
  <si>
    <t>SLK</t>
  </si>
  <si>
    <t>Red Strut Bracket</t>
  </si>
  <si>
    <t>Coupe only. LPO</t>
  </si>
  <si>
    <t>SLN</t>
  </si>
  <si>
    <t>Visible Carbon Fiber Engine Cross Brace w/ Jake Logo</t>
  </si>
  <si>
    <t>Not available with RXI</t>
  </si>
  <si>
    <t>carbon_fiber, engine_bay, lpo</t>
  </si>
  <si>
    <t>SNG</t>
  </si>
  <si>
    <t>Fender hash stripes, Carbon Flash Metallic with Tech Bronze Accent</t>
  </si>
  <si>
    <t>Black lug nuts</t>
  </si>
  <si>
    <t>SPZ</t>
  </si>
  <si>
    <t>Black wheel locks</t>
  </si>
  <si>
    <t>Requires SPY Black lug nuts</t>
  </si>
  <si>
    <t>STI</t>
  </si>
  <si>
    <t>Composite rockers, molded in Black</t>
  </si>
  <si>
    <t>Not available with (5V7) Black Ground Effects, LPO. Included with (PCU) Stingray Protection Package, LPO.</t>
  </si>
  <si>
    <t>SXB</t>
  </si>
  <si>
    <t>Suede Frunk and Trunk Liner, Black</t>
  </si>
  <si>
    <t>SXR</t>
  </si>
  <si>
    <t>Suede Frunk and Trunk Liner, Red</t>
  </si>
  <si>
    <t>SXT</t>
  </si>
  <si>
    <t>Suede Frunk and Trunk Liner, Tan</t>
  </si>
  <si>
    <t>T0A</t>
  </si>
  <si>
    <t>Z51 Rear Spoiler</t>
  </si>
  <si>
    <t>Only available with Z51</t>
  </si>
  <si>
    <t>spoilers</t>
  </si>
  <si>
    <t>TVS</t>
  </si>
  <si>
    <t>Low rear spoiler and front splitter</t>
  </si>
  <si>
    <t>No cost with Z51</t>
  </si>
  <si>
    <t>V8X</t>
  </si>
  <si>
    <t>Visible Carbon Fiber Sill Plates</t>
  </si>
  <si>
    <t>Corvette Script and sillhouette logo</t>
  </si>
  <si>
    <t>VK3</t>
  </si>
  <si>
    <t>License Plate Bracket, Front</t>
  </si>
  <si>
    <t>(Auto Shipped to Required States)</t>
  </si>
  <si>
    <t>VQK</t>
  </si>
  <si>
    <t>Custom splash guards, molded in Black</t>
  </si>
  <si>
    <t>VTB</t>
  </si>
  <si>
    <t>Rear Fascia/roof storage protector Black w/ Crossed flags logo</t>
  </si>
  <si>
    <t>VUP</t>
  </si>
  <si>
    <t>Engine Bay Closeout Graphics</t>
  </si>
  <si>
    <t>lpo, engine_bay</t>
  </si>
  <si>
    <t>VWD</t>
  </si>
  <si>
    <t>Stingray R logo wheel center caps</t>
  </si>
  <si>
    <t>VWE</t>
  </si>
  <si>
    <t>Front radiator grille guards</t>
  </si>
  <si>
    <t>VYW</t>
  </si>
  <si>
    <t>Premium Floor mats, carpeted w/ Car silhouette logo</t>
  </si>
  <si>
    <t>Z06 has Z06 logo instead of Car silhouette.</t>
  </si>
  <si>
    <t>W2D</t>
  </si>
  <si>
    <t>Cargo net set</t>
  </si>
  <si>
    <t>1LT/LZ only</t>
  </si>
  <si>
    <t>1LT 1LZ only</t>
  </si>
  <si>
    <t>WKQ</t>
  </si>
  <si>
    <t>Premium Indoor car cover, Black, crossed flags logo, access panels</t>
  </si>
  <si>
    <t>WKR</t>
  </si>
  <si>
    <t>NEW!  LPO, Premium indoor car cover, GT3.R, fully rendered</t>
  </si>
  <si>
    <t>Z51</t>
  </si>
  <si>
    <t>Z51 Performance Package</t>
  </si>
  <si>
    <t>Includes (J55) Z51 performance brakes, (FE3) Z51 performance suspension, (NPP) performance exhaust, (GM7) performance rear axle ratio, (G96) Electronic Limited Slip Differential (eLSD), (T0A) Z51 rear spoiler, front splitter, (QUD) 245/35ZR19 front and 305/30ZR20 rear, blackwall, high performance tires and (V08) heavy-duty cooling system</t>
  </si>
  <si>
    <t>mechanical, spoilers</t>
  </si>
  <si>
    <t>ZF1</t>
  </si>
  <si>
    <t>Aero Delete</t>
  </si>
  <si>
    <t>Carbon Flash Metallic painted outside mirrors and spoiler</t>
  </si>
  <si>
    <t>Also paints Spoiler IF equipped with Z51, TVS, or T0E</t>
  </si>
  <si>
    <t>ZZ3</t>
  </si>
  <si>
    <t>Convertible Engine Appearance Package</t>
  </si>
  <si>
    <t>Includes window under tonneau cover, Black engine cover and (SL9) engine specification plaque.</t>
  </si>
  <si>
    <t>Body Style</t>
  </si>
  <si>
    <t>6157]</t>
  </si>
  <si>
    <t xml:space="preserve">[if </t>
  </si>
  <si>
    <t>[</t>
  </si>
  <si>
    <t xml:space="preserve">[/if </t>
  </si>
  <si>
    <t>Trim Level</t>
  </si>
  <si>
    <t>6158]</t>
  </si>
  <si>
    <t>Config Total</t>
  </si>
  <si>
    <t>6164]</t>
  </si>
  <si>
    <t>Config Total1</t>
  </si>
  <si>
    <t>6165]</t>
  </si>
  <si>
    <t>Color</t>
  </si>
  <si>
    <t>6168]</t>
  </si>
  <si>
    <t>6169]</t>
  </si>
  <si>
    <t>Backup Wheels</t>
  </si>
  <si>
    <t>6172]</t>
  </si>
  <si>
    <t>6174]</t>
  </si>
  <si>
    <t>6175]</t>
  </si>
  <si>
    <t>Convertible Roof and Nacelles</t>
  </si>
  <si>
    <t>6176]</t>
  </si>
  <si>
    <t>GBA Roof Panel</t>
  </si>
  <si>
    <t>6177]</t>
  </si>
  <si>
    <t>6178]</t>
  </si>
  <si>
    <t>6179]</t>
  </si>
  <si>
    <t>Accents w GBA</t>
  </si>
  <si>
    <t>6180]</t>
  </si>
  <si>
    <t>Outside Mirrors</t>
  </si>
  <si>
    <t>6181]</t>
  </si>
  <si>
    <t>Engine Appearance Package</t>
  </si>
  <si>
    <t>6183]</t>
  </si>
  <si>
    <t>Engine Cover without Appearance Package</t>
  </si>
  <si>
    <t>6186]</t>
  </si>
  <si>
    <t>Engine Cover with Appearance Package</t>
  </si>
  <si>
    <t>6187]</t>
  </si>
  <si>
    <t>Engine Bay Lights</t>
  </si>
  <si>
    <t>6188]</t>
  </si>
  <si>
    <t>Carbon Fiber Cross Brace</t>
  </si>
  <si>
    <t>6189]</t>
  </si>
  <si>
    <t>Rear Hatch Brace</t>
  </si>
  <si>
    <t>6190]</t>
  </si>
  <si>
    <t>Engine Closeout Graphics</t>
  </si>
  <si>
    <t>6191]</t>
  </si>
  <si>
    <t>engine bay total</t>
  </si>
  <si>
    <t>6192]</t>
  </si>
  <si>
    <t>Convertible Engine Appearance +BC7</t>
  </si>
  <si>
    <t>6195]</t>
  </si>
  <si>
    <t>Engine Appearance BCP/BCS</t>
  </si>
  <si>
    <t>6196]</t>
  </si>
  <si>
    <t>Engine Cover ZZ3</t>
  </si>
  <si>
    <t>6197]</t>
  </si>
  <si>
    <t>Engine Spec Plaque</t>
  </si>
  <si>
    <t>6199]</t>
  </si>
  <si>
    <t>Carbon Fiber Intake Trim</t>
  </si>
  <si>
    <t>6201]</t>
  </si>
  <si>
    <t>Carbon Fiber Accessories</t>
  </si>
  <si>
    <t>6202]</t>
  </si>
  <si>
    <t>N/A Carbon Fiber Accessories</t>
  </si>
  <si>
    <t>6203]</t>
  </si>
  <si>
    <t>Exterior total</t>
  </si>
  <si>
    <t>6205]</t>
  </si>
  <si>
    <t>Exterior Total2</t>
  </si>
  <si>
    <t>6206]</t>
  </si>
  <si>
    <t>Performance Package</t>
  </si>
  <si>
    <t>6209]</t>
  </si>
  <si>
    <t>nonZ51 Spoiler</t>
  </si>
  <si>
    <t>6213]</t>
  </si>
  <si>
    <t>Z51 Spoiler</t>
  </si>
  <si>
    <t>6214]</t>
  </si>
  <si>
    <t>RWB Z51 Spoiler</t>
  </si>
  <si>
    <t>6217]</t>
  </si>
  <si>
    <t>RWB nonZ51 Spoiler</t>
  </si>
  <si>
    <t>6218]</t>
  </si>
  <si>
    <t>Magnetic Ride Control w/o Z51</t>
  </si>
  <si>
    <t>6220]</t>
  </si>
  <si>
    <t>Magnetic Ride Control with Z51</t>
  </si>
  <si>
    <t>6221]</t>
  </si>
  <si>
    <t>6222]</t>
  </si>
  <si>
    <t>Exhaust Tips</t>
  </si>
  <si>
    <t>6223]</t>
  </si>
  <si>
    <t>6224]</t>
  </si>
  <si>
    <t>Front Lift w/ memory</t>
  </si>
  <si>
    <t>6225]</t>
  </si>
  <si>
    <t>Performance Data Recorder</t>
  </si>
  <si>
    <t>6226]</t>
  </si>
  <si>
    <t>Mechanical Total</t>
  </si>
  <si>
    <t>6228]</t>
  </si>
  <si>
    <t>Mechanical Total3</t>
  </si>
  <si>
    <t>6229]</t>
  </si>
  <si>
    <t>1LT Seats</t>
  </si>
  <si>
    <t>6233]</t>
  </si>
  <si>
    <t>1LT Int Colors</t>
  </si>
  <si>
    <t>6235]</t>
  </si>
  <si>
    <t>1LT Competition Seat Int color</t>
  </si>
  <si>
    <t>6238]</t>
  </si>
  <si>
    <t>1LT N26</t>
  </si>
  <si>
    <t>6239]</t>
  </si>
  <si>
    <t>1LT Int Total</t>
  </si>
  <si>
    <t>6241]</t>
  </si>
  <si>
    <t>2LT Seats</t>
  </si>
  <si>
    <t>6242]</t>
  </si>
  <si>
    <t>2LT GT1 Colors</t>
  </si>
  <si>
    <t>6244]</t>
  </si>
  <si>
    <t>2LT GT2 Napa Colors</t>
  </si>
  <si>
    <t>6247]</t>
  </si>
  <si>
    <t>Two Tone Seats</t>
  </si>
  <si>
    <t>6248]</t>
  </si>
  <si>
    <t>2LT AE4 Napa Colors</t>
  </si>
  <si>
    <t>6251]</t>
  </si>
  <si>
    <t>2LT Int Total</t>
  </si>
  <si>
    <t>6253]</t>
  </si>
  <si>
    <t>3LT Seats</t>
  </si>
  <si>
    <t>6254]</t>
  </si>
  <si>
    <t>AUP Driver Competition Passenger GT2</t>
  </si>
  <si>
    <t>6256]</t>
  </si>
  <si>
    <t>3LT GT2 Colors</t>
  </si>
  <si>
    <t>6259]</t>
  </si>
  <si>
    <t>6260]</t>
  </si>
  <si>
    <t>GT2 R6X Colors</t>
  </si>
  <si>
    <t>6263]</t>
  </si>
  <si>
    <t>6264]</t>
  </si>
  <si>
    <t>3LT AE4 Colors</t>
  </si>
  <si>
    <t>6267]</t>
  </si>
  <si>
    <t>AE4 R6X Colors</t>
  </si>
  <si>
    <t>6270]</t>
  </si>
  <si>
    <t>Natural Tan Seatbelt</t>
  </si>
  <si>
    <t>6272]</t>
  </si>
  <si>
    <t>Red Seatbelt w/ HNK</t>
  </si>
  <si>
    <t>6273]</t>
  </si>
  <si>
    <t>Blue Seatbelt w/ H8T</t>
  </si>
  <si>
    <t>6274]</t>
  </si>
  <si>
    <t>Orange Seatbelt w/ Habanero</t>
  </si>
  <si>
    <t>6275]</t>
  </si>
  <si>
    <t>3LT Int Total</t>
  </si>
  <si>
    <t>6276]</t>
  </si>
  <si>
    <t>Interior Trim</t>
  </si>
  <si>
    <t>6278]</t>
  </si>
  <si>
    <t>Carbon Fiber Interior Trim</t>
  </si>
  <si>
    <t>6280]</t>
  </si>
  <si>
    <t>Performance Data &amp; Video Recorder</t>
  </si>
  <si>
    <t>6391]</t>
  </si>
  <si>
    <t>Seat Belt</t>
  </si>
  <si>
    <t>6281]</t>
  </si>
  <si>
    <t>1LT D30</t>
  </si>
  <si>
    <t>6284]</t>
  </si>
  <si>
    <t>2LT D30</t>
  </si>
  <si>
    <t>6285]</t>
  </si>
  <si>
    <t>3LT D30</t>
  </si>
  <si>
    <t>6286]</t>
  </si>
  <si>
    <t>H8T D30</t>
  </si>
  <si>
    <t>6289]</t>
  </si>
  <si>
    <t>HUX/HUW D30</t>
  </si>
  <si>
    <t>6292]</t>
  </si>
  <si>
    <t>EMT D30</t>
  </si>
  <si>
    <t>6295]</t>
  </si>
  <si>
    <t>Total $ Interior</t>
  </si>
  <si>
    <t>6299]</t>
  </si>
  <si>
    <t>Interior Total4</t>
  </si>
  <si>
    <t>6300]</t>
  </si>
  <si>
    <t>6302]</t>
  </si>
  <si>
    <t>6303]</t>
  </si>
  <si>
    <t>6304]</t>
  </si>
  <si>
    <t>6305]</t>
  </si>
  <si>
    <t>6306]</t>
  </si>
  <si>
    <t>Tech Bronze Wheels</t>
  </si>
  <si>
    <t>6309]</t>
  </si>
  <si>
    <t>Polished Aluminum Wheels</t>
  </si>
  <si>
    <t>6310]</t>
  </si>
  <si>
    <t>Lug Nuts</t>
  </si>
  <si>
    <t>6313]</t>
  </si>
  <si>
    <t>Center Caps</t>
  </si>
  <si>
    <t>6314]</t>
  </si>
  <si>
    <t>Wheel Locks</t>
  </si>
  <si>
    <t>6315]</t>
  </si>
  <si>
    <t>6316]</t>
  </si>
  <si>
    <t>Black Ground effects</t>
  </si>
  <si>
    <t>6319]</t>
  </si>
  <si>
    <t>Rear Corvette Scripts</t>
  </si>
  <si>
    <t>6320]</t>
  </si>
  <si>
    <t>Recovery Hook</t>
  </si>
  <si>
    <t>6321]</t>
  </si>
  <si>
    <t>Composite Rockers</t>
  </si>
  <si>
    <t>6322]</t>
  </si>
  <si>
    <t>Grille Screens</t>
  </si>
  <si>
    <t>6382]</t>
  </si>
  <si>
    <t>Splash Guards</t>
  </si>
  <si>
    <t>6381]</t>
  </si>
  <si>
    <t>Stealth Flags</t>
  </si>
  <si>
    <t>6323]</t>
  </si>
  <si>
    <t>New Illuminated Flags</t>
  </si>
  <si>
    <t>6380]</t>
  </si>
  <si>
    <t>Trunk Liner Upgrade</t>
  </si>
  <si>
    <t>6379]</t>
  </si>
  <si>
    <t>Front License Plate</t>
  </si>
  <si>
    <t>6324]</t>
  </si>
  <si>
    <t>All weather floor liners</t>
  </si>
  <si>
    <t>6327]</t>
  </si>
  <si>
    <t>Premium Floor Mats</t>
  </si>
  <si>
    <t>6328]</t>
  </si>
  <si>
    <t>Safety</t>
  </si>
  <si>
    <t>6329]</t>
  </si>
  <si>
    <t>Storage</t>
  </si>
  <si>
    <t>6330]</t>
  </si>
  <si>
    <t>Cargo Net</t>
  </si>
  <si>
    <t>6331]</t>
  </si>
  <si>
    <t>6334]</t>
  </si>
  <si>
    <t>GT.3 Rendered Cover</t>
  </si>
  <si>
    <t>6383]</t>
  </si>
  <si>
    <t>Accessories $ Total</t>
  </si>
  <si>
    <t>6336]</t>
  </si>
  <si>
    <t>Accessories Total5</t>
  </si>
  <si>
    <t>6337]</t>
  </si>
  <si>
    <t>Blue Stripes</t>
  </si>
  <si>
    <t>6341]</t>
  </si>
  <si>
    <t>6385]</t>
  </si>
  <si>
    <t>Red Stripes</t>
  </si>
  <si>
    <t>6344]</t>
  </si>
  <si>
    <t>Yellow Stripes</t>
  </si>
  <si>
    <t>6347]</t>
  </si>
  <si>
    <t>Orange Stripes</t>
  </si>
  <si>
    <t>6350]</t>
  </si>
  <si>
    <t>Hash Stripes</t>
  </si>
  <si>
    <t>6352]</t>
  </si>
  <si>
    <t>6353]</t>
  </si>
  <si>
    <t>Stingray R Graphics</t>
  </si>
  <si>
    <t>6354]</t>
  </si>
  <si>
    <t>Stripes $ Total</t>
  </si>
  <si>
    <t>6355]</t>
  </si>
  <si>
    <t>6360]</t>
  </si>
  <si>
    <t>Stripes Total6</t>
  </si>
  <si>
    <t>6356]</t>
  </si>
  <si>
    <t>Total MSRP</t>
  </si>
  <si>
    <t>6363]</t>
  </si>
  <si>
    <t>6366]</t>
  </si>
  <si>
    <t>Email</t>
  </si>
  <si>
    <t>6367]</t>
  </si>
  <si>
    <t>Phone</t>
  </si>
  <si>
    <t>6368]</t>
  </si>
  <si>
    <t>Address</t>
  </si>
  <si>
    <t>6369]</t>
  </si>
  <si>
    <t>Comments</t>
  </si>
  <si>
    <t>6371]</t>
  </si>
  <si>
    <t>I understand and agree to the Terms and Conditions.</t>
  </si>
  <si>
    <t>6377]</t>
  </si>
  <si>
    <t>User ID</t>
  </si>
  <si>
    <t>6375]</t>
  </si>
  <si>
    <t>Trim</t>
  </si>
  <si>
    <t>Seat</t>
  </si>
  <si>
    <t>Suede</t>
  </si>
  <si>
    <t>Stitching</t>
  </si>
  <si>
    <t>Two Tone</t>
  </si>
  <si>
    <t>Codes</t>
  </si>
  <si>
    <t>1LT Colors</t>
  </si>
  <si>
    <t>1LT</t>
  </si>
  <si>
    <t>AQ9</t>
  </si>
  <si>
    <t>HTA</t>
  </si>
  <si>
    <t>Jet Black Mulan</t>
  </si>
  <si>
    <t>AQ9 GT1 Seats . Interior color on seats only. Stitching will match int color. Jet Black has silver stitching.</t>
  </si>
  <si>
    <t>interior.1</t>
  </si>
  <si>
    <t>AE4</t>
  </si>
  <si>
    <t>HTJ</t>
  </si>
  <si>
    <t>N26</t>
  </si>
  <si>
    <t>Jet Black Performance Textile</t>
  </si>
  <si>
    <t>AE4 Comp Seats. Adds N26 suede steering wheel. Seat back and bottom are all performance textile. Interior color on seats only. Jet Black has silver stitching.</t>
  </si>
  <si>
    <t>HUP</t>
  </si>
  <si>
    <t>Sky Cool Gray Mulan</t>
  </si>
  <si>
    <t>AQ9 GT1 Seats. Interior color on seats only. Stitching will match int color.</t>
  </si>
  <si>
    <t>HUQ</t>
  </si>
  <si>
    <t>Adrenaline Red Mulan</t>
  </si>
  <si>
    <t>Competition Sport Bucket seats</t>
  </si>
  <si>
    <t>Performance textile seating surface. Requires N26 Suede wrapped steering wheel $695</t>
  </si>
  <si>
    <t>interior.1s</t>
  </si>
  <si>
    <t>GT1 Bucket seats</t>
  </si>
  <si>
    <t>Mulan Leather</t>
  </si>
  <si>
    <t>2LT Colors</t>
  </si>
  <si>
    <t>2LT</t>
  </si>
  <si>
    <t>H1Y</t>
  </si>
  <si>
    <t>AQ9 GT1 Seats. Interior color is on seats, doors, and console trim. Jet Black has silver stitching.</t>
  </si>
  <si>
    <t>interior.2</t>
  </si>
  <si>
    <t>38S</t>
  </si>
  <si>
    <t>Jet Black Mulan with Red Stitching</t>
  </si>
  <si>
    <t xml:space="preserve">AQ9 GT1 Seats. Interior color is on seats, doors, and console trim. </t>
  </si>
  <si>
    <t>36S</t>
  </si>
  <si>
    <t>Jet Black Mulan with Yellow Stitching</t>
  </si>
  <si>
    <t>37S</t>
  </si>
  <si>
    <t>Jet Black Mulan with Blue Stitching</t>
  </si>
  <si>
    <t>AH2</t>
  </si>
  <si>
    <t>HTM</t>
  </si>
  <si>
    <t>Jet Black Napa</t>
  </si>
  <si>
    <t>AH2 GT2 seats. Interior color is on seats, doors, and console trim. Jet Black has silver stitching.</t>
  </si>
  <si>
    <t>Jet Black Napa with Red Stitching</t>
  </si>
  <si>
    <t xml:space="preserve">AH2 GT2 seats. Interior color is on seats, doors, and console trim. </t>
  </si>
  <si>
    <t>Jet Black Napa with Yellow Stitching</t>
  </si>
  <si>
    <t>Jet Black Napa with Blue Stitching</t>
  </si>
  <si>
    <t>AE4 Comp Seats. Interior color is on seats, doors, and console trim. Jet Black has silver stitching.</t>
  </si>
  <si>
    <t xml:space="preserve">AE4 Comp Seats. Interior color is on seats, doors, and console trim. </t>
  </si>
  <si>
    <t>HTN</t>
  </si>
  <si>
    <t>Natural Napa</t>
  </si>
  <si>
    <t>AH2 GT2 Seats. Interior color is on seats, doors, and console trim. TU7 Two tone seats available with GT2 seats</t>
  </si>
  <si>
    <t>AE4 Comp Seats. Interior color is on seats, doors, and console trim.</t>
  </si>
  <si>
    <t>TU7</t>
  </si>
  <si>
    <t>Natural Napa with two tone seats</t>
  </si>
  <si>
    <t>AH2 GT2 Seats. Interior color is on seats, doors, and console trim. TU7 Two tone adds black seat inserts and headrest.</t>
  </si>
  <si>
    <t>HTP</t>
  </si>
  <si>
    <t>Jet Black Napa with sueded microfiber inserts</t>
  </si>
  <si>
    <t>AH2 GT2 Seats. Includes Suede Steering Wheel. Interior color is on seats, doors, and console trim. Jet Black has silver stitching.</t>
  </si>
  <si>
    <t>Jet Black Napa with sueded microfiber inserts and Red Stitching</t>
  </si>
  <si>
    <t>Jet Black Napa with sueded microfiber inserts and Yellow Stitching</t>
  </si>
  <si>
    <t>Jet Black Napa with sueded microfiber inserts and Blue Stitching</t>
  </si>
  <si>
    <t>AE4 Comp Seats. Includes Suede Steering Wheel. Interior color is on seats, doors, and console trim. Jet Black has silver stitching.</t>
  </si>
  <si>
    <t>HTQ</t>
  </si>
  <si>
    <t>Natural Napa with sueded microfiber inserts</t>
  </si>
  <si>
    <t>AH2 GT2 seats. Includes Suede Steering Wheel. Interior color is on seats, doors, and console trim. TU7 Two tone seats available with GT2 seats</t>
  </si>
  <si>
    <t>AE4 Comp Seats only. Includes Suede Steering Wheel. Interior color is on seats, doors, and console trim.</t>
  </si>
  <si>
    <t>Natural Napa with sueded microfiber inserts and two tone seats</t>
  </si>
  <si>
    <t>AH2 GT2 seats. Includes Suede Steering Wheel. Interior color is on seats, doors, and console trim. TU7 Two tone adds black seat inserts and headrest.</t>
  </si>
  <si>
    <t>HU6</t>
  </si>
  <si>
    <t>Sky Cool Gray Napa with sueded microfiber inserts</t>
  </si>
  <si>
    <t>AH2 GT2 Seats. Includes Suede Steering Wheel. Interior color is on seats, doors, and console trim. TU7 Two tone seats available with GT2 seats</t>
  </si>
  <si>
    <t>AE4 Comp Seats are black. Includes Suede Steering Wheel. Interior color is on seats, doors, and console trim.</t>
  </si>
  <si>
    <t>Sky Cool Gray Napa with sueded microfiber inserts and two tone seats</t>
  </si>
  <si>
    <t>AH2 GT2 Seats. Includes Suede Steering Wheel. Interior color is on seats, doors, and console trim. TU7 Two tone adds black seat inserts and headrest.</t>
  </si>
  <si>
    <t>HU7</t>
  </si>
  <si>
    <t>Adrenaline Red Napa with (black) sueded microfiber inserts</t>
  </si>
  <si>
    <t>AE4 Comp Seats , Includes Suede Steering Wheel. Interior color is on seats, doors, and console trim.</t>
  </si>
  <si>
    <t>Adrenaline Red Napa with (black) sueded microfiber inserts and two tone seats</t>
  </si>
  <si>
    <t>AH2 GT2 Seats , Includes Suede Steering Wheel. Interior color is on seats, doors, and console trim. TU7 Two tone seats required</t>
  </si>
  <si>
    <t>HUK</t>
  </si>
  <si>
    <t>Sky Cool Gray Napa</t>
  </si>
  <si>
    <t>AE4 Comp Seats are black. Interior color is on seats, doors, and console trim.</t>
  </si>
  <si>
    <t>Sky Cool Gray Napa with two tone seats</t>
  </si>
  <si>
    <t>AH2 GT2 Seats. Interior color is on seats, doors, and console trim. Two tone adds black seat inserts and headrest.</t>
  </si>
  <si>
    <t>HUL</t>
  </si>
  <si>
    <t>Adrenaline Red Napa</t>
  </si>
  <si>
    <t>Adrenaline Red Napa with two tone seats</t>
  </si>
  <si>
    <t>HUN</t>
  </si>
  <si>
    <t>AQ9 GT1 Seats. Interior color is on seats, doors, and console trim.</t>
  </si>
  <si>
    <t>HUR</t>
  </si>
  <si>
    <t>HUV</t>
  </si>
  <si>
    <t>Natural Mulan</t>
  </si>
  <si>
    <t>Competition Sport Buckets</t>
  </si>
  <si>
    <t>Napa Leather and Performance Textile</t>
  </si>
  <si>
    <t>interior.2s</t>
  </si>
  <si>
    <t>GT2 Bucket seats</t>
  </si>
  <si>
    <t>Napa Leather</t>
  </si>
  <si>
    <t>3LT Colors</t>
  </si>
  <si>
    <t>3LT</t>
  </si>
  <si>
    <t>HNK</t>
  </si>
  <si>
    <t>Adrenaline Red Dipped Napa</t>
  </si>
  <si>
    <t>AH2 GT2 Seats. Includes Torch Red Seatbelt. Dipped interior is full color interior, instrument panel, doors, and carpet. Custom Stitching is on headliner of Coupe only. All Napa.</t>
  </si>
  <si>
    <t>interior.3</t>
  </si>
  <si>
    <t>AE4 Comp Seats. Includes Torch Red Seatbelt. Dipped interior is full color interior, instrument panel, doors, and carpet. Custom Stitching is on headliner of Coupe only. All Napa.</t>
  </si>
  <si>
    <t>HVZ</t>
  </si>
  <si>
    <t>Asymmetrical Adrenaline Red / Jet Black</t>
  </si>
  <si>
    <t xml:space="preserve">Driver side Adrenaline red. Passenger side Jet Black with red stitching. </t>
  </si>
  <si>
    <t>AUP</t>
  </si>
  <si>
    <t xml:space="preserve">Driver seat Adrenaline red Competition sport bucket. Passenger seat Jet Black with red stitching GT2 Bucket. </t>
  </si>
  <si>
    <t>HTE</t>
  </si>
  <si>
    <t>AH2 GT2 Seats. Jet black has silver contrast stitching. Custom Stitching is on headliner of Coupe only. All Napa.</t>
  </si>
  <si>
    <t>Jet Black Napa with Yellow Custom Stitching</t>
  </si>
  <si>
    <t>AH2 GT2 Seats. Interior color is on seats, doors, console, and knee areas. Custom Stitching is on headliner of Coupe only. All Napa.</t>
  </si>
  <si>
    <t>Jet Black Napa with Red Custom Stitching</t>
  </si>
  <si>
    <t>AH2 GT2 Seats. Custom Stitching is on headliner of Coupe only. All Napa.</t>
  </si>
  <si>
    <t>Jet Black Napa with Blue Custom Stitching</t>
  </si>
  <si>
    <t>AE4 Comp Seats. Interior color is on seats, doors, console, and knee areas. Custom Stitching is on headliner of Coupe only. All Napa.</t>
  </si>
  <si>
    <t>AE4 Comp Seats. Custom Stitching is on headliner of Coupe only. All Napa.</t>
  </si>
  <si>
    <t>HTG</t>
  </si>
  <si>
    <t>AH2 GT2 Seats. Includes Suede Steering Wheel. Interior color is on seats, doors, console, and knee areas. Custom Stitching is on headliner of Coupe only. All Napa. TU7 Two tone seats available with GT2 seats</t>
  </si>
  <si>
    <t>AE4 Comp Seats. Includes Suede Steering Wheel. Interior color is on seats, doors, console, and knee areas. Custom Stitching is on headliner of Coupe only. All Napa.</t>
  </si>
  <si>
    <t>AH2 GT2 Seats. Includes Suede Steering Wheel. Interior color is on seats, doors, console, and knee areas. Custom Stitching is on headliner of Coupe only. All Napa. TU7 Two tone adds black seat inserts and headrest.</t>
  </si>
  <si>
    <t>H8T</t>
  </si>
  <si>
    <t>Santorini Blue Napa</t>
  </si>
  <si>
    <t xml:space="preserve">AH2 GT2 Seats. Includes Blue Seatbelt. </t>
  </si>
  <si>
    <t>AE4 Comp Seats. Includes Blue Seatbelt.</t>
  </si>
  <si>
    <t>HTT</t>
  </si>
  <si>
    <t>Jet Black Napa with Yellow Custom Stitching &amp; Suede Inserts</t>
  </si>
  <si>
    <t>AH2 GT2 Seats. Includes Suede Steering Wheel. Custom Stitching is on headliner of Coupe only. All Napa. Doors and console are also suede.</t>
  </si>
  <si>
    <t>AE4 Comp Seats. Includes Suede Steering Wheel. Custom Stitching is on headliner of Coupe only. All Napa. Doors and console are also suede.</t>
  </si>
  <si>
    <t>Jet Black Napa with Blue Custom Stitching and Suede Inserts</t>
  </si>
  <si>
    <t>AH2 GT2 Seats. Includes Suede Steering Wheel. Custom Stitching is on headliner of Coupe only. All Napa. Door and console trim are also suede.</t>
  </si>
  <si>
    <t>AE4 Comp Seats. Includes Suede Steering Wheel. Custom Stitching is on headliner of Coupe only. All Napa. Door and console trim are also suede.</t>
  </si>
  <si>
    <t>Jet Black Napa with Red Custom Stitching and Suede Inserts</t>
  </si>
  <si>
    <t>HUC</t>
  </si>
  <si>
    <t>Ultimate Suede Jet Black Napa</t>
  </si>
  <si>
    <t>AH2 GT2 Seats. Suede is on trim and dash.</t>
  </si>
  <si>
    <t>Ultimate Suede Jet Black Napa with Yellow Stitching</t>
  </si>
  <si>
    <t>Ultimate Suede Jet Black Napa with Blue Stitching</t>
  </si>
  <si>
    <t>Ultimate Suede Jet Black Napa with Red Stitching</t>
  </si>
  <si>
    <t>AE4 Competition Seats. Suede is on trim and dash.</t>
  </si>
  <si>
    <t>HUB</t>
  </si>
  <si>
    <t xml:space="preserve">Ultimate Suede Jet Black Napa with sueded microfiber inserts </t>
  </si>
  <si>
    <t>Ultimate Suede Jet Black Napa with sueded microfiber inserts and Yellow Stitching</t>
  </si>
  <si>
    <t>Ultimate Suede Jet Black Napa with sueded microfiber inserts and Blue Stitching</t>
  </si>
  <si>
    <t>Ultimate Suede Jet Black Napa with sueded microfiber inserts and Red Stitching</t>
  </si>
  <si>
    <t>Ultimate Suede Jet Black Napa with sueded microfiber inserts</t>
  </si>
  <si>
    <t>HU1</t>
  </si>
  <si>
    <t>AH2 GT2 Seats. Interior color is on seats, doors, console, and knee areas. Custom Stitching is on headliner of Coupe only. All Napa. TU7 Two tone seats available with GT2 seats. Upper Interior is sky cool gray suede.</t>
  </si>
  <si>
    <t>AE4 Comp Seats are black. Interior color is on seats, doors, console, and knee areas. Custom Stitching is on headliner of Coupe only. All Napa. Upper interior is Sky Cool Gray suede.</t>
  </si>
  <si>
    <t>AH2 GT2 Seats. Interior color is on seats, doors, console, and knee areas. Custom Stitching is on headliner of Coupe only. All Napa. TU7 Two tone adds black seat inserts and headrest. Upper Interior is sky cool gray suede.</t>
  </si>
  <si>
    <t>HU2</t>
  </si>
  <si>
    <t>AH2 GT2 Seats. Interior color is on seats, doors, console, and knee areas. Custom Stitching is on headliner of Coupe only. All Napa. TU7 Two tone seats available with GT2 seats</t>
  </si>
  <si>
    <t>AH2 GT2 Seats. Interior color is on seats, doors, console, and knee areas. Custom Stitching is on headliner of Coupe only. All Napa. TU7 Two tone adds black seat inserts and headrest.</t>
  </si>
  <si>
    <t>HU9</t>
  </si>
  <si>
    <t>AH2 GT2 Seats. Includes Suede Steering Wheel. Interior color is on seats, doors, console, and knee areas. Custom Stitching is on headliner of Coupe only. All Napa. TU7 Two tone seats available with GT2 seats. Upper Interior is sky cool gray suede.</t>
  </si>
  <si>
    <t>AE4 Comp Seats are black. Includes Suede Steering Wheel. Interior color is on seats, doors, console, and knee areas. Custom Stitching is on headliner of Coupe only. All Napa. Upper Interior is sky cool gray suede.</t>
  </si>
  <si>
    <t>AH2 GT2 Seats. Includes Suede Steering Wheel. Interior color is on seats, doors, console, and knee areas. Custom Stitching is on headliner of Coupe only. All Napa. TU7 Two tone adds black seat inserts and headrest. Upper Interior is sky cool gray suede.</t>
  </si>
  <si>
    <t>HUA</t>
  </si>
  <si>
    <t>AH2 GT2 Seats. Includes Suede Steering Wheel. Interior color is on seats, doors, console, and knee areas. Custom Stitching is on headliner of Coupe only. All Napa. TU7 two tone seats required.</t>
  </si>
  <si>
    <t>HUE</t>
  </si>
  <si>
    <t>AH2 GT2 Seats. Interior color is on seats, doors, console, and knee areas. Custom Stitching is on headliner of Coupe only. All Napa. TU7 Two tone seats available with GT2 seats.</t>
  </si>
  <si>
    <t>HUF</t>
  </si>
  <si>
    <t>Natural Dipped Napa with sueded microfiber inserts</t>
  </si>
  <si>
    <t>AH2 GT2 Seats. Includes Natural Seatbelt. Includes Suede Steering Wheel. Dipped interior is full color interior, instrument panel, doors, and carpet. Custom Stitching is on headliner of Coupe only. All Napa. Doors and console trim are suede.</t>
  </si>
  <si>
    <t>AE4 Comp Seats. Includes Natural Seatbelt. Includes Suede Steering Wheel. Dipped interior is full color interior, instrument panel, doors, and carpet. Custom Stitching is on headliner of Coupe only. All Napa. Doors and console trim are suede.</t>
  </si>
  <si>
    <t>HUW</t>
  </si>
  <si>
    <t>Habanero Napa</t>
  </si>
  <si>
    <t>AH2 GT2 Seats. Interior color layout is unique. Custom Stitching is on headliner of Coupe only. All Napa. Doors and console trim are black suede. Includes Orange Seatbelt.</t>
  </si>
  <si>
    <t>AE4 Comp Seats. Interior color layout is unique. Custom Stitching is on headliner of Coupe only. All Napa. Doors and console trim are black suede. Includes Orange Seatbelt.</t>
  </si>
  <si>
    <t>HUX</t>
  </si>
  <si>
    <t>Habanero Napa with sueded microfiber inserts</t>
  </si>
  <si>
    <t>AH2 GT2 Seats. Includes Suede Steering Wheel. Interior color layout is unique. Custom Stitching is on headliner of Coupe only. All Napa. Doors and console trim are black suede. Includes Orange Seatbelt.</t>
  </si>
  <si>
    <t>AE4 Comp Seats. Includes Suede Steering Wheel. Interior color layout is unique. Custom Stitching is on headliner of Coupe only. All Napa. Doors and console trim are black suede. Includes Orange Seatbelt.</t>
  </si>
  <si>
    <t>EMT</t>
  </si>
  <si>
    <t>Sky Cool / Medium Ash Gray / Habanero accents</t>
  </si>
  <si>
    <t>AH2 GT2 Seats. Includes Orange Seatbelt. Dipped interior is full color interior, instrument panel, doors, and carpet. Custom Stitching is on headliner of Coupe only. All Napa.</t>
  </si>
  <si>
    <t>AE4 Comp Seats. Includes Orange Seatbelt. Dipped interior is full color interior, instrument panel, doors, and carpet. Custom Stitching is on headliner of Coupe only. All Napa.</t>
  </si>
  <si>
    <t>EPX</t>
  </si>
  <si>
    <t>Very Dark Atmosphere Napa with sueded microfiber inserts</t>
  </si>
  <si>
    <t>Napa leather with perforated sueded microfiber inserts^**. Requires N26 sueded microfiber wrapped steering wheel.</t>
  </si>
  <si>
    <t xml:space="preserve">Napa leather with perforated sueded microfiber inserts^**. Requires N26 sueded microfiber wrapped steering wheel. </t>
  </si>
  <si>
    <t>EJH</t>
  </si>
  <si>
    <t xml:space="preserve">Very Dark Atmosphere Napa </t>
  </si>
  <si>
    <t>AH2 GT2 Seats. Dark Brown trim with black seat inserts.</t>
  </si>
  <si>
    <t>Very Dark Atmosphere Napa</t>
  </si>
  <si>
    <t>AE4 Comp Seats. Dark Brown trim with black seat inserts</t>
  </si>
  <si>
    <t>HZN</t>
  </si>
  <si>
    <t>Natural Dipped Napa</t>
  </si>
  <si>
    <t>AH2 GT2 Seats. Includes Natural Seatbelt. Dipped interior is full color interior, instrument panel, doors, and carpet. Custom Stitching is on headliner of Coupe only. All Napa.</t>
  </si>
  <si>
    <t>AE4 Comp Seats. Includes Natural Seatbelt. Dipped interior is full color interior, instrument panel, doors, and carpet. Custom Stitching is on headliner of Coupe only. All Napa.</t>
  </si>
  <si>
    <t>3LT Custom Interior Trim and Seat Combination</t>
  </si>
  <si>
    <t>3LT R6X</t>
  </si>
  <si>
    <t>HM0</t>
  </si>
  <si>
    <t>Jet Black trim/ Sky Cool Gray seats with sueded microfiber inserts</t>
  </si>
  <si>
    <t xml:space="preserve">AH2 GT2 Seats only. Includes Suede Steering Wheel. </t>
  </si>
  <si>
    <t>Jet Black trim/ Sky Cool Gray seats with sueded microfiber inserts and two tone seats</t>
  </si>
  <si>
    <t>AH2 GT2 Seats only. Includes Suede Steering Wheel. TU7 Two tone adds black seat inserts and headrest.</t>
  </si>
  <si>
    <t>HU0</t>
  </si>
  <si>
    <t>Jet Black trim/Adrenaline Red seats</t>
  </si>
  <si>
    <t>AH2 GT2 Seats. Requires 38S red custom stitching. TU7 two tone seats available with GT2 seats</t>
  </si>
  <si>
    <t>AE4 Comp Seats. Requires 38S red custom stitching.</t>
  </si>
  <si>
    <t>Jet Black trim/Adrenaline Red seats with two tone seats</t>
  </si>
  <si>
    <t>AH2 GT2 Seats. Requires 38S red custom stitching. TU7 Two tone adds black seat inserts and headrest.</t>
  </si>
  <si>
    <t>HUU</t>
  </si>
  <si>
    <t>Adrenaline Red trim/ Jet Black seats</t>
  </si>
  <si>
    <t>AH2 GT2 Seats. Seats are black with red stitching.</t>
  </si>
  <si>
    <t>AE4 Comp Seats. Seats are black with red stitching.</t>
  </si>
  <si>
    <t>HVT</t>
  </si>
  <si>
    <t>Sky Cool Gray trim/ Jet Black seats with sueded microfiber inserts</t>
  </si>
  <si>
    <t>AH2 GT2 Seats. Includes Suede Steering Wheel. Upper interior is sky cool gray suede.</t>
  </si>
  <si>
    <t>HVV</t>
  </si>
  <si>
    <t>Jet Black trim/ Sky Cool Gray seats</t>
  </si>
  <si>
    <t>AH2 GT2 Seats only. TU7 Two tone seats available.</t>
  </si>
  <si>
    <t>Jet Black trim/ Sky Cool Gray seats with two tone seats</t>
  </si>
  <si>
    <t>AH2 GT2 Seats only. TU7 Two tone adds black seat inserts and headrest.</t>
  </si>
  <si>
    <t>HX0</t>
  </si>
  <si>
    <t>Jet Black trim/ Adrenaline Red seats with sueded microfiber inserts</t>
  </si>
  <si>
    <t>AE4 Comp Seats only. Includes Suede Steering Wheel. Requires 38S Red custom stitching.</t>
  </si>
  <si>
    <t>AH2 GT2 Seats only. Includes Suede Steering Wheel. Requires 38S Red custom stitching &amp; TU7 Two tone seats.</t>
  </si>
  <si>
    <t>HZB</t>
  </si>
  <si>
    <t>Sky Cool Gray trim/ Jet Black seats</t>
  </si>
  <si>
    <t>AH2 GT2 Seats only. Upper interior is sky cool gray suede.</t>
  </si>
  <si>
    <t>HZP</t>
  </si>
  <si>
    <t>Adrenaline Red trim/ Jet Black seats with sueded microfiber inserts</t>
  </si>
  <si>
    <t>AH2 GT2 Seats. Includes Suede Steering Wheel. Seats are black with red stitching.</t>
  </si>
  <si>
    <t>AE4 Comp Seats. Includes Suede Steering Wheel. Seats are black with red stitching.</t>
  </si>
  <si>
    <t>interior.3s</t>
  </si>
  <si>
    <t>Asymmetrical Driver/ Passenger seats</t>
  </si>
  <si>
    <t>Driver seat Adrenaline red Competition sport bucket. Passenger seat Jet Black with red stitching GT2 Bucket. Only available with HVZ</t>
  </si>
  <si>
    <t>Interior Misc</t>
  </si>
  <si>
    <t>D30</t>
  </si>
  <si>
    <t>Color Combination Override</t>
  </si>
  <si>
    <t>Required if exterior and interior colors are not in GM's recommended color combos</t>
  </si>
  <si>
    <t>interior.t</t>
  </si>
  <si>
    <t>Required if exterior and interior colors are not in GM's recommended color combos. If combined with R6X, only one is charged.</t>
  </si>
  <si>
    <t>Stealth Interior Trim Package</t>
  </si>
  <si>
    <t>Dark finish aluminum trim Replaces BRUSHED METAL trim around driving mode selector, window controls on doors, and trim along dash. Requires 2LT or 3LT.</t>
  </si>
  <si>
    <t>FA5</t>
  </si>
  <si>
    <t>Carbon fiber Trim Level 1</t>
  </si>
  <si>
    <t>Replaces aluminum trim around driving mode selector, window controls on doors, and frame around driver info screen with gloss carbon fiber weave. Requires 2LT or 3LT.</t>
  </si>
  <si>
    <t>Suede Wrapped Steering Wheel</t>
  </si>
  <si>
    <t>1LT: Required and only available with AE4 Competition seat. 2LT and 3LT: Available with AH2 GT2 or AE4 Competition Seats only.</t>
  </si>
  <si>
    <t xml:space="preserve">Only available with GT2 Seats. Only available with Sky Cool Gray, Adrenaline Red, or Natural interiors. </t>
  </si>
  <si>
    <t>Only available with GT2 Seats. Only available with Sky Cool Gray, Adrenaline Red, or Natural interiors. Not available with 3LT "Dipped" interiors.</t>
  </si>
  <si>
    <t>UQT</t>
  </si>
  <si>
    <t>1LT Only</t>
  </si>
  <si>
    <t>Seat Belt Color</t>
  </si>
  <si>
    <t>Orange seat belt</t>
  </si>
  <si>
    <t>Not available if paired with Adrenaline Red.</t>
  </si>
  <si>
    <t>interior.sb</t>
  </si>
  <si>
    <t>Black seat belt</t>
  </si>
  <si>
    <t>3A9</t>
  </si>
  <si>
    <t>Santorini Blue seat belt</t>
  </si>
  <si>
    <t>Standard no cost on Tension/Twilight Blue interior HTO, Not available if paired with Adrenaline Red</t>
  </si>
  <si>
    <t>Torch Red seat belt</t>
  </si>
  <si>
    <t>Included with Adrenaline Red Dipped, Not available with Tension Blue.</t>
  </si>
  <si>
    <t>3M9</t>
  </si>
  <si>
    <t>Yellow seat belt</t>
  </si>
  <si>
    <t>3N9</t>
  </si>
  <si>
    <t>Tan seat belt</t>
  </si>
  <si>
    <t>No Cost with Natural Dipped interior HUF, HZN</t>
  </si>
  <si>
    <t>Description</t>
  </si>
  <si>
    <t>MISSING IN STINGRAY</t>
  </si>
  <si>
    <t>OTHER</t>
  </si>
  <si>
    <t>Competition Yellow custom leather stitch</t>
  </si>
  <si>
    <t>379</t>
  </si>
  <si>
    <r>
      <rPr>
        <rFont val="Calibri"/>
        <b/>
        <color rgb="FF000000"/>
        <sz val="11.0"/>
      </rPr>
      <t>Seat belt color</t>
    </r>
    <r>
      <rPr>
        <rFont val="Calibri"/>
        <color rgb="FF000000"/>
        <sz val="11.0"/>
      </rPr>
      <t>, Orange</t>
    </r>
  </si>
  <si>
    <r>
      <rPr>
        <rFont val="Calibri"/>
        <b/>
        <color rgb="FF000000"/>
        <sz val="11.0"/>
      </rPr>
      <t>Santorini Blue custom leather stitch</t>
    </r>
  </si>
  <si>
    <r>
      <rPr>
        <rFont val="Calibri"/>
        <b/>
        <color rgb="FF000000"/>
        <sz val="11.0"/>
      </rPr>
      <t>Adrenaline Red custom leather stitch</t>
    </r>
  </si>
  <si>
    <r>
      <rPr>
        <rFont val="Calibri"/>
        <b/>
        <color rgb="FF000000"/>
        <sz val="11.0"/>
      </rPr>
      <t>Seat belt color</t>
    </r>
    <r>
      <rPr>
        <rFont val="Calibri"/>
        <color rgb="FF000000"/>
        <sz val="11.0"/>
      </rPr>
      <t>, Santorini Blue</t>
    </r>
  </si>
  <si>
    <r>
      <rPr>
        <rFont val="Calibri"/>
        <b/>
        <color rgb="FF000000"/>
        <sz val="11.0"/>
      </rPr>
      <t>Seat belt color</t>
    </r>
    <r>
      <rPr>
        <rFont val="Calibri"/>
        <color rgb="FF000000"/>
        <sz val="11.0"/>
      </rPr>
      <t>, Torch Red</t>
    </r>
  </si>
  <si>
    <r>
      <rPr>
        <rFont val="Calibri"/>
        <b/>
        <color rgb="FF000000"/>
        <sz val="11.0"/>
      </rPr>
      <t>Seat belt color</t>
    </r>
    <r>
      <rPr>
        <rFont val="Calibri"/>
        <color rgb="FF000000"/>
        <sz val="11.0"/>
      </rPr>
      <t>, Yellow</t>
    </r>
  </si>
  <si>
    <r>
      <rPr>
        <rFont val="Calibri"/>
        <b/>
        <color rgb="FF000000"/>
        <sz val="11.0"/>
      </rPr>
      <t>Seat belt color</t>
    </r>
    <r>
      <rPr>
        <rFont val="Calibri"/>
        <color rgb="FF000000"/>
        <sz val="11.0"/>
      </rPr>
      <t>, Natural</t>
    </r>
  </si>
  <si>
    <r>
      <rPr>
        <rFont val="Calibri"/>
        <b/>
        <color rgb="FF000000"/>
        <sz val="11.0"/>
      </rPr>
      <t>LPO, 19" x 8.5" (48.3 cm x 21.6 cm) front and 20" x 11" (50.8 cm x 25.4 cm) rear 20-spoke Tech Bronze aluminum wheels</t>
    </r>
  </si>
  <si>
    <r>
      <rPr>
        <rFont val="Calibri"/>
        <b/>
        <color rgb="FF000000"/>
        <sz val="11.0"/>
      </rPr>
      <t>LPO, 19" x 8.5" (48.3 cm x 21.6 cm) front and 20" x 11" (50.8 cm x 25.4 cm) rear 15-spoke bright polished aluminum wheels</t>
    </r>
  </si>
  <si>
    <r>
      <rPr>
        <rFont val="Calibri"/>
        <b/>
        <color rgb="FF000000"/>
        <sz val="11.0"/>
      </rPr>
      <t>LPO, Outside mirror covers in visible Carbon Fiber</t>
    </r>
  </si>
  <si>
    <r>
      <rPr>
        <rFont val="Calibri"/>
        <b/>
        <color rgb="FF000000"/>
        <sz val="11.0"/>
      </rPr>
      <t>LPO, Black Ground Effects</t>
    </r>
  </si>
  <si>
    <r>
      <rPr>
        <rFont val="Calibri"/>
        <b/>
        <color rgb="FF000000"/>
        <sz val="11.0"/>
      </rPr>
      <t>LPO, Jake logo wheel center caps</t>
    </r>
  </si>
  <si>
    <t>ZYC, 5JR</t>
  </si>
  <si>
    <r>
      <rPr>
        <rFont val="Calibri"/>
        <b/>
        <color rgb="FF000000"/>
        <sz val="11.0"/>
      </rPr>
      <t>LPO, Carbon Flash wheel center caps with crossed flags logo</t>
    </r>
  </si>
  <si>
    <r>
      <rPr>
        <rFont val="Calibri"/>
        <b/>
        <color rgb="FF000000"/>
        <sz val="11.0"/>
      </rPr>
      <t>LPO, High wing spoiler</t>
    </r>
  </si>
  <si>
    <r>
      <rPr>
        <rFont val="Calibri"/>
        <b/>
        <color rgb="FF000000"/>
        <sz val="11.0"/>
      </rPr>
      <t>LPO, Two-Stanchion spoiler</t>
    </r>
    <r>
      <rPr>
        <rFont val="Calibri"/>
        <color rgb="FF000000"/>
        <sz val="11.0"/>
      </rPr>
      <t>, Visible Carbon Fiber</t>
    </r>
  </si>
  <si>
    <r>
      <rPr>
        <rFont val="Calibri"/>
        <b/>
        <color rgb="FF000000"/>
        <sz val="11.0"/>
      </rPr>
      <t>LPO, High wing spoiler</t>
    </r>
    <r>
      <rPr>
        <rFont val="Calibri"/>
        <color rgb="FF000000"/>
        <sz val="11.0"/>
      </rPr>
      <t>, Carbon Flash Metallic-painted</t>
    </r>
  </si>
  <si>
    <t>719</t>
  </si>
  <si>
    <r>
      <rPr>
        <rFont val="Calibri"/>
        <b/>
        <color rgb="FF000000"/>
        <sz val="11.0"/>
      </rPr>
      <t>Seat belt color</t>
    </r>
    <r>
      <rPr>
        <rFont val="Calibri"/>
        <color rgb="FF000000"/>
        <sz val="11.0"/>
      </rPr>
      <t>, Black</t>
    </r>
  </si>
  <si>
    <t>A2X</t>
  </si>
  <si>
    <r>
      <rPr>
        <rFont val="Calibri"/>
        <b/>
        <color rgb="FF000000"/>
        <sz val="11.0"/>
      </rPr>
      <t>Seat adjuster</t>
    </r>
    <r>
      <rPr>
        <rFont val="Calibri"/>
        <color rgb="FF000000"/>
        <sz val="11.0"/>
      </rPr>
      <t>, driver 8-way power</t>
    </r>
  </si>
  <si>
    <t>A7K</t>
  </si>
  <si>
    <r>
      <rPr>
        <rFont val="Calibri"/>
        <b/>
        <color rgb="FF000000"/>
        <sz val="11.0"/>
      </rPr>
      <t>Seat adjuster</t>
    </r>
    <r>
      <rPr>
        <rFont val="Calibri"/>
        <color rgb="FF000000"/>
        <sz val="11.0"/>
      </rPr>
      <t>, passenger 8-way power</t>
    </r>
  </si>
  <si>
    <r>
      <rPr>
        <rFont val="Calibri"/>
        <b/>
        <color rgb="FF000000"/>
        <sz val="11.0"/>
      </rPr>
      <t>Seats</t>
    </r>
    <r>
      <rPr>
        <rFont val="Calibri"/>
        <color rgb="FF000000"/>
        <sz val="11.0"/>
      </rPr>
      <t>, Competition Sport bucket</t>
    </r>
  </si>
  <si>
    <r>
      <rPr>
        <rFont val="Calibri"/>
        <b/>
        <color rgb="FF000000"/>
        <sz val="11.0"/>
      </rPr>
      <t>Seats</t>
    </r>
    <r>
      <rPr>
        <rFont val="Calibri"/>
        <color rgb="FF000000"/>
        <sz val="11.0"/>
      </rPr>
      <t>, GT2 bucket</t>
    </r>
  </si>
  <si>
    <t>AHE</t>
  </si>
  <si>
    <r>
      <rPr>
        <rFont val="Calibri"/>
        <b/>
        <color rgb="FF000000"/>
        <sz val="11.0"/>
      </rPr>
      <t>Seat adjuster</t>
    </r>
    <r>
      <rPr>
        <rFont val="Calibri"/>
        <color rgb="FF000000"/>
        <sz val="11.0"/>
      </rPr>
      <t>, driver power bolster</t>
    </r>
  </si>
  <si>
    <t>AHH</t>
  </si>
  <si>
    <r>
      <rPr>
        <rFont val="Calibri"/>
        <b/>
        <color rgb="FF000000"/>
        <sz val="11.0"/>
      </rPr>
      <t>Seat adjuster</t>
    </r>
    <r>
      <rPr>
        <rFont val="Calibri"/>
        <color rgb="FF000000"/>
        <sz val="11.0"/>
      </rPr>
      <t>, passenger power bolster</t>
    </r>
  </si>
  <si>
    <t>AJ7</t>
  </si>
  <si>
    <r>
      <rPr>
        <rFont val="Calibri"/>
        <b/>
        <color rgb="FF000000"/>
        <sz val="11.0"/>
      </rPr>
      <t>Airbags</t>
    </r>
    <r>
      <rPr>
        <rFont val="Calibri"/>
        <color rgb="FF000000"/>
        <sz val="11.0"/>
      </rPr>
      <t>, frontal and side-impact, driver and passenger</t>
    </r>
  </si>
  <si>
    <t>AL9</t>
  </si>
  <si>
    <r>
      <rPr>
        <rFont val="Calibri"/>
        <b/>
        <color rgb="FF000000"/>
        <sz val="11.0"/>
      </rPr>
      <t>Seat adjuster</t>
    </r>
    <r>
      <rPr>
        <rFont val="Calibri"/>
        <color rgb="FF000000"/>
        <sz val="11.0"/>
      </rPr>
      <t>, power driver lumbar control</t>
    </r>
  </si>
  <si>
    <t>AP9</t>
  </si>
  <si>
    <r>
      <rPr>
        <rFont val="Calibri"/>
        <b/>
        <color rgb="FF000000"/>
        <sz val="11.0"/>
      </rPr>
      <t>Cargo nets</t>
    </r>
  </si>
  <si>
    <r>
      <rPr>
        <rFont val="Calibri"/>
        <b/>
        <color rgb="FF000000"/>
        <sz val="11.0"/>
      </rPr>
      <t>Seats</t>
    </r>
    <r>
      <rPr>
        <rFont val="Calibri"/>
        <color rgb="FF000000"/>
        <sz val="11.0"/>
      </rPr>
      <t>, GT1 bucket</t>
    </r>
  </si>
  <si>
    <t>AQA</t>
  </si>
  <si>
    <r>
      <rPr>
        <rFont val="Calibri"/>
        <b/>
        <color rgb="FF000000"/>
        <sz val="11.0"/>
      </rPr>
      <t>Memory Driver and Passenger Convenience Package</t>
    </r>
  </si>
  <si>
    <t>AT9</t>
  </si>
  <si>
    <r>
      <rPr>
        <rFont val="Calibri"/>
        <b/>
        <color rgb="FF000000"/>
        <sz val="11.0"/>
      </rPr>
      <t>Seat adjuster</t>
    </r>
    <r>
      <rPr>
        <rFont val="Calibri"/>
        <color rgb="FF000000"/>
        <sz val="11.0"/>
      </rPr>
      <t>, power passenger lumbar control</t>
    </r>
  </si>
  <si>
    <r>
      <rPr>
        <rFont val="Calibri"/>
        <b/>
        <color rgb="FFFF0000"/>
        <sz val="11.0"/>
      </rPr>
      <t xml:space="preserve">NEW!  </t>
    </r>
    <r>
      <rPr>
        <rFont val="Calibri"/>
        <b/>
        <color rgb="FF000000"/>
        <sz val="11.0"/>
      </rPr>
      <t>Seats</t>
    </r>
    <r>
      <rPr>
        <rFont val="Calibri"/>
        <color rgb="FF000000"/>
        <sz val="11.0"/>
      </rPr>
      <t>, mixed, driver Competition Sport bucket, passenger GT2 bucket</t>
    </r>
  </si>
  <si>
    <t>B4Z</t>
  </si>
  <si>
    <r>
      <rPr>
        <rFont val="Calibri"/>
        <b/>
        <color rgb="FF000000"/>
        <sz val="11.0"/>
      </rPr>
      <t>Performance Traction Management</t>
    </r>
  </si>
  <si>
    <r>
      <rPr>
        <rFont val="Calibri"/>
        <b/>
        <color rgb="FF000000"/>
        <sz val="11.0"/>
      </rPr>
      <t>Coupe Engine Appearance Package</t>
    </r>
  </si>
  <si>
    <r>
      <rPr>
        <rFont val="Calibri"/>
        <b/>
        <color rgb="FF000000"/>
        <sz val="11.0"/>
      </rPr>
      <t>Stealth Interior Trim Package</t>
    </r>
  </si>
  <si>
    <r>
      <rPr>
        <rFont val="Calibri"/>
        <b/>
        <color rgb="FF000000"/>
        <sz val="11.0"/>
      </rPr>
      <t>LT2 engine cover</t>
    </r>
  </si>
  <si>
    <r>
      <rPr>
        <rFont val="Calibri"/>
        <b/>
        <color rgb="FF000000"/>
        <sz val="11.0"/>
      </rPr>
      <t>LT2 engine cover</t>
    </r>
  </si>
  <si>
    <r>
      <rPr>
        <rFont val="Calibri"/>
        <b/>
        <color rgb="FF000000"/>
        <sz val="11.0"/>
      </rPr>
      <t>LT2 engine cover</t>
    </r>
  </si>
  <si>
    <r>
      <rPr>
        <rFont val="Calibri"/>
        <b/>
        <color rgb="FF000000"/>
        <sz val="11.0"/>
      </rPr>
      <t>Plaque</t>
    </r>
    <r>
      <rPr>
        <rFont val="Calibri"/>
        <color rgb="FF000000"/>
        <sz val="11.0"/>
      </rPr>
      <t>, personalized</t>
    </r>
  </si>
  <si>
    <r>
      <rPr>
        <rFont val="Calibri"/>
        <b/>
        <color rgb="FF000000"/>
        <sz val="11.0"/>
      </rPr>
      <t>Roof panel</t>
    </r>
    <r>
      <rPr>
        <rFont val="Calibri"/>
        <color rgb="FF000000"/>
        <sz val="11.0"/>
      </rPr>
      <t>, visible carbon fiber with body-color surround</t>
    </r>
  </si>
  <si>
    <r>
      <rPr>
        <rFont val="Calibri"/>
        <b/>
        <color rgb="FF000000"/>
        <sz val="11.0"/>
      </rPr>
      <t>LPO, Contoured cargo area liners</t>
    </r>
    <r>
      <rPr>
        <rFont val="Calibri"/>
        <color rgb="FF000000"/>
        <sz val="11.0"/>
      </rPr>
      <t xml:space="preserve"> with Jake logo</t>
    </r>
  </si>
  <si>
    <r>
      <rPr>
        <rFont val="Calibri"/>
        <b/>
        <color rgb="FF000000"/>
        <sz val="11.0"/>
      </rPr>
      <t>Roof panel</t>
    </r>
    <r>
      <rPr>
        <rFont val="Calibri"/>
        <color rgb="FF000000"/>
        <sz val="11.0"/>
      </rPr>
      <t>, transparent, removable</t>
    </r>
  </si>
  <si>
    <r>
      <rPr>
        <rFont val="Calibri"/>
        <b/>
        <color rgb="FF000000"/>
        <sz val="11.0"/>
      </rPr>
      <t>Roof panel</t>
    </r>
    <r>
      <rPr>
        <rFont val="Calibri"/>
        <color rgb="FF000000"/>
        <sz val="11.0"/>
      </rPr>
      <t>, body-color, removable</t>
    </r>
  </si>
  <si>
    <r>
      <rPr>
        <rFont val="Calibri"/>
        <b/>
        <color rgb="FFFF0000"/>
        <sz val="11.0"/>
      </rPr>
      <t xml:space="preserve">NEW!  </t>
    </r>
    <r>
      <rPr>
        <rFont val="Calibri"/>
        <b/>
        <color rgb="FF000000"/>
        <sz val="11.0"/>
      </rPr>
      <t>Roof panel</t>
    </r>
    <r>
      <rPr>
        <rFont val="Calibri"/>
        <color rgb="FF000000"/>
        <sz val="11.0"/>
      </rPr>
      <t>, electrochromic dimming</t>
    </r>
  </si>
  <si>
    <t>CFX</t>
  </si>
  <si>
    <r>
      <rPr>
        <rFont val="Calibri"/>
        <b/>
        <color rgb="FF000000"/>
        <sz val="11.0"/>
      </rPr>
      <t>Plaque</t>
    </r>
    <r>
      <rPr>
        <rFont val="Calibri"/>
        <color rgb="FF000000"/>
        <sz val="11.0"/>
      </rPr>
      <t>, personalized with Corvette Museum logo</t>
    </r>
  </si>
  <si>
    <t>CJ2</t>
  </si>
  <si>
    <r>
      <rPr>
        <rFont val="Calibri"/>
        <b/>
        <color rgb="FF000000"/>
        <sz val="11.0"/>
      </rPr>
      <t>Air conditioning</t>
    </r>
    <r>
      <rPr>
        <rFont val="Calibri"/>
        <color rgb="FF000000"/>
        <sz val="11.0"/>
      </rPr>
      <t>, dual-zone automatic climate control</t>
    </r>
  </si>
  <si>
    <r>
      <rPr>
        <rFont val="Calibri"/>
        <b/>
        <color rgb="FF000000"/>
        <sz val="11.0"/>
      </rPr>
      <t>Convertible top</t>
    </r>
    <r>
      <rPr>
        <rFont val="Calibri"/>
        <color rgb="FF000000"/>
        <sz val="11.0"/>
      </rPr>
      <t>, retractable</t>
    </r>
  </si>
  <si>
    <r>
      <rPr>
        <rFont val="Calibri"/>
        <b/>
        <color rgb="FF000000"/>
        <sz val="11.0"/>
      </rPr>
      <t>Color Combination Override</t>
    </r>
  </si>
  <si>
    <r>
      <rPr>
        <rFont val="Calibri"/>
        <b/>
        <color rgb="FF000000"/>
        <sz val="11.0"/>
      </rPr>
      <t>Engine lighting</t>
    </r>
  </si>
  <si>
    <r>
      <rPr>
        <rFont val="Calibri"/>
        <b/>
        <color rgb="FF000000"/>
        <sz val="11.0"/>
      </rPr>
      <t>Convertible top</t>
    </r>
    <r>
      <rPr>
        <rFont val="Calibri"/>
        <color rgb="FF000000"/>
        <sz val="11.0"/>
      </rPr>
      <t>, Carbon Flash-painted nacelles and roof</t>
    </r>
  </si>
  <si>
    <r>
      <rPr>
        <rFont val="Calibri"/>
        <b/>
        <color rgb="FF000000"/>
        <sz val="11.0"/>
      </rPr>
      <t>Convertible top</t>
    </r>
    <r>
      <rPr>
        <rFont val="Calibri"/>
        <color rgb="FF000000"/>
        <sz val="11.0"/>
      </rPr>
      <t>, Carbon Flash-painted nacelles and body-color roof</t>
    </r>
  </si>
  <si>
    <r>
      <rPr>
        <rFont val="Calibri"/>
        <b/>
        <color rgb="FF000000"/>
        <sz val="11.0"/>
      </rPr>
      <t>Carbon Flash with Blue accent Full Length Dual Racing Stripes</t>
    </r>
  </si>
  <si>
    <r>
      <rPr>
        <rFont val="Calibri"/>
        <b/>
        <color rgb="FF000000"/>
        <sz val="11.0"/>
      </rPr>
      <t>Carbon Flash with Yellow accent Full Length Dual Racing Stripes</t>
    </r>
  </si>
  <si>
    <r>
      <rPr>
        <rFont val="Calibri"/>
        <b/>
        <color rgb="FF000000"/>
        <sz val="11.0"/>
      </rPr>
      <t>Carbon Flash with Orange accent Full Length Dual Racing Stripes</t>
    </r>
  </si>
  <si>
    <r>
      <rPr>
        <rFont val="Calibri"/>
        <b/>
        <color rgb="FF000000"/>
        <sz val="11.0"/>
      </rPr>
      <t>Carbon Flash with Red accent Full Length Dual Racing Stripes</t>
    </r>
  </si>
  <si>
    <r>
      <rPr>
        <rFont val="Calibri"/>
        <b/>
        <color rgb="FF000000"/>
        <sz val="11.0"/>
      </rPr>
      <t>Carbon Flash with Silver accent Full Length Dual Racing Stripes</t>
    </r>
  </si>
  <si>
    <t>DRG</t>
  </si>
  <si>
    <r>
      <rPr>
        <rFont val="Calibri"/>
        <b/>
        <color rgb="FF000000"/>
        <sz val="11.0"/>
      </rPr>
      <t>Mirrors</t>
    </r>
    <r>
      <rPr>
        <rFont val="Calibri"/>
        <color rgb="FF000000"/>
        <sz val="11.0"/>
      </rPr>
      <t>, outside, Carbon Flash Metallic-painted</t>
    </r>
  </si>
  <si>
    <t>DRZ</t>
  </si>
  <si>
    <r>
      <rPr>
        <rFont val="Calibri"/>
        <b/>
        <color rgb="FF000000"/>
        <sz val="11.0"/>
      </rPr>
      <t>Rear Camera Mirror</t>
    </r>
  </si>
  <si>
    <r>
      <rPr>
        <rFont val="Calibri"/>
        <b/>
        <color rgb="FF000000"/>
        <sz val="11.0"/>
      </rPr>
      <t>Edge Orange Full Length Dual Racing Stripes</t>
    </r>
  </si>
  <si>
    <r>
      <rPr>
        <rFont val="Calibri"/>
        <b/>
        <color rgb="FF000000"/>
        <sz val="11.0"/>
      </rPr>
      <t>Edge Red Full Length Dual Racing Stripes</t>
    </r>
  </si>
  <si>
    <r>
      <rPr>
        <rFont val="Calibri"/>
        <b/>
        <color rgb="FF000000"/>
        <sz val="11.0"/>
      </rPr>
      <t>Competition Yellow Full Length Dual Racing Stripes</t>
    </r>
  </si>
  <si>
    <r>
      <rPr>
        <rFont val="Calibri"/>
        <b/>
        <color rgb="FF000000"/>
        <sz val="11.0"/>
      </rPr>
      <t>Carbon Flash Metallic Full Length Dual Racing Stripes</t>
    </r>
  </si>
  <si>
    <r>
      <rPr>
        <rFont val="Calibri"/>
        <b/>
        <color rgb="FF000000"/>
        <sz val="11.0"/>
      </rPr>
      <t>Sterling Silver Full Length Dual Racing Stripes</t>
    </r>
  </si>
  <si>
    <r>
      <rPr>
        <rFont val="Calibri"/>
        <b/>
        <color rgb="FFFF0000"/>
        <sz val="11.0"/>
      </rPr>
      <t xml:space="preserve">NEW!  </t>
    </r>
    <r>
      <rPr>
        <rFont val="Calibri"/>
        <b/>
        <color rgb="FF000000"/>
        <sz val="11.0"/>
      </rPr>
      <t>Asymmetrical Adrenaline Red/Carbon Flash Full Length Dual Racing Stripes</t>
    </r>
  </si>
  <si>
    <r>
      <rPr>
        <rFont val="Calibri"/>
        <b/>
        <color rgb="FF000000"/>
        <sz val="11.0"/>
      </rPr>
      <t>Edge Blue Full Length Dual Racing Stripes</t>
    </r>
  </si>
  <si>
    <t>DWK</t>
  </si>
  <si>
    <r>
      <rPr>
        <rFont val="Calibri"/>
        <b/>
        <color rgb="FF000000"/>
        <sz val="11.0"/>
      </rPr>
      <t>Mirrors</t>
    </r>
    <r>
      <rPr>
        <rFont val="Calibri"/>
        <color rgb="FF000000"/>
        <sz val="11.0"/>
      </rPr>
      <t>, outside heated, power-adjustable</t>
    </r>
  </si>
  <si>
    <t>DYX</t>
  </si>
  <si>
    <r>
      <rPr>
        <rFont val="Calibri"/>
        <b/>
        <color rgb="FF000000"/>
        <sz val="11.0"/>
      </rPr>
      <t>Mirrors</t>
    </r>
    <r>
      <rPr>
        <rFont val="Calibri"/>
        <color rgb="FF000000"/>
        <sz val="11.0"/>
      </rPr>
      <t>, outside heated, power-adjustable</t>
    </r>
  </si>
  <si>
    <r>
      <rPr>
        <rFont val="Calibri"/>
        <b/>
        <color rgb="FF000000"/>
        <sz val="11.0"/>
      </rPr>
      <t>Carbon Flash/Competition Yellow Stinger Stripe</t>
    </r>
  </si>
  <si>
    <r>
      <rPr>
        <rFont val="Calibri"/>
        <b/>
        <color rgb="FF000000"/>
        <sz val="11.0"/>
      </rPr>
      <t>Carbon Flash/Midnight Silver Stinger Stripe</t>
    </r>
  </si>
  <si>
    <r>
      <rPr>
        <rFont val="Calibri"/>
        <b/>
        <color rgb="FF000000"/>
        <sz val="11.0"/>
      </rPr>
      <t>Carbon Flash/Edge Red Stinger Stripe</t>
    </r>
  </si>
  <si>
    <r>
      <rPr>
        <rFont val="Calibri"/>
        <b/>
        <color rgb="FF000000"/>
        <sz val="11.0"/>
      </rPr>
      <t>Front lift adjustable height</t>
    </r>
  </si>
  <si>
    <r>
      <rPr>
        <rFont val="Calibri"/>
        <b/>
        <color rgb="FF000000"/>
        <sz val="11.0"/>
      </rPr>
      <t>Exterior accents</t>
    </r>
    <r>
      <rPr>
        <rFont val="Calibri"/>
        <color rgb="FF000000"/>
        <sz val="11.0"/>
      </rPr>
      <t>, Carbon Flash</t>
    </r>
  </si>
  <si>
    <r>
      <rPr>
        <rFont val="Calibri"/>
        <b/>
        <color rgb="FF000000"/>
        <sz val="11.0"/>
      </rPr>
      <t>Exterior accents</t>
    </r>
    <r>
      <rPr>
        <rFont val="Calibri"/>
        <color rgb="FF000000"/>
        <sz val="11.0"/>
      </rPr>
      <t>, body-color</t>
    </r>
  </si>
  <si>
    <r>
      <rPr>
        <rFont val="Calibri"/>
        <b/>
        <color rgb="FF000000"/>
        <sz val="11.0"/>
      </rPr>
      <t>Battery Protection Package</t>
    </r>
  </si>
  <si>
    <r>
      <rPr>
        <rFont val="Calibri"/>
        <b/>
        <color rgb="FF000000"/>
        <sz val="11.0"/>
      </rPr>
      <t>Chrome Exterior Badge Package</t>
    </r>
  </si>
  <si>
    <r>
      <rPr>
        <rFont val="Calibri"/>
        <b/>
        <color rgb="FF000000"/>
        <sz val="11.0"/>
      </rPr>
      <t>Carbon Flash Exterior Badge Package</t>
    </r>
  </si>
  <si>
    <r>
      <rPr>
        <rFont val="Calibri"/>
        <b/>
        <color rgb="FF000000"/>
        <sz val="11.0"/>
      </rPr>
      <t>Trim</t>
    </r>
    <r>
      <rPr>
        <rFont val="Calibri"/>
        <color rgb="FF000000"/>
        <sz val="11.0"/>
      </rPr>
      <t>, interior</t>
    </r>
  </si>
  <si>
    <t>FE1</t>
  </si>
  <si>
    <r>
      <rPr>
        <rFont val="Calibri"/>
        <b/>
        <color rgb="FF000000"/>
        <sz val="11.0"/>
      </rPr>
      <t>Suspension</t>
    </r>
    <r>
      <rPr>
        <rFont val="Calibri"/>
        <color rgb="FF000000"/>
        <sz val="11.0"/>
      </rPr>
      <t>, Corvette standard</t>
    </r>
  </si>
  <si>
    <r>
      <rPr>
        <rFont val="Calibri"/>
        <b/>
        <color rgb="FF000000"/>
        <sz val="11.0"/>
      </rPr>
      <t>Suspension</t>
    </r>
    <r>
      <rPr>
        <rFont val="Calibri"/>
        <color rgb="FF000000"/>
        <sz val="11.0"/>
      </rPr>
      <t>, Magnetic Selective Ride Control</t>
    </r>
  </si>
  <si>
    <t>FE3</t>
  </si>
  <si>
    <r>
      <rPr>
        <rFont val="Calibri"/>
        <b/>
        <color rgb="FF000000"/>
        <sz val="11.0"/>
      </rPr>
      <t>Suspension</t>
    </r>
    <r>
      <rPr>
        <rFont val="Calibri"/>
        <color rgb="FF000000"/>
        <sz val="11.0"/>
      </rPr>
      <t>, Z51 performance</t>
    </r>
  </si>
  <si>
    <r>
      <rPr>
        <rFont val="Calibri"/>
        <b/>
        <color rgb="FF000000"/>
        <sz val="11.0"/>
      </rPr>
      <t>Suspension</t>
    </r>
    <r>
      <rPr>
        <rFont val="Calibri"/>
        <color rgb="FF000000"/>
        <sz val="11.0"/>
      </rPr>
      <t>, Z51 performance with Magnetic Selective Ride Control</t>
    </r>
  </si>
  <si>
    <t>FE9</t>
  </si>
  <si>
    <r>
      <rPr>
        <rFont val="Calibri"/>
        <b/>
        <color rgb="FF000000"/>
        <sz val="11.0"/>
      </rPr>
      <t>Emissions</t>
    </r>
    <r>
      <rPr>
        <rFont val="Calibri"/>
        <color rgb="FF000000"/>
        <sz val="11.0"/>
      </rPr>
      <t>, Federal requirements</t>
    </r>
  </si>
  <si>
    <t>G0J</t>
  </si>
  <si>
    <r>
      <rPr>
        <rFont val="Calibri"/>
        <b/>
        <color rgb="FF000000"/>
        <sz val="11.0"/>
      </rPr>
      <t>Differential</t>
    </r>
    <r>
      <rPr>
        <rFont val="Calibri"/>
        <color rgb="FF000000"/>
        <sz val="11.0"/>
      </rPr>
      <t>, mechanical limited-slip</t>
    </r>
  </si>
  <si>
    <t>G96</t>
  </si>
  <si>
    <r>
      <rPr>
        <rFont val="Calibri"/>
        <b/>
        <color rgb="FF000000"/>
        <sz val="11.0"/>
      </rPr>
      <t>Differential</t>
    </r>
    <r>
      <rPr>
        <rFont val="Calibri"/>
        <color rgb="FF000000"/>
        <sz val="11.0"/>
      </rPr>
      <t>, electronic limited-slip</t>
    </r>
  </si>
  <si>
    <t>GM7</t>
  </si>
  <si>
    <r>
      <rPr>
        <rFont val="Calibri"/>
        <b/>
        <color rgb="FF000000"/>
        <sz val="11.0"/>
      </rPr>
      <t>Rear axle</t>
    </r>
    <r>
      <rPr>
        <rFont val="Calibri"/>
        <color rgb="FF000000"/>
        <sz val="11.0"/>
      </rPr>
      <t>, performance ratio</t>
    </r>
  </si>
  <si>
    <t>IVE</t>
  </si>
  <si>
    <r>
      <rPr>
        <rFont val="Calibri"/>
        <b/>
        <color rgb="FFFF0000"/>
        <sz val="11.0"/>
      </rPr>
      <t xml:space="preserve">NEW!  </t>
    </r>
    <r>
      <rPr>
        <rFont val="Calibri"/>
        <b/>
        <color rgb="FF000000"/>
        <sz val="11.0"/>
      </rPr>
      <t>Infotainment system</t>
    </r>
    <r>
      <rPr>
        <rFont val="Calibri"/>
        <color rgb="FF000000"/>
        <sz val="11.0"/>
      </rPr>
      <t xml:space="preserve"> with Google Built-In</t>
    </r>
  </si>
  <si>
    <t>IWE</t>
  </si>
  <si>
    <r>
      <rPr>
        <rFont val="Calibri"/>
        <b/>
        <color rgb="FF000000"/>
        <sz val="11.0"/>
      </rPr>
      <t>Sueded Microfiber-Wrapped Upper Interior Trim Package</t>
    </r>
  </si>
  <si>
    <t>J55</t>
  </si>
  <si>
    <r>
      <rPr>
        <rFont val="Calibri"/>
        <b/>
        <color rgb="FF000000"/>
        <sz val="11.0"/>
      </rPr>
      <t>Brakes</t>
    </r>
    <r>
      <rPr>
        <rFont val="Calibri"/>
        <color rgb="FF000000"/>
        <sz val="11.0"/>
      </rPr>
      <t>, Z51 performance</t>
    </r>
  </si>
  <si>
    <r>
      <rPr>
        <rFont val="Calibri"/>
        <b/>
        <color rgb="FF000000"/>
        <sz val="11.0"/>
      </rPr>
      <t>Calipers</t>
    </r>
    <r>
      <rPr>
        <rFont val="Calibri"/>
        <color rgb="FF000000"/>
        <sz val="11.0"/>
      </rPr>
      <t>, Black</t>
    </r>
  </si>
  <si>
    <r>
      <rPr>
        <rFont val="Calibri"/>
        <b/>
        <color rgb="FF000000"/>
        <sz val="11.0"/>
      </rPr>
      <t>Calipers</t>
    </r>
    <r>
      <rPr>
        <rFont val="Calibri"/>
        <color rgb="FF000000"/>
        <sz val="11.0"/>
      </rPr>
      <t>, Velocity Yellow</t>
    </r>
  </si>
  <si>
    <r>
      <rPr>
        <rFont val="Calibri"/>
        <b/>
        <color rgb="FF000000"/>
        <sz val="11.0"/>
      </rPr>
      <t>Calipers</t>
    </r>
    <r>
      <rPr>
        <rFont val="Calibri"/>
        <color rgb="FF000000"/>
        <sz val="11.0"/>
      </rPr>
      <t>, Bright Red</t>
    </r>
  </si>
  <si>
    <r>
      <rPr>
        <rFont val="Calibri"/>
        <b/>
        <color rgb="FF000000"/>
        <sz val="11.0"/>
      </rPr>
      <t>Calipers</t>
    </r>
    <r>
      <rPr>
        <rFont val="Calibri"/>
        <color rgb="FF000000"/>
        <sz val="11.0"/>
      </rPr>
      <t>, Edge Red</t>
    </r>
  </si>
  <si>
    <t>JL9</t>
  </si>
  <si>
    <r>
      <rPr>
        <rFont val="Calibri"/>
        <b/>
        <color rgb="FF000000"/>
        <sz val="11.0"/>
      </rPr>
      <t>Brakes</t>
    </r>
    <r>
      <rPr>
        <rFont val="Calibri"/>
        <color rgb="FF000000"/>
        <sz val="11.0"/>
      </rPr>
      <t>, 4-wheel antilock, 4-wheel disc</t>
    </r>
  </si>
  <si>
    <t>K7A</t>
  </si>
  <si>
    <r>
      <rPr>
        <rFont val="Calibri"/>
        <b/>
        <color rgb="FFFF0000"/>
        <sz val="11.0"/>
      </rPr>
      <t xml:space="preserve">NEW!  </t>
    </r>
    <r>
      <rPr>
        <rFont val="Calibri"/>
        <b/>
        <color rgb="FF000000"/>
        <sz val="11.0"/>
      </rPr>
      <t>Wireless Phone Charging</t>
    </r>
  </si>
  <si>
    <t>K7B</t>
  </si>
  <si>
    <r>
      <rPr>
        <rFont val="Calibri"/>
        <b/>
        <color rgb="FFFF0000"/>
        <sz val="11.0"/>
      </rPr>
      <t xml:space="preserve">NEW!  </t>
    </r>
    <r>
      <rPr>
        <rFont val="Calibri"/>
        <b/>
        <color rgb="FF000000"/>
        <sz val="11.0"/>
      </rPr>
      <t>Wireless Phone Charging</t>
    </r>
  </si>
  <si>
    <t>KI3</t>
  </si>
  <si>
    <r>
      <rPr>
        <rFont val="Calibri"/>
        <b/>
        <color rgb="FF000000"/>
        <sz val="11.0"/>
      </rPr>
      <t>Steering wheel</t>
    </r>
    <r>
      <rPr>
        <rFont val="Calibri"/>
        <color rgb="FF000000"/>
        <sz val="11.0"/>
      </rPr>
      <t>, heated</t>
    </r>
  </si>
  <si>
    <t>KQV</t>
  </si>
  <si>
    <r>
      <rPr>
        <rFont val="Calibri"/>
        <b/>
        <color rgb="FF000000"/>
        <sz val="11.0"/>
      </rPr>
      <t>Seats</t>
    </r>
    <r>
      <rPr>
        <rFont val="Calibri"/>
        <color rgb="FF000000"/>
        <sz val="11.0"/>
      </rPr>
      <t>, heated and vented driver and passenger</t>
    </r>
  </si>
  <si>
    <t>LT2</t>
  </si>
  <si>
    <r>
      <rPr>
        <rFont val="Calibri"/>
        <b/>
        <color rgb="FF000000"/>
        <sz val="11.0"/>
      </rPr>
      <t>Engine</t>
    </r>
    <r>
      <rPr>
        <rFont val="Calibri"/>
        <color rgb="FF000000"/>
        <sz val="11.0"/>
      </rPr>
      <t>, 6.2L V8 DI</t>
    </r>
  </si>
  <si>
    <t>M1L</t>
  </si>
  <si>
    <r>
      <rPr>
        <rFont val="Calibri"/>
        <b/>
        <color rgb="FF000000"/>
        <sz val="11.0"/>
      </rPr>
      <t>Transmission</t>
    </r>
    <r>
      <rPr>
        <rFont val="Calibri"/>
        <color rgb="FF000000"/>
        <sz val="11.0"/>
      </rPr>
      <t>, 8-speed dual clutch</t>
    </r>
  </si>
  <si>
    <r>
      <rPr>
        <rFont val="Calibri"/>
        <b/>
        <color rgb="FF000000"/>
        <sz val="11.0"/>
      </rPr>
      <t>Steering wheel</t>
    </r>
    <r>
      <rPr>
        <rFont val="Calibri"/>
        <color rgb="FF000000"/>
        <sz val="11.0"/>
      </rPr>
      <t>, sueded microfiber-wrapped</t>
    </r>
  </si>
  <si>
    <t>N38</t>
  </si>
  <si>
    <r>
      <rPr>
        <rFont val="Calibri"/>
        <b/>
        <color rgb="FF000000"/>
        <sz val="11.0"/>
      </rPr>
      <t>Steering column</t>
    </r>
    <r>
      <rPr>
        <rFont val="Calibri"/>
        <color rgb="FF000000"/>
        <sz val="11.0"/>
      </rPr>
      <t>, power tilt and telescopic</t>
    </r>
  </si>
  <si>
    <t>NB8</t>
  </si>
  <si>
    <r>
      <rPr>
        <rFont val="Calibri"/>
        <b/>
        <color rgb="FF000000"/>
        <sz val="11.0"/>
      </rPr>
      <t>Emissions override</t>
    </r>
    <r>
      <rPr>
        <rFont val="Calibri"/>
        <color rgb="FF000000"/>
        <sz val="11.0"/>
      </rPr>
      <t xml:space="preserve">, California </t>
    </r>
  </si>
  <si>
    <t>NB9</t>
  </si>
  <si>
    <r>
      <rPr>
        <rFont val="Calibri"/>
        <b/>
        <color rgb="FF000000"/>
        <sz val="11.0"/>
      </rPr>
      <t>Emissions override</t>
    </r>
    <r>
      <rPr>
        <rFont val="Calibri"/>
        <color rgb="FF000000"/>
        <sz val="11.0"/>
      </rPr>
      <t>, state-specific</t>
    </r>
  </si>
  <si>
    <t>NC7</t>
  </si>
  <si>
    <r>
      <rPr>
        <rFont val="Calibri"/>
        <b/>
        <color rgb="FF000000"/>
        <sz val="11.0"/>
      </rPr>
      <t>Emissions override</t>
    </r>
    <r>
      <rPr>
        <rFont val="Calibri"/>
        <color rgb="FF000000"/>
        <sz val="11.0"/>
      </rPr>
      <t>, Federal</t>
    </r>
  </si>
  <si>
    <t>NE1</t>
  </si>
  <si>
    <r>
      <rPr>
        <rFont val="Calibri"/>
        <b/>
        <color rgb="FF000000"/>
        <sz val="11.0"/>
      </rPr>
      <t>Emissions</t>
    </r>
  </si>
  <si>
    <r>
      <rPr>
        <rFont val="Calibri"/>
        <b/>
        <color rgb="FF000000"/>
        <sz val="11.0"/>
      </rPr>
      <t>Exhaust tips</t>
    </r>
    <r>
      <rPr>
        <rFont val="Calibri"/>
        <color rgb="FF000000"/>
        <sz val="11.0"/>
      </rPr>
      <t>, Black</t>
    </r>
  </si>
  <si>
    <t>NK4</t>
  </si>
  <si>
    <r>
      <rPr>
        <rFont val="Calibri"/>
        <b/>
        <color rgb="FF000000"/>
        <sz val="11.0"/>
      </rPr>
      <t>Steering wheel</t>
    </r>
    <r>
      <rPr>
        <rFont val="Calibri"/>
        <color rgb="FF000000"/>
        <sz val="11.0"/>
      </rPr>
      <t>, leather-wrapped</t>
    </r>
  </si>
  <si>
    <r>
      <rPr>
        <rFont val="Calibri"/>
        <b/>
        <color rgb="FF000000"/>
        <sz val="11.0"/>
      </rPr>
      <t>Exhaust</t>
    </r>
    <r>
      <rPr>
        <rFont val="Calibri"/>
        <color rgb="FF000000"/>
        <sz val="11.0"/>
      </rPr>
      <t>, performance</t>
    </r>
  </si>
  <si>
    <t>P0H</t>
  </si>
  <si>
    <r>
      <rPr>
        <rFont val="Calibri"/>
        <b/>
        <color rgb="FF000000"/>
        <sz val="11.0"/>
      </rPr>
      <t>12 Months OnStar Connect Plus</t>
    </r>
  </si>
  <si>
    <t>P0I</t>
  </si>
  <si>
    <r>
      <rPr>
        <rFont val="Calibri"/>
        <b/>
        <color rgb="FF000000"/>
        <sz val="11.0"/>
      </rPr>
      <t>24 Months OnStar Connect Plus</t>
    </r>
  </si>
  <si>
    <t>P0J</t>
  </si>
  <si>
    <r>
      <rPr>
        <rFont val="Calibri"/>
        <b/>
        <color rgb="FF000000"/>
        <sz val="11.0"/>
      </rPr>
      <t>24 Months OnStar Protect</t>
    </r>
  </si>
  <si>
    <t>P0K</t>
  </si>
  <si>
    <r>
      <rPr>
        <rFont val="Calibri"/>
        <b/>
        <color rgb="FF000000"/>
        <sz val="11.0"/>
      </rPr>
      <t>36 Months OnStar Protect</t>
    </r>
  </si>
  <si>
    <t>P0L</t>
  </si>
  <si>
    <r>
      <rPr>
        <rFont val="Calibri"/>
        <b/>
        <color rgb="FF000000"/>
        <sz val="11.0"/>
      </rPr>
      <t>48 Months OnStar Protect</t>
    </r>
  </si>
  <si>
    <t>P0Q</t>
  </si>
  <si>
    <r>
      <rPr>
        <rFont val="Calibri"/>
        <b/>
        <color rgb="FF000000"/>
        <sz val="11.0"/>
      </rPr>
      <t>60 Months OnStar Protect</t>
    </r>
  </si>
  <si>
    <t>P0U</t>
  </si>
  <si>
    <r>
      <rPr>
        <rFont val="Calibri"/>
        <b/>
        <color rgb="FF000000"/>
        <sz val="11.0"/>
      </rPr>
      <t>12 Months OnStar Protect</t>
    </r>
  </si>
  <si>
    <t>P0V</t>
  </si>
  <si>
    <r>
      <rPr>
        <rFont val="Calibri"/>
        <b/>
        <color rgb="FF000000"/>
        <sz val="11.0"/>
      </rPr>
      <t>12 Months OnStar Telematics</t>
    </r>
  </si>
  <si>
    <t>P0W</t>
  </si>
  <si>
    <r>
      <rPr>
        <rFont val="Calibri"/>
        <b/>
        <color rgb="FF000000"/>
        <sz val="11.0"/>
      </rPr>
      <t xml:space="preserve">24 Months OnStar Telematics </t>
    </r>
  </si>
  <si>
    <t>P0X</t>
  </si>
  <si>
    <r>
      <rPr>
        <rFont val="Calibri"/>
        <b/>
        <color rgb="FF000000"/>
        <sz val="11.0"/>
      </rPr>
      <t>36 Months OnStar Telematics</t>
    </r>
  </si>
  <si>
    <t>P0Y</t>
  </si>
  <si>
    <r>
      <rPr>
        <rFont val="Calibri"/>
        <b/>
        <color rgb="FF000000"/>
        <sz val="11.0"/>
      </rPr>
      <t>48 Months OnStar Telematics</t>
    </r>
  </si>
  <si>
    <t>P0Z</t>
  </si>
  <si>
    <r>
      <rPr>
        <rFont val="Calibri"/>
        <b/>
        <color rgb="FF000000"/>
        <sz val="11.0"/>
      </rPr>
      <t>60 Months OnStar Telematics</t>
    </r>
  </si>
  <si>
    <r>
      <rPr>
        <rFont val="Calibri"/>
        <b/>
        <color rgb="FF000000"/>
        <sz val="11.0"/>
      </rPr>
      <t>LPO, Stingray Protection Package</t>
    </r>
  </si>
  <si>
    <r>
      <rPr>
        <rFont val="Calibri"/>
        <b/>
        <color rgb="FF000000"/>
        <sz val="11.0"/>
      </rPr>
      <t>LPO, Tech Bronze Accent Package</t>
    </r>
  </si>
  <si>
    <r>
      <rPr>
        <rFont val="Calibri"/>
        <b/>
        <color rgb="FF000000"/>
        <sz val="11.0"/>
      </rPr>
      <t>LPO, Stingray R Appearance Package</t>
    </r>
  </si>
  <si>
    <r>
      <rPr>
        <rFont val="Calibri"/>
        <b/>
        <color rgb="FF000000"/>
        <sz val="11.0"/>
      </rPr>
      <t>LPO, Roadside Safety Package</t>
    </r>
  </si>
  <si>
    <r>
      <rPr>
        <rFont val="Calibri"/>
        <b/>
        <color rgb="FF000000"/>
        <sz val="11.0"/>
      </rPr>
      <t>LPO, Contoured Liner Protection Package</t>
    </r>
  </si>
  <si>
    <r>
      <rPr>
        <rFont val="Calibri"/>
        <b/>
        <color rgb="FF000000"/>
        <sz val="11.0"/>
      </rPr>
      <t>Customer VIN ending reservation</t>
    </r>
  </si>
  <si>
    <t>PPW</t>
  </si>
  <si>
    <r>
      <rPr>
        <rFont val="Calibri"/>
        <b/>
        <color rgb="FF000000"/>
        <sz val="11.0"/>
      </rPr>
      <t>Wireless Apple CarPlay/Wireless Android Auto</t>
    </r>
  </si>
  <si>
    <t>PQG</t>
  </si>
  <si>
    <r>
      <rPr>
        <rFont val="Calibri"/>
        <b/>
        <color rgb="FF000000"/>
        <sz val="11.0"/>
      </rPr>
      <t>36 Months OnStar Connect Plus</t>
    </r>
  </si>
  <si>
    <t>PQH</t>
  </si>
  <si>
    <r>
      <rPr>
        <rFont val="Calibri"/>
        <b/>
        <color rgb="FF000000"/>
        <sz val="11.0"/>
      </rPr>
      <t>48 Months OnStar Connect Plus</t>
    </r>
  </si>
  <si>
    <t>PQI</t>
  </si>
  <si>
    <r>
      <rPr>
        <rFont val="Calibri"/>
        <b/>
        <color rgb="FF000000"/>
        <sz val="11.0"/>
      </rPr>
      <t>60 Months OnStar Connect Plus</t>
    </r>
  </si>
  <si>
    <t>PRB</t>
  </si>
  <si>
    <r>
      <rPr>
        <rFont val="Calibri"/>
        <b/>
        <color rgb="FF000000"/>
        <sz val="11.0"/>
      </rPr>
      <t>3 Years OnStar One</t>
    </r>
  </si>
  <si>
    <r>
      <rPr>
        <rFont val="Calibri"/>
        <b/>
        <color rgb="FF000000"/>
        <sz val="11.0"/>
      </rPr>
      <t>Wheels</t>
    </r>
    <r>
      <rPr>
        <rFont val="Calibri"/>
        <color rgb="FF000000"/>
        <sz val="11.0"/>
      </rPr>
      <t>, 19" x 8.5" (48.3 cm x 21.6 cm) front and 20" x 11" (50.8 cm x 27.9 cm) rear 20-spoke bright machined-face forged aluminum</t>
    </r>
  </si>
  <si>
    <r>
      <rPr>
        <rFont val="Calibri"/>
        <b/>
        <color rgb="FF000000"/>
        <sz val="11.0"/>
      </rPr>
      <t>Wheels</t>
    </r>
    <r>
      <rPr>
        <rFont val="Calibri"/>
        <color rgb="FF000000"/>
        <sz val="11.0"/>
      </rPr>
      <t>, 19" x 8.5" (48.3 cm x 21.6 cm) front and 20" x 11" (50.8 cm x 27.9 cm) rear 20-spoke Midnight Gray forged aluminum with Red stripe</t>
    </r>
  </si>
  <si>
    <r>
      <rPr>
        <rFont val="Calibri"/>
        <b/>
        <color rgb="FF000000"/>
        <sz val="11.0"/>
      </rPr>
      <t>Wheels</t>
    </r>
    <r>
      <rPr>
        <rFont val="Calibri"/>
        <color rgb="FF000000"/>
        <sz val="11.0"/>
      </rPr>
      <t>, 19" x 8.5" (48.3 cm x 21.6 cm) front and 20" x 11" (50.8 cm x 27.9 cm) rear 20-spoke Gloss Black forged aluminum</t>
    </r>
  </si>
  <si>
    <r>
      <rPr>
        <rFont val="Calibri"/>
        <b/>
        <color rgb="FF000000"/>
        <sz val="11.0"/>
      </rPr>
      <t>Wheels</t>
    </r>
    <r>
      <rPr>
        <rFont val="Calibri"/>
        <color rgb="FF000000"/>
        <sz val="11.0"/>
      </rPr>
      <t>, 19" x 8.5" (48.3 cm x 21.6 cm) front and 20" x 11" (50.8 cm x 27.9 cm) rear 5-split-spoke Satin Graphite with machined edge forged aluminum</t>
    </r>
  </si>
  <si>
    <r>
      <rPr>
        <rFont val="Calibri"/>
        <b/>
        <color rgb="FF000000"/>
        <sz val="11.0"/>
      </rPr>
      <t>Wheels</t>
    </r>
    <r>
      <rPr>
        <rFont val="Calibri"/>
        <color rgb="FF000000"/>
        <sz val="11.0"/>
      </rPr>
      <t>, 19" x 8.5" (48.3 cm x 21.6 cm) front and 20" x 11" (50.8 cm x 27.9 cm) rear 5-split-spoke machined-face Sterling Silver-painted forged aluminum</t>
    </r>
  </si>
  <si>
    <r>
      <rPr>
        <rFont val="Calibri"/>
        <b/>
        <color rgb="FF000000"/>
        <sz val="11.0"/>
      </rPr>
      <t>Wheels</t>
    </r>
    <r>
      <rPr>
        <rFont val="Calibri"/>
        <color rgb="FF000000"/>
        <sz val="11.0"/>
      </rPr>
      <t>, 19" x 8.5" (48.3 cm x 21.6 cm) front and 20" x 11" (50.8 cm x 27.9 cm) rear 5-split-spoke Gloss Black forged aluminum</t>
    </r>
  </si>
  <si>
    <r>
      <rPr>
        <rFont val="Calibri"/>
        <b/>
        <color rgb="FFFF0000"/>
        <sz val="11.0"/>
      </rPr>
      <t xml:space="preserve">NEW!  </t>
    </r>
    <r>
      <rPr>
        <rFont val="Calibri"/>
        <b/>
        <color rgb="FF000000"/>
        <sz val="11.0"/>
      </rPr>
      <t>Wheels</t>
    </r>
    <r>
      <rPr>
        <rFont val="Calibri"/>
        <color rgb="FF000000"/>
        <sz val="11.0"/>
      </rPr>
      <t>, 19" x 8.5" (48.3 cm x 21.6 cm) front and 20" x 11" (50.8 cm x 27.9 cm) rear 5-split-spoke Pearl Nickel forged aluminum</t>
    </r>
  </si>
  <si>
    <t>QUD</t>
  </si>
  <si>
    <r>
      <rPr>
        <rFont val="Calibri"/>
        <b/>
        <color rgb="FF000000"/>
        <sz val="11.0"/>
      </rPr>
      <t>Tires</t>
    </r>
    <r>
      <rPr>
        <rFont val="Calibri"/>
        <color rgb="FF000000"/>
        <sz val="11.0"/>
      </rPr>
      <t>, 245/35ZR19 front and 305/30ZR20 rear, blackwall, high performance</t>
    </r>
  </si>
  <si>
    <t>R6P</t>
  </si>
  <si>
    <r>
      <rPr>
        <rFont val="Calibri"/>
        <b/>
        <color rgb="FF000000"/>
        <sz val="11.0"/>
      </rPr>
      <t>3 Years SiriusXM</t>
    </r>
  </si>
  <si>
    <t>R6X</t>
  </si>
  <si>
    <r>
      <rPr>
        <rFont val="Calibri"/>
        <b/>
        <color rgb="FF000000"/>
        <sz val="11.0"/>
      </rPr>
      <t>Custom Interior Trim and Seat Combination</t>
    </r>
  </si>
  <si>
    <r>
      <rPr>
        <rFont val="Calibri"/>
        <b/>
        <color rgb="FFFF0000"/>
        <sz val="11.0"/>
      </rPr>
      <t xml:space="preserve">NEW!  </t>
    </r>
    <r>
      <rPr>
        <rFont val="Calibri"/>
        <b/>
        <color rgb="FF000000"/>
        <sz val="11.0"/>
      </rPr>
      <t>LPO, Illuminated crossed flags emblem</t>
    </r>
  </si>
  <si>
    <r>
      <rPr>
        <rFont val="Calibri"/>
        <b/>
        <color rgb="FF000000"/>
        <sz val="11.0"/>
      </rPr>
      <t>Corvette Museum Delivery</t>
    </r>
  </si>
  <si>
    <t>R8G</t>
  </si>
  <si>
    <r>
      <rPr>
        <rFont val="Calibri"/>
        <b/>
        <color rgb="FF000000"/>
        <sz val="11.0"/>
      </rPr>
      <t>12 Months OnStar One Fleet</t>
    </r>
  </si>
  <si>
    <t>R8P</t>
  </si>
  <si>
    <r>
      <rPr>
        <rFont val="Calibri"/>
        <b/>
        <color rgb="FF000000"/>
        <sz val="11.0"/>
      </rPr>
      <t>36 Months OnStar One Fleet</t>
    </r>
  </si>
  <si>
    <t>R8W</t>
  </si>
  <si>
    <r>
      <rPr>
        <rFont val="Calibri"/>
        <b/>
        <color rgb="FF000000"/>
        <sz val="11.0"/>
      </rPr>
      <t>60 Months OnStar One Fleet</t>
    </r>
  </si>
  <si>
    <t>R8Z</t>
  </si>
  <si>
    <r>
      <rPr>
        <rFont val="Calibri"/>
        <b/>
        <color rgb="FF000000"/>
        <sz val="11.0"/>
      </rPr>
      <t>48 Months OnStar One Fleet</t>
    </r>
  </si>
  <si>
    <t>R9L</t>
  </si>
  <si>
    <r>
      <rPr>
        <rFont val="Calibri"/>
        <b/>
        <color rgb="FF000000"/>
        <sz val="11.0"/>
      </rPr>
      <t>Removes OnStar Basics (OnStar Fleet Basics for Fleet)</t>
    </r>
  </si>
  <si>
    <t>R9V</t>
  </si>
  <si>
    <r>
      <rPr>
        <rFont val="Calibri"/>
        <b/>
        <color rgb="FF000000"/>
        <sz val="11.0"/>
      </rPr>
      <t>Mobile Service Plus</t>
    </r>
  </si>
  <si>
    <t>R9W</t>
  </si>
  <si>
    <r>
      <rPr>
        <rFont val="Calibri"/>
        <b/>
        <color rgb="FF000000"/>
        <sz val="11.0"/>
      </rPr>
      <t>Deleted Mobile Service Plus</t>
    </r>
  </si>
  <si>
    <t>R9Y</t>
  </si>
  <si>
    <r>
      <rPr>
        <rFont val="Calibri"/>
        <b/>
        <color rgb="FF000000"/>
        <sz val="11.0"/>
      </rPr>
      <t>Mobile Service Plus</t>
    </r>
  </si>
  <si>
    <t>RFH</t>
  </si>
  <si>
    <r>
      <rPr>
        <rFont val="Calibri"/>
        <b/>
        <color rgb="FF000000"/>
        <sz val="11.0"/>
      </rPr>
      <t>24 Months OnStar One Fleet</t>
    </r>
  </si>
  <si>
    <r>
      <rPr>
        <rFont val="Calibri"/>
        <b/>
        <color rgb="FF000000"/>
        <sz val="11.0"/>
      </rPr>
      <t>LPO, All-weather floor liners</t>
    </r>
  </si>
  <si>
    <r>
      <rPr>
        <rFont val="Calibri"/>
        <b/>
        <color rgb="FF000000"/>
        <sz val="11.0"/>
      </rPr>
      <t>LPO, Rear Corvette script badge in Torch Red</t>
    </r>
  </si>
  <si>
    <r>
      <rPr>
        <rFont val="Calibri"/>
        <b/>
        <color rgb="FF000000"/>
        <sz val="11.0"/>
      </rPr>
      <t>LPO, Rear Corvette script badge in Arctic White</t>
    </r>
  </si>
  <si>
    <r>
      <rPr>
        <rFont val="Calibri"/>
        <b/>
        <color rgb="FF000000"/>
        <sz val="11.0"/>
      </rPr>
      <t>LPO, Premium outdoor car cover</t>
    </r>
    <r>
      <rPr>
        <rFont val="Calibri"/>
        <color rgb="FF000000"/>
        <sz val="11.0"/>
      </rPr>
      <t>, Gray with Stingray logo and access panels</t>
    </r>
  </si>
  <si>
    <r>
      <rPr>
        <rFont val="Calibri"/>
        <b/>
        <color rgb="FF000000"/>
        <sz val="11.0"/>
      </rPr>
      <t>LPO, Premium indoor car cover</t>
    </r>
    <r>
      <rPr>
        <rFont val="Calibri"/>
        <color rgb="FF000000"/>
        <sz val="11.0"/>
      </rPr>
      <t>, Black with crossed flags logo</t>
    </r>
  </si>
  <si>
    <r>
      <rPr>
        <rFont val="Calibri"/>
        <b/>
        <color rgb="FF000000"/>
        <sz val="11.0"/>
      </rPr>
      <t>LPO, Premium outdoor car cover</t>
    </r>
    <r>
      <rPr>
        <rFont val="Calibri"/>
        <color rgb="FF000000"/>
        <sz val="11.0"/>
      </rPr>
      <t>, Gray with crossed flags logo and Corvette silhouette</t>
    </r>
  </si>
  <si>
    <r>
      <rPr>
        <rFont val="Calibri"/>
        <b/>
        <color rgb="FF000000"/>
        <sz val="11.0"/>
      </rPr>
      <t>LPO, Cargo area organizer</t>
    </r>
    <r>
      <rPr>
        <rFont val="Calibri"/>
        <color rgb="FF000000"/>
        <sz val="11.0"/>
      </rPr>
      <t>, collapsible</t>
    </r>
  </si>
  <si>
    <r>
      <rPr>
        <rFont val="Calibri"/>
        <b/>
        <color rgb="FF000000"/>
        <sz val="11.0"/>
      </rPr>
      <t>LPO, Silver wheel center caps with Stingray logo and Red outline</t>
    </r>
  </si>
  <si>
    <r>
      <rPr>
        <rFont val="Calibri"/>
        <b/>
        <color rgb="FF000000"/>
        <sz val="11.0"/>
      </rPr>
      <t>LPO, Black wheel center caps with Gray Stingray logo</t>
    </r>
  </si>
  <si>
    <r>
      <rPr>
        <rFont val="Calibri"/>
        <b/>
        <color rgb="FF000000"/>
        <sz val="11.0"/>
      </rPr>
      <t>LPO, Visible Carbon Fiber door intake trim</t>
    </r>
  </si>
  <si>
    <r>
      <rPr>
        <rFont val="Calibri"/>
        <b/>
        <color rgb="FF000000"/>
        <sz val="11.0"/>
      </rPr>
      <t>LPO, First Aid Kit</t>
    </r>
  </si>
  <si>
    <r>
      <rPr>
        <rFont val="Calibri"/>
        <b/>
        <color rgb="FF000000"/>
        <sz val="11.0"/>
      </rPr>
      <t>LPO, Highway Safety Kit</t>
    </r>
  </si>
  <si>
    <r>
      <rPr>
        <rFont val="Calibri"/>
        <b/>
        <color rgb="FF000000"/>
        <sz val="11.0"/>
      </rPr>
      <t>LPO, Set of premium leather weekend/travel bags</t>
    </r>
  </si>
  <si>
    <r>
      <rPr>
        <rFont val="Calibri"/>
        <b/>
        <color rgb="FF000000"/>
        <sz val="11.0"/>
      </rPr>
      <t>LPO, Chrome lug nuts</t>
    </r>
  </si>
  <si>
    <r>
      <rPr>
        <rFont val="Calibri"/>
        <b/>
        <color rgb="FF000000"/>
        <sz val="11.0"/>
      </rPr>
      <t>LPO, Corvette Racing Themed Graphics Package with Jake and Stingray R logos</t>
    </r>
  </si>
  <si>
    <r>
      <rPr>
        <rFont val="Calibri"/>
        <b/>
        <color rgb="FF000000"/>
        <sz val="11.0"/>
      </rPr>
      <t>LPO, Roof panel storage pouch</t>
    </r>
  </si>
  <si>
    <r>
      <rPr>
        <rFont val="Calibri"/>
        <b/>
        <color rgb="FF000000"/>
        <sz val="11.0"/>
      </rPr>
      <t>LPO, Black tow hook</t>
    </r>
  </si>
  <si>
    <r>
      <rPr>
        <rFont val="Calibri"/>
        <b/>
        <color rgb="FF000000"/>
        <sz val="11.0"/>
      </rPr>
      <t>LPO, Chrome wheel locks</t>
    </r>
  </si>
  <si>
    <r>
      <rPr>
        <rFont val="Calibri"/>
        <b/>
        <color rgb="FF000000"/>
        <sz val="11.0"/>
      </rPr>
      <t>LPO, Dark Stealth crossed flags emblem</t>
    </r>
  </si>
  <si>
    <r>
      <rPr>
        <rFont val="Calibri"/>
        <b/>
        <color rgb="FF000000"/>
        <sz val="11.0"/>
      </rPr>
      <t>LPO, Fender hash stripes</t>
    </r>
    <r>
      <rPr>
        <rFont val="Calibri"/>
        <color rgb="FF000000"/>
        <sz val="11.0"/>
      </rPr>
      <t>, Silver with Carbon Flash Metallic accent</t>
    </r>
  </si>
  <si>
    <r>
      <rPr>
        <rFont val="Calibri"/>
        <b/>
        <color rgb="FF000000"/>
        <sz val="11.0"/>
      </rPr>
      <t>LPO, Jake hood graphic with Tech Bronze accent</t>
    </r>
  </si>
  <si>
    <r>
      <rPr>
        <rFont val="Calibri"/>
        <b/>
        <color rgb="FF000000"/>
        <sz val="11.0"/>
      </rPr>
      <t>LPO, Fender hash stripes</t>
    </r>
    <r>
      <rPr>
        <rFont val="Calibri"/>
        <color rgb="FF000000"/>
        <sz val="11.0"/>
      </rPr>
      <t>, Carbon Flash Metallic with Edge Red accent</t>
    </r>
  </si>
  <si>
    <r>
      <rPr>
        <rFont val="Calibri"/>
        <b/>
        <color rgb="FF000000"/>
        <sz val="11.0"/>
      </rPr>
      <t>LPO, Premium indoor car cover</t>
    </r>
    <r>
      <rPr>
        <rFont val="Calibri"/>
        <color rgb="FF000000"/>
        <sz val="11.0"/>
      </rPr>
      <t>, Red with Stingray logo</t>
    </r>
  </si>
  <si>
    <r>
      <rPr>
        <rFont val="Calibri"/>
        <b/>
        <color rgb="FF000000"/>
        <sz val="11.0"/>
      </rPr>
      <t>LPO, Rear Corvette script badge in Edge Red</t>
    </r>
  </si>
  <si>
    <r>
      <rPr>
        <rFont val="Calibri"/>
        <b/>
        <color rgb="FF000000"/>
        <sz val="11.0"/>
      </rPr>
      <t>LPO, Engine specification plaque</t>
    </r>
  </si>
  <si>
    <r>
      <rPr>
        <rFont val="Calibri"/>
        <b/>
        <color rgb="FF000000"/>
        <sz val="11.0"/>
      </rPr>
      <t>LPO, Rear hatch strut bracket</t>
    </r>
    <r>
      <rPr>
        <rFont val="Calibri"/>
        <color rgb="FF000000"/>
        <sz val="11.0"/>
      </rPr>
      <t>, Edge Red</t>
    </r>
  </si>
  <si>
    <r>
      <rPr>
        <rFont val="Calibri"/>
        <b/>
        <color rgb="FF000000"/>
        <sz val="11.0"/>
      </rPr>
      <t>LPO, Visible carbon fiber engine cross brace</t>
    </r>
  </si>
  <si>
    <r>
      <rPr>
        <rFont val="Calibri"/>
        <b/>
        <color rgb="FF000000"/>
        <sz val="11.0"/>
      </rPr>
      <t>LPO, Fender hash stripes</t>
    </r>
    <r>
      <rPr>
        <rFont val="Calibri"/>
        <color rgb="FF000000"/>
        <sz val="11.0"/>
      </rPr>
      <t>, Carbon Flash Metallic with Tech Bronze accent</t>
    </r>
  </si>
  <si>
    <r>
      <rPr>
        <rFont val="Calibri"/>
        <b/>
        <color rgb="FF000000"/>
        <sz val="11.0"/>
      </rPr>
      <t>LPO, Black lug nuts</t>
    </r>
  </si>
  <si>
    <r>
      <rPr>
        <rFont val="Calibri"/>
        <b/>
        <color rgb="FF000000"/>
        <sz val="11.0"/>
      </rPr>
      <t>LPO, Black wheel locks</t>
    </r>
  </si>
  <si>
    <r>
      <rPr>
        <rFont val="Calibri"/>
        <b/>
        <color rgb="FF000000"/>
        <sz val="11.0"/>
      </rPr>
      <t>LPO, Composite rocker extensions</t>
    </r>
    <r>
      <rPr>
        <rFont val="Calibri"/>
        <color rgb="FF000000"/>
        <sz val="11.0"/>
      </rPr>
      <t>, Black</t>
    </r>
  </si>
  <si>
    <r>
      <rPr>
        <rFont val="Calibri"/>
        <b/>
        <color rgb="FF000000"/>
        <sz val="11.0"/>
      </rPr>
      <t>LPO, Suede frunk and trunk compartment liner</t>
    </r>
  </si>
  <si>
    <r>
      <rPr>
        <rFont val="Calibri"/>
        <b/>
        <color rgb="FF000000"/>
        <sz val="11.0"/>
      </rPr>
      <t>LPO, Suede frunk and trunk compartment liner</t>
    </r>
  </si>
  <si>
    <r>
      <rPr>
        <rFont val="Calibri"/>
        <b/>
        <color rgb="FF000000"/>
        <sz val="11.0"/>
      </rPr>
      <t>LPO, Suede frunk and trunk compartment liner</t>
    </r>
  </si>
  <si>
    <r>
      <rPr>
        <rFont val="Calibri"/>
        <b/>
        <color rgb="FF000000"/>
        <sz val="11.0"/>
      </rPr>
      <t>Spoiler</t>
    </r>
    <r>
      <rPr>
        <rFont val="Calibri"/>
        <color rgb="FF000000"/>
        <sz val="11.0"/>
      </rPr>
      <t>, rear, Z51</t>
    </r>
  </si>
  <si>
    <t>T4L</t>
  </si>
  <si>
    <r>
      <rPr>
        <rFont val="Calibri"/>
        <b/>
        <color rgb="FF000000"/>
        <sz val="11.0"/>
      </rPr>
      <t>Headlamps</t>
    </r>
    <r>
      <rPr>
        <rFont val="Calibri"/>
        <color rgb="FF000000"/>
        <sz val="11.0"/>
      </rPr>
      <t>, LED</t>
    </r>
  </si>
  <si>
    <t>TDM</t>
  </si>
  <si>
    <r>
      <rPr>
        <rFont val="Calibri"/>
        <b/>
        <color rgb="FF000000"/>
        <sz val="11.0"/>
      </rPr>
      <t>Teen Driver</t>
    </r>
  </si>
  <si>
    <t>TQ5</t>
  </si>
  <si>
    <r>
      <rPr>
        <rFont val="Calibri"/>
        <b/>
        <color rgb="FF000000"/>
        <sz val="11.0"/>
      </rPr>
      <t>IntelliBeam</t>
    </r>
  </si>
  <si>
    <t>TR7</t>
  </si>
  <si>
    <r>
      <rPr>
        <rFont val="Calibri"/>
        <b/>
        <color rgb="FF000000"/>
        <sz val="11.0"/>
      </rPr>
      <t>Headlamp control</t>
    </r>
    <r>
      <rPr>
        <rFont val="Calibri"/>
        <color rgb="FF000000"/>
        <sz val="11.0"/>
      </rPr>
      <t>, automatic leveling system</t>
    </r>
  </si>
  <si>
    <r>
      <rPr>
        <rFont val="Calibri"/>
        <b/>
        <color rgb="FF000000"/>
        <sz val="11.0"/>
      </rPr>
      <t>Seats</t>
    </r>
    <r>
      <rPr>
        <rFont val="Calibri"/>
        <color rgb="FF000000"/>
        <sz val="11.0"/>
      </rPr>
      <t>, two-tone</t>
    </r>
  </si>
  <si>
    <r>
      <rPr>
        <rFont val="Calibri"/>
        <b/>
        <color rgb="FF000000"/>
        <sz val="11.0"/>
      </rPr>
      <t>Low-profile rear spoiler and front splitter</t>
    </r>
  </si>
  <si>
    <t>U2K</t>
  </si>
  <si>
    <r>
      <rPr>
        <rFont val="Calibri"/>
        <b/>
        <color rgb="FF000000"/>
        <sz val="11.0"/>
      </rPr>
      <t>SiriusXM with 360L</t>
    </r>
  </si>
  <si>
    <t>U5G</t>
  </si>
  <si>
    <r>
      <rPr>
        <rFont val="Calibri"/>
        <b/>
        <color rgb="FFFF0000"/>
        <sz val="11.0"/>
      </rPr>
      <t xml:space="preserve">NEW!  </t>
    </r>
    <r>
      <rPr>
        <rFont val="Calibri"/>
        <b/>
        <color rgb="FF000000"/>
        <sz val="11.0"/>
      </rPr>
      <t>5G vehicle connectivity</t>
    </r>
  </si>
  <si>
    <t>U80</t>
  </si>
  <si>
    <r>
      <rPr>
        <rFont val="Calibri"/>
        <b/>
        <color rgb="FF000000"/>
        <sz val="11.0"/>
      </rPr>
      <t>Compass</t>
    </r>
    <r>
      <rPr>
        <rFont val="Calibri"/>
        <color rgb="FF000000"/>
        <sz val="11.0"/>
      </rPr>
      <t>, digital</t>
    </r>
  </si>
  <si>
    <t>UD7</t>
  </si>
  <si>
    <r>
      <rPr>
        <rFont val="Calibri"/>
        <b/>
        <color rgb="FF000000"/>
        <sz val="11.0"/>
      </rPr>
      <t>Rear Park Assist</t>
    </r>
  </si>
  <si>
    <t>UE1</t>
  </si>
  <si>
    <r>
      <rPr>
        <rFont val="Calibri"/>
        <b/>
        <color rgb="FF000000"/>
        <sz val="11.0"/>
      </rPr>
      <t>OnStar services capable</t>
    </r>
  </si>
  <si>
    <t>UEU</t>
  </si>
  <si>
    <r>
      <rPr>
        <rFont val="Calibri"/>
        <b/>
        <color rgb="FF000000"/>
        <sz val="11.0"/>
      </rPr>
      <t>Forward Collision Alert</t>
    </r>
  </si>
  <si>
    <t>UFG</t>
  </si>
  <si>
    <r>
      <rPr>
        <rFont val="Calibri"/>
        <b/>
        <color rgb="FF000000"/>
        <sz val="11.0"/>
      </rPr>
      <t>Rear Cross Traffic Alert</t>
    </r>
  </si>
  <si>
    <t>UFT</t>
  </si>
  <si>
    <r>
      <rPr>
        <rFont val="Calibri"/>
        <b/>
        <color rgb="FF000000"/>
        <sz val="11.0"/>
      </rPr>
      <t>Side Blind Zone Alert</t>
    </r>
  </si>
  <si>
    <t>UG1</t>
  </si>
  <si>
    <r>
      <rPr>
        <rFont val="Calibri"/>
        <b/>
        <color rgb="FF000000"/>
        <sz val="11.0"/>
      </rPr>
      <t>Universal Home Remote</t>
    </r>
  </si>
  <si>
    <t>UHX</t>
  </si>
  <si>
    <r>
      <rPr>
        <rFont val="Calibri"/>
        <b/>
        <color rgb="FF000000"/>
        <sz val="11.0"/>
      </rPr>
      <t>Lane Keep Assist with Lane Departure Warning</t>
    </r>
  </si>
  <si>
    <t>UHY</t>
  </si>
  <si>
    <r>
      <rPr>
        <rFont val="Calibri"/>
        <b/>
        <color rgb="FF000000"/>
        <sz val="11.0"/>
      </rPr>
      <t>Automatic Emergency Braking</t>
    </r>
  </si>
  <si>
    <t>UKT</t>
  </si>
  <si>
    <r>
      <rPr>
        <rFont val="Calibri"/>
        <b/>
        <color rgb="FF000000"/>
        <sz val="11.0"/>
      </rPr>
      <t>Front Pedestrian and Bicyclist Braking</t>
    </r>
  </si>
  <si>
    <t>UQH</t>
  </si>
  <si>
    <r>
      <rPr>
        <rFont val="Calibri"/>
        <b/>
        <color rgb="FF000000"/>
        <sz val="11.0"/>
      </rPr>
      <t>Audio system feature</t>
    </r>
    <r>
      <rPr>
        <rFont val="Calibri"/>
        <color rgb="FF000000"/>
        <sz val="11.0"/>
      </rPr>
      <t>, Bose Performance Series Sound System</t>
    </r>
  </si>
  <si>
    <t>UQS</t>
  </si>
  <si>
    <r>
      <rPr>
        <rFont val="Calibri"/>
        <b/>
        <color rgb="FF000000"/>
        <sz val="11.0"/>
      </rPr>
      <t>Audio system feature</t>
    </r>
    <r>
      <rPr>
        <rFont val="Calibri"/>
        <color rgb="FF000000"/>
        <sz val="11.0"/>
      </rPr>
      <t>, Bose Premium 10-speaker system</t>
    </r>
  </si>
  <si>
    <r>
      <rPr>
        <rFont val="Calibri"/>
        <b/>
        <color rgb="FF000000"/>
        <sz val="11.0"/>
      </rPr>
      <t>Performance data and video recorder</t>
    </r>
  </si>
  <si>
    <t>UTJ</t>
  </si>
  <si>
    <r>
      <rPr>
        <rFont val="Calibri"/>
        <b/>
        <color rgb="FF000000"/>
        <sz val="11.0"/>
      </rPr>
      <t>Theft-deterrent system</t>
    </r>
  </si>
  <si>
    <t>UTU</t>
  </si>
  <si>
    <r>
      <rPr>
        <rFont val="Calibri"/>
        <b/>
        <color rgb="FF000000"/>
        <sz val="11.0"/>
      </rPr>
      <t>Theft deterrent sensor</t>
    </r>
    <r>
      <rPr>
        <rFont val="Calibri"/>
        <color rgb="FF000000"/>
        <sz val="11.0"/>
      </rPr>
      <t>, vehicle inclination</t>
    </r>
  </si>
  <si>
    <t>UTV</t>
  </si>
  <si>
    <r>
      <rPr>
        <rFont val="Calibri"/>
        <b/>
        <color rgb="FF000000"/>
        <sz val="11.0"/>
      </rPr>
      <t>Theft deterrent sensor</t>
    </r>
    <r>
      <rPr>
        <rFont val="Calibri"/>
        <color rgb="FF000000"/>
        <sz val="11.0"/>
      </rPr>
      <t>, vehicle interior movement</t>
    </r>
  </si>
  <si>
    <t>UV6</t>
  </si>
  <si>
    <r>
      <rPr>
        <rFont val="Calibri"/>
        <b/>
        <color rgb="FF000000"/>
        <sz val="11.0"/>
      </rPr>
      <t>Head-Up Display</t>
    </r>
  </si>
  <si>
    <t>UVA</t>
  </si>
  <si>
    <r>
      <rPr>
        <rFont val="Calibri"/>
        <b/>
        <color rgb="FF000000"/>
        <sz val="11.0"/>
      </rPr>
      <t>HD Front and Rear Vision Cameras</t>
    </r>
  </si>
  <si>
    <t>UVB</t>
  </si>
  <si>
    <r>
      <rPr>
        <rFont val="Calibri"/>
        <b/>
        <color rgb="FF000000"/>
        <sz val="11.0"/>
      </rPr>
      <t>HD Rear Vision Camera</t>
    </r>
  </si>
  <si>
    <t>V08</t>
  </si>
  <si>
    <r>
      <rPr>
        <rFont val="Calibri"/>
        <b/>
        <color rgb="FF000000"/>
        <sz val="11.0"/>
      </rPr>
      <t>Cooling system</t>
    </r>
    <r>
      <rPr>
        <rFont val="Calibri"/>
        <color rgb="FF000000"/>
        <sz val="11.0"/>
      </rPr>
      <t>, heavy-duty</t>
    </r>
  </si>
  <si>
    <r>
      <rPr>
        <rFont val="Calibri"/>
        <b/>
        <color rgb="FF000000"/>
        <sz val="11.0"/>
      </rPr>
      <t>LPO, Visible Carbon Fiber sill plates</t>
    </r>
  </si>
  <si>
    <t>VHM</t>
  </si>
  <si>
    <r>
      <rPr>
        <rFont val="Calibri"/>
        <b/>
        <color rgb="FF000000"/>
        <sz val="11.0"/>
      </rPr>
      <t>Vehicle health management</t>
    </r>
  </si>
  <si>
    <r>
      <rPr>
        <rFont val="Calibri"/>
        <b/>
        <color rgb="FF000000"/>
        <sz val="11.0"/>
      </rPr>
      <t>License plate bracket</t>
    </r>
    <r>
      <rPr>
        <rFont val="Calibri"/>
        <color rgb="FF000000"/>
        <sz val="11.0"/>
      </rPr>
      <t>, front</t>
    </r>
  </si>
  <si>
    <r>
      <rPr>
        <rFont val="Calibri"/>
        <b/>
        <color rgb="FF000000"/>
        <sz val="11.0"/>
      </rPr>
      <t>LPO, Custom splash guards</t>
    </r>
  </si>
  <si>
    <r>
      <rPr>
        <rFont val="Calibri"/>
        <b/>
        <color rgb="FF000000"/>
        <sz val="11.0"/>
      </rPr>
      <t>LPO, Rear fascia/roof storage protector</t>
    </r>
  </si>
  <si>
    <r>
      <rPr>
        <rFont val="Calibri"/>
        <b/>
        <color rgb="FF000000"/>
        <sz val="11.0"/>
      </rPr>
      <t>LPO, Engine Bay closeout graphics</t>
    </r>
  </si>
  <si>
    <t>VV4</t>
  </si>
  <si>
    <r>
      <rPr>
        <rFont val="Calibri"/>
        <b/>
        <color rgb="FF000000"/>
        <sz val="11.0"/>
      </rPr>
      <t>Wi-Fi Hotspot capable</t>
    </r>
  </si>
  <si>
    <r>
      <rPr>
        <rFont val="Calibri"/>
        <b/>
        <color rgb="FF000000"/>
        <sz val="11.0"/>
      </rPr>
      <t>LPO, Stingray R logo wheel center caps</t>
    </r>
  </si>
  <si>
    <r>
      <rPr>
        <rFont val="Calibri"/>
        <b/>
        <color rgb="FF000000"/>
        <sz val="11.0"/>
      </rPr>
      <t>LPO, Front radiator grille screens</t>
    </r>
  </si>
  <si>
    <r>
      <rPr>
        <rFont val="Calibri"/>
        <b/>
        <color rgb="FF000000"/>
        <sz val="11.0"/>
      </rPr>
      <t>LPO, Floor mats</t>
    </r>
    <r>
      <rPr>
        <rFont val="Calibri"/>
        <color rgb="FF000000"/>
        <sz val="11.0"/>
      </rPr>
      <t>, premium carpeted</t>
    </r>
  </si>
  <si>
    <r>
      <rPr>
        <rFont val="Calibri"/>
        <b/>
        <color rgb="FF000000"/>
        <sz val="11.0"/>
      </rPr>
      <t>LPO, Cargo net set</t>
    </r>
  </si>
  <si>
    <r>
      <rPr>
        <rFont val="Calibri"/>
        <b/>
        <color rgb="FF000000"/>
        <sz val="11.0"/>
      </rPr>
      <t>LPO, Premium indoor car cover</t>
    </r>
    <r>
      <rPr>
        <rFont val="Calibri"/>
        <color rgb="FF000000"/>
        <sz val="11.0"/>
      </rPr>
      <t>, Black with crossed flags logo and access panels</t>
    </r>
  </si>
  <si>
    <r>
      <rPr>
        <rFont val="Calibri"/>
        <b/>
        <color rgb="FFFF0000"/>
        <sz val="11.0"/>
      </rPr>
      <t xml:space="preserve">NEW!  </t>
    </r>
    <r>
      <rPr>
        <rFont val="Calibri"/>
        <b/>
        <color rgb="FF000000"/>
        <sz val="11.0"/>
      </rPr>
      <t>LPO, Premium indoor car cover</t>
    </r>
    <r>
      <rPr>
        <rFont val="Calibri"/>
        <color rgb="FF000000"/>
        <sz val="11.0"/>
      </rPr>
      <t>, GT3.R, fully rendered</t>
    </r>
  </si>
  <si>
    <t>XFN</t>
  </si>
  <si>
    <r>
      <rPr>
        <rFont val="Calibri"/>
        <b/>
        <color rgb="FF000000"/>
        <sz val="11.0"/>
      </rPr>
      <t>Tires</t>
    </r>
    <r>
      <rPr>
        <rFont val="Calibri"/>
        <color rgb="FF000000"/>
        <sz val="11.0"/>
      </rPr>
      <t>, 245/35ZR19 front and 305/30ZR20 rear, blackwall, all-season, performance</t>
    </r>
  </si>
  <si>
    <t>YF5</t>
  </si>
  <si>
    <r>
      <rPr>
        <rFont val="Calibri"/>
        <b/>
        <color rgb="FF000000"/>
        <sz val="11.0"/>
      </rPr>
      <t>Emissions</t>
    </r>
    <r>
      <rPr>
        <rFont val="Calibri"/>
        <color rgb="FF000000"/>
        <sz val="11.0"/>
      </rPr>
      <t>, California state requirements</t>
    </r>
  </si>
  <si>
    <r>
      <rPr>
        <rFont val="Calibri"/>
        <b/>
        <color rgb="FF000000"/>
        <sz val="11.0"/>
      </rPr>
      <t>Z51 Performance Package</t>
    </r>
  </si>
  <si>
    <r>
      <rPr>
        <rFont val="Calibri"/>
        <b/>
        <color rgb="FF000000"/>
        <sz val="11.0"/>
      </rPr>
      <t>Aero delete</t>
    </r>
  </si>
  <si>
    <r>
      <rPr>
        <rFont val="Calibri"/>
        <b/>
        <color rgb="FF000000"/>
        <sz val="11.0"/>
      </rPr>
      <t>Carbon Flash Metallic-painted outside mirrors and spoiler (when equipped)</t>
    </r>
  </si>
  <si>
    <r>
      <rPr>
        <rFont val="Calibri"/>
        <b/>
        <color rgb="FF000000"/>
        <sz val="11.0"/>
      </rPr>
      <t>Convertible Engine Appearance Package</t>
    </r>
  </si>
  <si>
    <t>EFY-e</t>
  </si>
  <si>
    <t>Standard.  Includes side vents, rockers, and front/rear grille accents. Includes tonneau vent on convertible.</t>
  </si>
  <si>
    <t>J6B</t>
  </si>
  <si>
    <t>Blue Painted Calipers</t>
  </si>
  <si>
    <t>Requires J57 Ceramic brakes</t>
  </si>
  <si>
    <t>J6D</t>
  </si>
  <si>
    <t>Dark Gray metallic Painted Calipers</t>
  </si>
  <si>
    <t>Standard with J57, Requires J57 Ceramic brakes</t>
  </si>
  <si>
    <t>J6L</t>
  </si>
  <si>
    <t>Orange Painted Calipers</t>
  </si>
  <si>
    <t>LPO, Premium outdoor car cover, Gray with crossed flags logo and Corvette silhouette</t>
  </si>
  <si>
    <t>CFV</t>
  </si>
  <si>
    <t>Carbon Fiber Ground Effects- Visible Carbon weave</t>
  </si>
  <si>
    <t>Included with T0G</t>
  </si>
  <si>
    <t>CFZ</t>
  </si>
  <si>
    <t>Carbon Fiber Ground Effects- Carbon Flash metallic Painted</t>
  </si>
  <si>
    <t>Included with T0F</t>
  </si>
  <si>
    <t>LPO, Dual Roof, adds clear roof and storage bag.</t>
  </si>
  <si>
    <t>Adds Transparent glass panel CC3 and Roof panel storage bag SC7</t>
  </si>
  <si>
    <t>roof, lpo</t>
  </si>
  <si>
    <t>Not available at the start of production</t>
  </si>
  <si>
    <t>Included with SBT. Coupe Only. Keeps roof panel protected when storing OUTSIDE of car. Can NOT store roof panel in pouch and put in rear trunk; damage can occur to the roof panel and trunk lid.</t>
  </si>
  <si>
    <t>SIG</t>
  </si>
  <si>
    <t>LPO, Spoiler Extension, clear smoked center bridge w/ Jake Logo</t>
  </si>
  <si>
    <t>Requires T0E rear spoiler (Standard spoiler)</t>
  </si>
  <si>
    <t>SUF</t>
  </si>
  <si>
    <t>Eray Badge in Blue</t>
  </si>
  <si>
    <t>VWE-z</t>
  </si>
  <si>
    <t>PDA</t>
  </si>
  <si>
    <t>Jake C8.R Graphics Package</t>
  </si>
  <si>
    <t>Includes SNE Jake hood graphic, LPO and VPW Jake C8.R rear hash graphic, LPO, Genuine Corvette Accessories</t>
  </si>
  <si>
    <t>Includes RIA and CAV</t>
  </si>
  <si>
    <t>Not available with RIA or CAV</t>
  </si>
  <si>
    <t>ZER</t>
  </si>
  <si>
    <t>ZER Performance Package</t>
  </si>
  <si>
    <t>XFR 275/30ZR20 front and 345/25ZR21 rear, blackwall, high performance tires, FED ZER suspension with Magnetic Selective Ride Control</t>
  </si>
  <si>
    <t>5V5-z</t>
  </si>
  <si>
    <t>Visible Carbon Fiber "low" spoiler</t>
  </si>
  <si>
    <t>Not available with 5ZV</t>
  </si>
  <si>
    <t>5ZV</t>
  </si>
  <si>
    <t>NEW!  LPO, Three-Stanchion high wing spoiler, Carbon Flash Metallic-painted</t>
  </si>
  <si>
    <t>WA</t>
  </si>
  <si>
    <t>Not available with 5V5-z</t>
  </si>
  <si>
    <t>T0E</t>
  </si>
  <si>
    <t>Low Rear Spoiler</t>
  </si>
  <si>
    <t>Standard. Includes wicker end caps in 2 sizes</t>
  </si>
  <si>
    <t>DTB</t>
  </si>
  <si>
    <t>Electric Blue Full Length Dual Racing Stripes</t>
  </si>
  <si>
    <t>SNE</t>
  </si>
  <si>
    <t>Jake Hood Graphic</t>
  </si>
  <si>
    <t>VPO</t>
  </si>
  <si>
    <t>Jake C8.R Rear Hash Graphic with Tech Bronze Accent</t>
  </si>
  <si>
    <t>VPW</t>
  </si>
  <si>
    <t>Jake C8.R Rear Hash Graphic</t>
  </si>
  <si>
    <t>ROU</t>
  </si>
  <si>
    <t>Pearl Nickel</t>
  </si>
  <si>
    <t>Standard (20"x10" Front / 21"x13" Rear) Forged Aluminum Rims.</t>
  </si>
  <si>
    <t>ROX</t>
  </si>
  <si>
    <t>Carbon Flash with Machined Edge</t>
  </si>
  <si>
    <t>(20"x10" Front / 21"x13" Rear) Forged Aluminum Rims.</t>
  </si>
  <si>
    <t>ROY</t>
  </si>
  <si>
    <t>Carbon Flash metallic painted</t>
  </si>
  <si>
    <t>Requires J57 Ceramic brakes. (20"x10" Front / 21"x13" Rear)</t>
  </si>
  <si>
    <t>wheels, carbon_fiber</t>
  </si>
  <si>
    <t>ROZ</t>
  </si>
  <si>
    <t>Visible Carbon Fiber</t>
  </si>
  <si>
    <t>SOM</t>
  </si>
  <si>
    <t>Bright Polished</t>
  </si>
  <si>
    <t>SON</t>
  </si>
  <si>
    <t>Gloss Black</t>
  </si>
  <si>
    <t>STZ</t>
  </si>
  <si>
    <t>Visible Carbon Fiber with Red Stripe</t>
  </si>
  <si>
    <t>5DH</t>
  </si>
  <si>
    <t>Satin Graphite, Spider design Forged Aluminum Wheels with Red Stripe</t>
  </si>
  <si>
    <t>Includes Black lug nuts, LPO and Black wheel locks, LPO. Comes as a Second Set of Wheels</t>
  </si>
  <si>
    <t>5DK</t>
  </si>
  <si>
    <t>Tech Bronze, Spider design Forged Aluminum Wheels</t>
  </si>
  <si>
    <t>BCW</t>
  </si>
  <si>
    <t>Engine Intake, Edge red.</t>
  </si>
  <si>
    <t>Requires B6P on Coupe. Requires ZZ3 Engine appearance package on Convertible.</t>
  </si>
  <si>
    <t>BCW-s</t>
  </si>
  <si>
    <t>Without B6P. Includes D3V Engine Bay Lights on Coupe. Requires ZZ3 Engine appearance package on Convertible.</t>
  </si>
  <si>
    <t>CBF</t>
  </si>
  <si>
    <t>"NEW!  Rockers and splitter, body-color</t>
  </si>
  <si>
    <t>Not available with exterior color (GBA) Black or (CFV/CFZ) ground effects."</t>
  </si>
  <si>
    <t>J57</t>
  </si>
  <si>
    <t>Carbon Ceramic Brakes</t>
  </si>
  <si>
    <t>Included with Z07</t>
  </si>
  <si>
    <t>PCZ</t>
  </si>
  <si>
    <t xml:space="preserve">Includes 5DK, SFZ, SHT, VPO </t>
  </si>
  <si>
    <t>Not available with EYK, PDA, SNE, DPB, DPC, DPG, DPL, DPT, DSY, DSZ, DT0, DTH, DUB, DUW, DZU, DZV, DZX</t>
  </si>
  <si>
    <t>Gas guzzler tax, mandatory federal tax added to price of vehicle.</t>
  </si>
  <si>
    <t>ALL Z06 and ZR1</t>
  </si>
  <si>
    <t>Gas Guzzler Tax</t>
  </si>
  <si>
    <t>RXI</t>
  </si>
  <si>
    <t>LT6 Engine Cover In Visible Carbon Fiber</t>
  </si>
  <si>
    <t>Coupe, 3LZ only</t>
  </si>
  <si>
    <t>engine_bay, carbon_fiber, lpo</t>
  </si>
  <si>
    <t>Included with Dual roof packages C2M, C2Q, SBT. Coupe Only</t>
  </si>
  <si>
    <t>SG1</t>
  </si>
  <si>
    <t>Z06 Badge in Edge Red</t>
  </si>
  <si>
    <t>SOA</t>
  </si>
  <si>
    <t>Black, Spider Design Wheels</t>
  </si>
  <si>
    <t>SOE</t>
  </si>
  <si>
    <t>Titanium Satin, Spider Design Wheels</t>
  </si>
  <si>
    <t>SRK</t>
  </si>
  <si>
    <t>Pearl Nickel, 10-spoke Spider Design Wheels</t>
  </si>
  <si>
    <t>(20"x10" Front / 21"x13" Rear) Forged Aluminum Rims. new</t>
  </si>
  <si>
    <t>SRN</t>
  </si>
  <si>
    <t>Gloss Black, 10-spoke Spider Design Wheels</t>
  </si>
  <si>
    <t>STE</t>
  </si>
  <si>
    <t>Polished, 10-spoke Spider Design Wheels</t>
  </si>
  <si>
    <t>STX</t>
  </si>
  <si>
    <t>Bright Polished with Carbon Flash Painted Pockets, 10-spoke Spider Design Wheels</t>
  </si>
  <si>
    <t>T0F</t>
  </si>
  <si>
    <t>Carbon Aero package- Carbon Flash metallic Painted</t>
  </si>
  <si>
    <t>Includes high-wing spoiler, front dive planes, and CFZ Carbon Flash-painted carbon ground effects</t>
  </si>
  <si>
    <t>T0G</t>
  </si>
  <si>
    <t>Carbon Aero package- Visible Carbon Fiber Weave</t>
  </si>
  <si>
    <t>Includes high-wing spoiler, front dive planes, and CFV visible carbon ground effects</t>
  </si>
  <si>
    <t>WKS</t>
  </si>
  <si>
    <t>Premium Indoor car cover, Galvanized Cool w/ Z06 Logo</t>
  </si>
  <si>
    <t>Z07</t>
  </si>
  <si>
    <t>Z07 Performance Package</t>
  </si>
  <si>
    <t xml:space="preserve">J57 Carbon Ceramic Brakes, FE7 Z07 Performance Suspension with Mag Selective Ride Ctrl, J6D Dark Gray Metallic Painted Caliper, XFS Cup Ultra Performance Tires, 275/30ZR20 Frt, 345/25ZR21 Rear, </t>
  </si>
  <si>
    <t>Requires T0F or T0G Carbon Aero Package</t>
  </si>
  <si>
    <t xml:space="preserve">Adds DRG carbon flash painted mirrors (N/C) </t>
  </si>
  <si>
    <t>C2Z-z</t>
  </si>
  <si>
    <t>Standard on ZR1</t>
  </si>
  <si>
    <t>ZR1 rear trunk only</t>
  </si>
  <si>
    <t>CFC</t>
  </si>
  <si>
    <t>Convertible top</t>
  </si>
  <si>
    <t>Standard. Retractable, power-folding hard top, visible carbon fiber, remote control (down only), includes power glass rear window with integral defogger</t>
  </si>
  <si>
    <t>3LZ trim level only</t>
  </si>
  <si>
    <t>Standard Carbon Flash.  Front grille and rear vents.</t>
  </si>
  <si>
    <t>Exterior trim, carbon fiber split window trim, painted body-color</t>
  </si>
  <si>
    <t>Coupe Only</t>
  </si>
  <si>
    <t>J6O</t>
  </si>
  <si>
    <t>Bronze Painted Calipers</t>
  </si>
  <si>
    <t>ZR1 Only</t>
  </si>
  <si>
    <t>SOF</t>
  </si>
  <si>
    <t>Edge Blue-painted forged aluminum 20 Spoke Wheels</t>
  </si>
  <si>
    <t>Carbon Flash-painted forged aluminum 20 Spoke Wheels</t>
  </si>
  <si>
    <t>SOH</t>
  </si>
  <si>
    <t>Bright machined forged aluminum 20 Spoke Wheels</t>
  </si>
  <si>
    <t>SOJ</t>
  </si>
  <si>
    <t>Sterling Silver-painted forged aluminum 20 Spoke Wheels</t>
  </si>
  <si>
    <t>SU1</t>
  </si>
  <si>
    <t>Visible carbon fiber 10 Spoke Wheels</t>
  </si>
  <si>
    <t>(20"x10" Front / 21"x13" Rear)</t>
  </si>
  <si>
    <t>TOM</t>
  </si>
  <si>
    <t>ZR1 Carbon Fiber Aero Package</t>
  </si>
  <si>
    <t>Visible carbon fiber, includes carbon fiber high-wing spoiler, dive planes, and tall hood spoiler</t>
  </si>
  <si>
    <t>ZTK</t>
  </si>
  <si>
    <t>ZTK Track Performance Package</t>
  </si>
  <si>
    <t>Includes (J59) carbon ceramic, 10-piston front, 6-piston rear brakes, (FEJ) ZTK suspension with Magnetic Selective Ride Control and (XFS) 275/30ZR20 front and 345/25ZR21 rear Michelin Pilot Sport Cup 2 R ultra performance tires</t>
  </si>
  <si>
    <t>Requires (TOM) ZR1 Carbon Fiber Aero Package.</t>
  </si>
  <si>
    <t>Also paints Spoiler IF equipped with T0E</t>
  </si>
  <si>
    <t>Requires T0E</t>
  </si>
  <si>
    <t>1LZ Colors</t>
  </si>
  <si>
    <t>1LZ</t>
  </si>
  <si>
    <t>1LZ Seats</t>
  </si>
  <si>
    <t>2LZ Colors</t>
  </si>
  <si>
    <t>2LZ</t>
  </si>
  <si>
    <t>2LZ Seats</t>
  </si>
  <si>
    <t>3LZ Colors</t>
  </si>
  <si>
    <t>3LZ</t>
  </si>
  <si>
    <t>N2Z</t>
  </si>
  <si>
    <t>AH2 GT2 Seats. Includes Carbon Fiber Suede Steering Wheel. Interior color is on seats, doors, console, and knee areas. Custom Stitching is on headliner of Coupe only. All Napa. TU7 Two tone seats available with GT2 seats</t>
  </si>
  <si>
    <t>AE4 Comp Seats. Includes Carbon Fiber Suede Steering Wheel. Interior color is on seats, doors, console, and knee areas. Custom Stitching is on headliner of Coupe only. All Napa.</t>
  </si>
  <si>
    <t>AH2 GT2 Seats. Includes Carbon Fiber Suede Steering Wheel. Interior color is on seats, doors, console, and knee areas. Custom Stitching is on headliner of Coupe only. All Napa. TU7 Two tone adds black seat inserts and headrest.</t>
  </si>
  <si>
    <t>AH2 GT2 Seats. Includes Carbon Fiber Suede Steering Wheel. Custom Stitching is on headliner of Coupe only. All Napa. Doors and console are also suede.</t>
  </si>
  <si>
    <t>AE4 Comp Seats. Includes Carbon Fiber Suede Steering Wheel. Custom Stitching is on headliner of Coupe only. All Napa. Doors and console are also suede.</t>
  </si>
  <si>
    <t>AH2 GT2 Seats. Includes Carbon Fiber Suede Steering Wheel. Custom Stitching is on headliner of Coupe only. All Napa. Door and console trim are also suede.</t>
  </si>
  <si>
    <t>AE4 Comp Seats. Includes Carbon Fiber Suede Steering Wheel. Custom Stitching is on headliner of Coupe only. All Napa. Door and console trim are also suede.</t>
  </si>
  <si>
    <t xml:space="preserve">AH2 GT2 Seats. Custom Stitching is on headliner of Coupe only. Includes Carbon Fiber Suede Steering Wheel. </t>
  </si>
  <si>
    <t xml:space="preserve">AE4 Comp Seats. Custom Stitching is on headliner of Coupe only. All Napa. Includes Carbon Fiber Suede Steering Wheel. </t>
  </si>
  <si>
    <t xml:space="preserve">AH2 GT2 Seats. Suede is on trim and dash. Includes Carbon Fiber Suede Steering Wheel. </t>
  </si>
  <si>
    <t xml:space="preserve">AE4 Competition Seats. Suede is on trim and dash. Includes Carbon Fiber Suede Steering Wheel. </t>
  </si>
  <si>
    <t>AH2 GT2 Seats. Includes Carbon Fiber Suede Steering Wheel. Interior color is on seats, doors, console, and knee areas. Custom Stitching is on headliner of Coupe only. All Napa. TU7 Two tone seats available with GT2 seats. Upper Interior is sky cool gray suede.</t>
  </si>
  <si>
    <t>AE4 Comp Seats are black. Includes Carbon Fiber Suede Steering Wheel. Interior color is on seats, doors, console, and knee areas. Custom Stitching is on headliner of Coupe only. All Napa. Upper Interior is sky cool gray suede.</t>
  </si>
  <si>
    <t>AH2 GT2 Seats. Includes Carbon Fiber Suede Steering Wheel. Interior color is on seats, doors, console, and knee areas. Custom Stitching is on headliner of Coupe only. All Napa. TU7 Two tone adds black seat inserts and headrest. Upper Interior is sky cool gray suede.</t>
  </si>
  <si>
    <t>AH2 GT2 Seats. Includes Carbon Fiber Suede Steering Wheel. Interior color is on seats, doors, console, and knee areas. Custom Stitching is on headliner of Coupe only. All Napa. TU7 two tone seats required.</t>
  </si>
  <si>
    <t>AH2 GT2 Seats. Includes Natural Seatbelt. Includes Carbon Fiber Suede Steering Wheel. Dipped interior is full color interior, instrument panel, doors, and carpet. Custom Stitching is on headliner of Coupe only. All Napa. Doors and console trim are suede.</t>
  </si>
  <si>
    <t>AE4 Comp Seats. Includes Natural Seatbelt. Includes Carbon Fiber Suede Steering Wheel. Dipped interior is full color interior, instrument panel, doors, and carpet. Custom Stitching is on headliner of Coupe only. All Napa. Doors and console trim are suede.</t>
  </si>
  <si>
    <t>AH2 GT2 Seats. Includes Carbon Fiber Suede Steering Wheel. Interior color layout is unique. Custom Stitching is on headliner of Coupe only. All Napa. Doors and console trim are black suede. Includes Orange Seatbelt.</t>
  </si>
  <si>
    <t>AE4 Comp Seats. Includes Carbon Fiber Suede Steering Wheel. Interior color layout is unique. Custom Stitching is on headliner of Coupe only. All Napa. Doors and console trim are black suede. Includes Orange Seatbelt.</t>
  </si>
  <si>
    <t>Napa leather with perforated sueded microfiber inserts^**. Requires N2Z carbon fiber sueded microfiber wrapped steering wheel.</t>
  </si>
  <si>
    <t>3LZ Custom Interior Trim and Seat Combination</t>
  </si>
  <si>
    <t>3LZ R6X</t>
  </si>
  <si>
    <t xml:space="preserve">AH2 GT2 Seats only. Includes Carbon Fiber Suede Steering Wheel. </t>
  </si>
  <si>
    <t>AH2 GT2 Seats only. Includes Carbon Fiber Suede Steering Wheel. TU7 Two tone adds black seat inserts and headrest.</t>
  </si>
  <si>
    <t>AH2 GT2 Seats. Includes Carbon Fiber Suede Steering Wheel. Upper interior is sky cool gray suede.</t>
  </si>
  <si>
    <t>AE4 Comp Seats only. Includes Carbon Fiber Suede Steering Wheel. Requires 38S Red custom stitching.</t>
  </si>
  <si>
    <t>AH2 GT2 Seats only. Includes Carbon Fiber Suede Steering Wheel. Requires 38S Red custom stitching &amp; TU7 Two tone seats.</t>
  </si>
  <si>
    <t>AH2 GT2 Seats. Includes Carbon Fiber Suede Steering Wheel. Seats are black with red stitching.</t>
  </si>
  <si>
    <t>AE4 Comp Seats. Includes Carbon Fiber Suede Steering Wheel. Seats are black with red stitching.</t>
  </si>
  <si>
    <t>3LZ Seats</t>
  </si>
  <si>
    <t>Color Combination Override w/ Custom trim and seat combination</t>
  </si>
  <si>
    <t>Dark finish aluminum trim 2LZ</t>
  </si>
  <si>
    <t>Dark finish aluminum trim 3LZ</t>
  </si>
  <si>
    <t xml:space="preserve">Replaces aluminum trim around gear selector, window controls on doors, and frame around driver info screen with gloss carbon fiber weave. Requires 2LZ </t>
  </si>
  <si>
    <t>Replaces aluminum trim around gear selector, window controls on doors, and frame around driver info screen with gloss carbon fiber weave. Requires 2LZ or 3LZ.</t>
  </si>
  <si>
    <t>Carbon fiber Trim Level 2</t>
  </si>
  <si>
    <t>Full carbon interior on door panel, console, and DIC</t>
  </si>
  <si>
    <t>DY0</t>
  </si>
  <si>
    <t>Carbon Fiber Display hood</t>
  </si>
  <si>
    <t>Located above the Driver Information Center Display. 3LZ Only</t>
  </si>
  <si>
    <t>1LZ: Required and only available with AE4 Competition seat.</t>
  </si>
  <si>
    <t>2LZ: Available with AH2 GT2 or AE4 Competition Seats only.</t>
  </si>
  <si>
    <t>Carbon Fiber Suede Wrapped Steering Wheel</t>
  </si>
  <si>
    <t xml:space="preserve">3LZ Sueded microfiber wrapped and Carbon Fiber on top and bottom </t>
  </si>
  <si>
    <t>Only available with GT2 Seats. Only available with Sky Cool Gray, Adrenaline Red, or Natural interiors. Required on HU7</t>
  </si>
  <si>
    <t>Only available with GT2 Seats. Only available with Sky Cool Gray, Adrenaline Red, or Natural interiors. Not available with 3LZ "Dipped" interiors. Required on HUA, HX0</t>
  </si>
  <si>
    <t>1LZ Only</t>
  </si>
  <si>
    <t>Included with Habanero interior and Sky Cool/ Med Ash Gray/ Habanero accents interior</t>
  </si>
  <si>
    <t>Included with Santorini Blue H8T</t>
  </si>
  <si>
    <t>Included with Adrenaline Red Dipped.</t>
  </si>
  <si>
    <t>Included with Natural Dipped</t>
  </si>
  <si>
    <t>MISSING IN ERAY</t>
  </si>
  <si>
    <r>
      <rPr>
        <rFont val="Calibri"/>
        <b/>
        <color rgb="FF000000"/>
        <sz val="11.0"/>
      </rPr>
      <t>Seat belt color</t>
    </r>
    <r>
      <rPr>
        <rFont val="Calibri"/>
        <color rgb="FF000000"/>
        <sz val="11.0"/>
      </rPr>
      <t>, Orange</t>
    </r>
  </si>
  <si>
    <r>
      <rPr>
        <rFont val="Calibri"/>
        <b/>
        <color rgb="FF000000"/>
        <sz val="11.0"/>
      </rPr>
      <t>Santorini Blue custom leather stitch</t>
    </r>
  </si>
  <si>
    <r>
      <rPr>
        <rFont val="Calibri"/>
        <b/>
        <color rgb="FF000000"/>
        <sz val="11.0"/>
      </rPr>
      <t>Adrenaline Red custom leather stitch</t>
    </r>
  </si>
  <si>
    <r>
      <rPr>
        <rFont val="Calibri"/>
        <b/>
        <color rgb="FF000000"/>
        <sz val="11.0"/>
      </rPr>
      <t>Seat belt color</t>
    </r>
    <r>
      <rPr>
        <rFont val="Calibri"/>
        <color rgb="FF000000"/>
        <sz val="11.0"/>
      </rPr>
      <t>, Santorini Blue</t>
    </r>
  </si>
  <si>
    <r>
      <rPr>
        <rFont val="Calibri"/>
        <b/>
        <color rgb="FF000000"/>
        <sz val="11.0"/>
      </rPr>
      <t>Seat belt color</t>
    </r>
    <r>
      <rPr>
        <rFont val="Calibri"/>
        <color rgb="FF000000"/>
        <sz val="11.0"/>
      </rPr>
      <t>, Torch Red</t>
    </r>
  </si>
  <si>
    <r>
      <rPr>
        <rFont val="Calibri"/>
        <b/>
        <color rgb="FF000000"/>
        <sz val="11.0"/>
      </rPr>
      <t>Seat belt color</t>
    </r>
    <r>
      <rPr>
        <rFont val="Calibri"/>
        <color rgb="FF000000"/>
        <sz val="11.0"/>
      </rPr>
      <t>, Yellow</t>
    </r>
  </si>
  <si>
    <r>
      <rPr>
        <rFont val="Calibri"/>
        <b/>
        <color rgb="FF000000"/>
        <sz val="11.0"/>
      </rPr>
      <t>Seat belt color</t>
    </r>
    <r>
      <rPr>
        <rFont val="Calibri"/>
        <color rgb="FF000000"/>
        <sz val="11.0"/>
      </rPr>
      <t>, Natural</t>
    </r>
  </si>
  <si>
    <r>
      <rPr>
        <rFont val="Calibri"/>
        <b/>
        <color rgb="FF000000"/>
        <sz val="11.0"/>
      </rPr>
      <t>LPO, Outside mirror covers in visible Carbon Fiber</t>
    </r>
  </si>
  <si>
    <r>
      <rPr>
        <rFont val="Calibri"/>
        <b/>
        <color rgb="FF000000"/>
        <sz val="11.0"/>
      </rPr>
      <t>LPO, Spoiler, Visible Carbon Fiber</t>
    </r>
  </si>
  <si>
    <r>
      <rPr>
        <rFont val="Calibri"/>
        <b/>
        <color rgb="FF000000"/>
        <sz val="11.0"/>
      </rPr>
      <t>LPO, Jake logo wheel center caps</t>
    </r>
  </si>
  <si>
    <r>
      <rPr>
        <rFont val="Calibri"/>
        <b/>
        <color rgb="FF000000"/>
        <sz val="11.0"/>
      </rPr>
      <t>LPO, Carbon Flash wheel center caps with crossed flags logo</t>
    </r>
  </si>
  <si>
    <r>
      <rPr>
        <rFont val="Calibri"/>
        <b/>
        <color rgb="FFFF0000"/>
        <sz val="11.0"/>
      </rPr>
      <t xml:space="preserve">NEW!  </t>
    </r>
    <r>
      <rPr>
        <rFont val="Calibri"/>
        <b/>
        <color rgb="FF000000"/>
        <sz val="11.0"/>
      </rPr>
      <t>LPO, Three-Stanchion high wing spoiler, Carbon Flash Metallic-painted</t>
    </r>
  </si>
  <si>
    <r>
      <rPr>
        <rFont val="Calibri"/>
        <b/>
        <color rgb="FF000000"/>
        <sz val="11.0"/>
      </rPr>
      <t>Seat belt color</t>
    </r>
    <r>
      <rPr>
        <rFont val="Calibri"/>
        <color rgb="FF000000"/>
        <sz val="11.0"/>
      </rPr>
      <t>, Black</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</si>
  <si>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</si>
  <si>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</si>
  <si>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Seats</t>
    </r>
    <r>
      <rPr>
        <rFont val="Calibri"/>
        <color rgb="FF000000"/>
        <sz val="11.0"/>
      </rPr>
      <t>, Competition Sport bucket</t>
    </r>
  </si>
  <si>
    <r>
      <rPr>
        <rFont val="Calibri"/>
        <b/>
        <color rgb="FF000000"/>
        <sz val="11.0"/>
      </rPr>
      <t>Seats</t>
    </r>
    <r>
      <rPr>
        <rFont val="Calibri"/>
        <color rgb="FF000000"/>
        <sz val="11.0"/>
      </rPr>
      <t>, GT2 bucket</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</si>
  <si>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</si>
  <si>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</si>
  <si>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Airbags</t>
    </r>
    <r>
      <rPr>
        <rFont val="Calibri"/>
        <color rgb="FF000000"/>
        <sz val="11.0"/>
      </rPr>
      <t>, frontal and side-impact, driver and passenger</t>
    </r>
  </si>
  <si>
    <r>
      <rPr>
        <rFont val="Calibri"/>
        <b/>
        <color rgb="FF000000"/>
        <sz val="11.0"/>
      </rPr>
      <t>Seat adjuster</t>
    </r>
    <r>
      <rPr>
        <rFont val="Calibri"/>
        <color rgb="FF000000"/>
        <sz val="11.0"/>
      </rPr>
      <t>, power driver lumbar control</t>
    </r>
  </si>
  <si>
    <r>
      <rPr>
        <rFont val="Calibri"/>
        <b/>
        <color rgb="FF000000"/>
        <sz val="11.0"/>
      </rPr>
      <t>Cargo nets</t>
    </r>
  </si>
  <si>
    <r>
      <rPr>
        <rFont val="Calibri"/>
        <b/>
        <color rgb="FF000000"/>
        <sz val="11.0"/>
      </rPr>
      <t>Seats</t>
    </r>
    <r>
      <rPr>
        <rFont val="Calibri"/>
        <color rgb="FF000000"/>
        <sz val="11.0"/>
      </rPr>
      <t>, GT1 bucket</t>
    </r>
  </si>
  <si>
    <r>
      <rPr>
        <rFont val="Calibri"/>
        <b/>
        <color rgb="FF000000"/>
        <sz val="11.0"/>
      </rPr>
      <t>Memory Driver and Passenger Convenience Package</t>
    </r>
  </si>
  <si>
    <r>
      <rPr>
        <rFont val="Calibri"/>
        <b/>
        <color rgb="FF000000"/>
        <sz val="11.0"/>
      </rPr>
      <t>Seat adjuster</t>
    </r>
    <r>
      <rPr>
        <rFont val="Calibri"/>
        <color rgb="FF000000"/>
        <sz val="11.0"/>
      </rPr>
      <t>, power passenger lumbar control</t>
    </r>
  </si>
  <si>
    <r>
      <rPr>
        <rFont val="Calibri"/>
        <b/>
        <color rgb="FFFF0000"/>
        <sz val="11.0"/>
      </rPr>
      <t xml:space="preserve">NEW!  </t>
    </r>
    <r>
      <rPr>
        <rFont val="Calibri"/>
        <b/>
        <color rgb="FF000000"/>
        <sz val="11.0"/>
      </rPr>
      <t>Seats</t>
    </r>
    <r>
      <rPr>
        <rFont val="Calibri"/>
        <color rgb="FF000000"/>
        <sz val="11.0"/>
      </rPr>
      <t>, mixed, driver Competition Sport bucket, passenger GT2 bucket</t>
    </r>
  </si>
  <si>
    <r>
      <rPr>
        <rFont val="Calibri"/>
        <b/>
        <color rgb="FF000000"/>
        <sz val="11.0"/>
      </rPr>
      <t>Performance Traction Management</t>
    </r>
  </si>
  <si>
    <r>
      <rPr>
        <rFont val="Calibri"/>
        <b/>
        <color rgb="FF000000"/>
        <sz val="11.0"/>
      </rPr>
      <t>Coupe Engine Appearance Package</t>
    </r>
  </si>
  <si>
    <r>
      <rPr>
        <rFont val="Calibri"/>
        <b/>
        <color rgb="FF000000"/>
        <sz val="11.0"/>
      </rPr>
      <t>Stealth Interior Trim Package</t>
    </r>
  </si>
  <si>
    <r>
      <rPr>
        <rFont val="Calibri"/>
        <b/>
        <color rgb="FF000000"/>
        <sz val="11.0"/>
      </rPr>
      <t>LT2 engine cover</t>
    </r>
  </si>
  <si>
    <r>
      <rPr>
        <rFont val="Calibri"/>
        <b/>
        <color rgb="FF000000"/>
        <sz val="11.0"/>
      </rPr>
      <t>LT2 engine cover</t>
    </r>
  </si>
  <si>
    <r>
      <rPr>
        <rFont val="Calibri"/>
        <b/>
        <color rgb="FF000000"/>
        <sz val="11.0"/>
      </rPr>
      <t>LT2 engine cover</t>
    </r>
  </si>
  <si>
    <r>
      <rPr>
        <rFont val="Calibri"/>
        <b/>
        <color rgb="FF000000"/>
        <sz val="11.0"/>
      </rPr>
      <t>Plaque</t>
    </r>
    <r>
      <rPr>
        <rFont val="Calibri"/>
        <color rgb="FF000000"/>
        <sz val="11.0"/>
      </rPr>
      <t>, personalized</t>
    </r>
  </si>
  <si>
    <r>
      <rPr>
        <rFont val="Calibri"/>
        <b/>
        <color rgb="FF000000"/>
        <sz val="11.0"/>
      </rPr>
      <t>Roof panel</t>
    </r>
    <r>
      <rPr>
        <rFont val="Calibri"/>
        <color rgb="FF000000"/>
        <sz val="11.0"/>
      </rPr>
      <t>, visible carbon fiber with body-color surround</t>
    </r>
  </si>
  <si>
    <r>
      <rPr>
        <rFont val="Calibri"/>
        <b/>
        <color rgb="FF000000"/>
        <sz val="11.0"/>
      </rPr>
      <t>LPO, Contoured cargo area liner</t>
    </r>
    <r>
      <rPr>
        <rFont val="Calibri"/>
        <color rgb="FF000000"/>
        <sz val="11.0"/>
      </rPr>
      <t xml:space="preserve"> with Jake logo</t>
    </r>
  </si>
  <si>
    <r>
      <rPr>
        <rFont val="Calibri"/>
        <b/>
        <color rgb="FF000000"/>
        <sz val="11.0"/>
      </rPr>
      <t>Roof panel</t>
    </r>
    <r>
      <rPr>
        <rFont val="Calibri"/>
        <color rgb="FF000000"/>
        <sz val="11.0"/>
      </rPr>
      <t>, transparent, removable</t>
    </r>
  </si>
  <si>
    <r>
      <rPr>
        <rFont val="Calibri"/>
        <b/>
        <color rgb="FF000000"/>
        <sz val="11.0"/>
      </rPr>
      <t>Roof panel</t>
    </r>
    <r>
      <rPr>
        <rFont val="Calibri"/>
        <color rgb="FF000000"/>
        <sz val="11.0"/>
      </rPr>
      <t>, body-color, removable</t>
    </r>
  </si>
  <si>
    <r>
      <rPr>
        <rFont val="Calibri"/>
        <b/>
        <color rgb="FFFF0000"/>
        <sz val="11.0"/>
      </rPr>
      <t xml:space="preserve">NEW!  </t>
    </r>
    <r>
      <rPr>
        <rFont val="Calibri"/>
        <b/>
        <color rgb="FF000000"/>
        <sz val="11.0"/>
      </rPr>
      <t>Roof panel</t>
    </r>
    <r>
      <rPr>
        <rFont val="Calibri"/>
        <color rgb="FF000000"/>
        <sz val="11.0"/>
      </rPr>
      <t>, electrochromic dimming</t>
    </r>
  </si>
  <si>
    <r>
      <rPr>
        <rFont val="Calibri"/>
        <b/>
        <color rgb="FF000000"/>
        <sz val="11.0"/>
      </rPr>
      <t>Ground effects</t>
    </r>
    <r>
      <rPr>
        <rFont val="Calibri"/>
        <color rgb="FF000000"/>
        <sz val="11.0"/>
      </rPr>
      <t>, visible carbon fiber</t>
    </r>
  </si>
  <si>
    <r>
      <rPr>
        <rFont val="Calibri"/>
        <b/>
        <color rgb="FF000000"/>
        <sz val="11.0"/>
      </rPr>
      <t>Plaque</t>
    </r>
    <r>
      <rPr>
        <rFont val="Calibri"/>
        <color rgb="FF000000"/>
        <sz val="11.0"/>
      </rPr>
      <t>, personalized with Corvette Museum logo</t>
    </r>
  </si>
  <si>
    <r>
      <rPr>
        <rFont val="Calibri"/>
        <b/>
        <color rgb="FF000000"/>
        <sz val="11.0"/>
      </rPr>
      <t>Ground effects</t>
    </r>
    <r>
      <rPr>
        <rFont val="Calibri"/>
        <color rgb="FF000000"/>
        <sz val="11.0"/>
      </rPr>
      <t>, carbon fiber, Carbon Flash-painted</t>
    </r>
  </si>
  <si>
    <r>
      <rPr>
        <rFont val="Calibri"/>
        <b/>
        <color rgb="FF000000"/>
        <sz val="11.0"/>
      </rPr>
      <t>Air conditioning</t>
    </r>
    <r>
      <rPr>
        <rFont val="Calibri"/>
        <color rgb="FF000000"/>
        <sz val="11.0"/>
      </rPr>
      <t>, dual-zone automatic climate control</t>
    </r>
  </si>
  <si>
    <r>
      <rPr>
        <rFont val="Calibri"/>
        <b/>
        <color rgb="FF000000"/>
        <sz val="11.0"/>
      </rPr>
      <t>Convertible top</t>
    </r>
    <r>
      <rPr>
        <rFont val="Calibri"/>
        <color rgb="FF000000"/>
        <sz val="11.0"/>
      </rPr>
      <t>, retractable</t>
    </r>
  </si>
  <si>
    <r>
      <rPr>
        <rFont val="Calibri"/>
        <b/>
        <color rgb="FF000000"/>
        <sz val="11.0"/>
      </rPr>
      <t>Color Combination Override</t>
    </r>
  </si>
  <si>
    <r>
      <rPr>
        <rFont val="Calibri"/>
        <b/>
        <color rgb="FF000000"/>
        <sz val="11.0"/>
      </rPr>
      <t>Engine lighting</t>
    </r>
  </si>
  <si>
    <r>
      <rPr>
        <rFont val="Calibri"/>
        <b/>
        <color rgb="FF000000"/>
        <sz val="11.0"/>
      </rPr>
      <t>Convertible top</t>
    </r>
    <r>
      <rPr>
        <rFont val="Calibri"/>
        <color rgb="FF000000"/>
        <sz val="11.0"/>
      </rPr>
      <t>, Carbon Flash-painted nacelles and roof</t>
    </r>
  </si>
  <si>
    <r>
      <rPr>
        <rFont val="Calibri"/>
        <b/>
        <color rgb="FF000000"/>
        <sz val="11.0"/>
      </rPr>
      <t>Convertible top</t>
    </r>
    <r>
      <rPr>
        <rFont val="Calibri"/>
        <color rgb="FF000000"/>
        <sz val="11.0"/>
      </rPr>
      <t>, Carbon Flash-painted nacelles and body-color roof</t>
    </r>
  </si>
  <si>
    <r>
      <rPr>
        <rFont val="Calibri"/>
        <b/>
        <color rgb="FF000000"/>
        <sz val="11.0"/>
      </rPr>
      <t>Carbon Flash with Blue accent Full Length Dual Racing Stripes</t>
    </r>
  </si>
  <si>
    <r>
      <rPr>
        <rFont val="Calibri"/>
        <b/>
        <color rgb="FF000000"/>
        <sz val="11.0"/>
      </rPr>
      <t>Carbon Flash with Yellow accent Full Length Dual Racing Stripes</t>
    </r>
  </si>
  <si>
    <r>
      <rPr>
        <rFont val="Calibri"/>
        <b/>
        <color rgb="FF000000"/>
        <sz val="11.0"/>
      </rPr>
      <t>Carbon Flash with Orange accent Full Length Dual Racing Stripes</t>
    </r>
  </si>
  <si>
    <r>
      <rPr>
        <rFont val="Calibri"/>
        <b/>
        <color rgb="FF000000"/>
        <sz val="11.0"/>
      </rPr>
      <t>Carbon Flash with Red accent Full Length Dual Racing Stripes</t>
    </r>
  </si>
  <si>
    <r>
      <rPr>
        <rFont val="Calibri"/>
        <b/>
        <color rgb="FF000000"/>
        <sz val="11.0"/>
      </rPr>
      <t>Carbon Flash with Silver accent Full Length Dual Racing Stripes</t>
    </r>
  </si>
  <si>
    <r>
      <rPr>
        <rFont val="Calibri"/>
        <b/>
        <color rgb="FF000000"/>
        <sz val="11.0"/>
      </rPr>
      <t>Mirrors</t>
    </r>
    <r>
      <rPr>
        <rFont val="Calibri"/>
        <color rgb="FF000000"/>
        <sz val="11.0"/>
      </rPr>
      <t>, outside, Carbon Flash Metallic-painted</t>
    </r>
  </si>
  <si>
    <r>
      <rPr>
        <rFont val="Calibri"/>
        <b/>
        <color rgb="FF000000"/>
        <sz val="11.0"/>
      </rPr>
      <t>Rear Camera Mirror</t>
    </r>
  </si>
  <si>
    <r>
      <rPr>
        <rFont val="Calibri"/>
        <b/>
        <color rgb="FF000000"/>
        <sz val="11.0"/>
      </rPr>
      <t>Edge Orange Full Length Dual Racing Stripes</t>
    </r>
  </si>
  <si>
    <r>
      <rPr>
        <rFont val="Calibri"/>
        <b/>
        <color rgb="FF000000"/>
        <sz val="11.0"/>
      </rPr>
      <t>Edge Red Full Length Dual Racing Stripes</t>
    </r>
  </si>
  <si>
    <r>
      <rPr>
        <rFont val="Calibri"/>
        <b/>
        <color rgb="FF000000"/>
        <sz val="11.0"/>
      </rPr>
      <t>Competition Yellow Full Length Dual Racing Stripes</t>
    </r>
  </si>
  <si>
    <r>
      <rPr>
        <rFont val="Calibri"/>
        <b/>
        <color rgb="FF000000"/>
        <sz val="11.0"/>
      </rPr>
      <t>Electric Blue Full Length Dual Racing Stripes</t>
    </r>
  </si>
  <si>
    <r>
      <rPr>
        <rFont val="Calibri"/>
        <b/>
        <color rgb="FF000000"/>
        <sz val="11.0"/>
      </rPr>
      <t>Carbon Flash Metallic Full Length Dual Racing Stripes</t>
    </r>
  </si>
  <si>
    <r>
      <rPr>
        <rFont val="Calibri"/>
        <b/>
        <color rgb="FF000000"/>
        <sz val="11.0"/>
      </rPr>
      <t>Sterling Silver Full Length Dual Racing Stripes</t>
    </r>
  </si>
  <si>
    <r>
      <rPr>
        <rFont val="Calibri"/>
        <b/>
        <color rgb="FFFF0000"/>
        <sz val="11.0"/>
      </rPr>
      <t xml:space="preserve">NEW!  </t>
    </r>
    <r>
      <rPr>
        <rFont val="Calibri"/>
        <b/>
        <color rgb="FF000000"/>
        <sz val="11.0"/>
      </rPr>
      <t>Asymmetrical Adrenaline Red/Carbon Flash Full Length Dual Racing Stripes</t>
    </r>
  </si>
  <si>
    <r>
      <rPr>
        <rFont val="Calibri"/>
        <b/>
        <color rgb="FF000000"/>
        <sz val="11.0"/>
      </rPr>
      <t>Edge Blue Full Length Dual Racing Stripes</t>
    </r>
  </si>
  <si>
    <r>
      <rPr>
        <rFont val="Calibri"/>
        <b/>
        <color rgb="FF000000"/>
        <sz val="11.0"/>
      </rPr>
      <t>Mirrors</t>
    </r>
    <r>
      <rPr>
        <rFont val="Calibri"/>
        <color rgb="FF000000"/>
        <sz val="11.0"/>
      </rPr>
      <t>, outside heated, power-adjustable</t>
    </r>
  </si>
  <si>
    <r>
      <rPr>
        <rFont val="Calibri"/>
        <b/>
        <color rgb="FFFF0000"/>
        <sz val="11.0"/>
      </rPr>
      <t xml:space="preserve">NEW!  </t>
    </r>
    <r>
      <rPr>
        <rFont val="Calibri"/>
        <b/>
        <color rgb="FF000000"/>
        <sz val="11.0"/>
      </rPr>
      <t>Display hood</t>
    </r>
    <r>
      <rPr>
        <rFont val="Calibri"/>
        <color rgb="FF000000"/>
        <sz val="11.0"/>
      </rPr>
      <t>, Carbon Fiber</t>
    </r>
  </si>
  <si>
    <r>
      <rPr>
        <rFont val="Calibri"/>
        <b/>
        <color rgb="FF000000"/>
        <sz val="11.0"/>
      </rPr>
      <t>Mirrors</t>
    </r>
    <r>
      <rPr>
        <rFont val="Calibri"/>
        <color rgb="FF000000"/>
        <sz val="11.0"/>
      </rPr>
      <t>, outside heated, power-adjustable</t>
    </r>
  </si>
  <si>
    <r>
      <rPr>
        <rFont val="Calibri"/>
        <b/>
        <color rgb="FF000000"/>
        <sz val="11.0"/>
      </rPr>
      <t>Carbon Flash/Competition Yellow Stinger Stripe</t>
    </r>
  </si>
  <si>
    <r>
      <rPr>
        <rFont val="Calibri"/>
        <b/>
        <color rgb="FF000000"/>
        <sz val="11.0"/>
      </rPr>
      <t>Carbon Flash/Midnight Silver Stinger Stripe</t>
    </r>
  </si>
  <si>
    <r>
      <rPr>
        <rFont val="Calibri"/>
        <b/>
        <color rgb="FF000000"/>
        <sz val="11.0"/>
      </rPr>
      <t>Carbon Flash/Edge Red Stinger Stripe</t>
    </r>
  </si>
  <si>
    <r>
      <rPr>
        <rFont val="Calibri"/>
        <b/>
        <color rgb="FF000000"/>
        <sz val="11.0"/>
      </rPr>
      <t>Front lift adjustable height</t>
    </r>
  </si>
  <si>
    <r>
      <rPr>
        <rFont val="Calibri"/>
        <b/>
        <color rgb="FF000000"/>
        <sz val="11.0"/>
      </rPr>
      <t>Exterior accents</t>
    </r>
    <r>
      <rPr>
        <rFont val="Calibri"/>
        <color rgb="FF000000"/>
        <sz val="11.0"/>
      </rPr>
      <t>, Carbon Flash, side vents, rockers and front/rear grille accents</t>
    </r>
  </si>
  <si>
    <r>
      <rPr>
        <rFont val="Calibri"/>
        <b/>
        <color rgb="FF000000"/>
        <sz val="11.0"/>
      </rPr>
      <t>Exterior accents</t>
    </r>
    <r>
      <rPr>
        <rFont val="Calibri"/>
        <color rgb="FF000000"/>
        <sz val="11.0"/>
      </rPr>
      <t>, body-color, side vents, rockers and front/rear grille accents</t>
    </r>
  </si>
  <si>
    <r>
      <rPr>
        <rFont val="Calibri"/>
        <b/>
        <color rgb="FF000000"/>
        <sz val="11.0"/>
      </rPr>
      <t>Battery Protection Package</t>
    </r>
  </si>
  <si>
    <r>
      <rPr>
        <rFont val="Calibri"/>
        <b/>
        <color rgb="FF000000"/>
        <sz val="11.0"/>
      </rPr>
      <t>Chrome Exterior Badge Package</t>
    </r>
  </si>
  <si>
    <r>
      <rPr>
        <rFont val="Calibri"/>
        <b/>
        <color rgb="FF000000"/>
        <sz val="11.0"/>
      </rPr>
      <t>Carbon Flash Exterior Badge Package</t>
    </r>
  </si>
  <si>
    <r>
      <rPr>
        <rFont val="Calibri"/>
        <b/>
        <color rgb="FF000000"/>
        <sz val="11.0"/>
      </rPr>
      <t>Trim</t>
    </r>
    <r>
      <rPr>
        <rFont val="Calibri"/>
        <color rgb="FF000000"/>
        <sz val="11.0"/>
      </rPr>
      <t>, interior</t>
    </r>
  </si>
  <si>
    <r>
      <rPr>
        <rFont val="Calibri"/>
        <b/>
        <color rgb="FF000000"/>
        <sz val="11.0"/>
      </rPr>
      <t>Trim</t>
    </r>
    <r>
      <rPr>
        <rFont val="Calibri"/>
        <color rgb="FF000000"/>
        <sz val="11.0"/>
      </rPr>
      <t>, interior</t>
    </r>
  </si>
  <si>
    <t>FE5</t>
  </si>
  <si>
    <r>
      <rPr>
        <rFont val="Calibri"/>
        <b/>
        <color rgb="FF000000"/>
        <sz val="11.0"/>
      </rPr>
      <t>Suspension</t>
    </r>
    <r>
      <rPr>
        <rFont val="Calibri"/>
        <color rgb="FF000000"/>
        <sz val="11.0"/>
      </rPr>
      <t>, performance</t>
    </r>
  </si>
  <si>
    <r>
      <rPr>
        <rFont val="Calibri"/>
        <b/>
        <color rgb="FF000000"/>
        <sz val="11.0"/>
      </rPr>
      <t>Emissions</t>
    </r>
    <r>
      <rPr>
        <rFont val="Calibri"/>
        <color rgb="FF000000"/>
        <sz val="11.0"/>
      </rPr>
      <t>, Federal requirements</t>
    </r>
  </si>
  <si>
    <t>FED</t>
  </si>
  <si>
    <r>
      <rPr>
        <rFont val="Calibri"/>
        <b/>
        <color rgb="FF000000"/>
        <sz val="11.0"/>
      </rPr>
      <t>Suspension</t>
    </r>
    <r>
      <rPr>
        <rFont val="Calibri"/>
        <color rgb="FF000000"/>
        <sz val="11.0"/>
      </rPr>
      <t>, ZER</t>
    </r>
  </si>
  <si>
    <r>
      <rPr>
        <rFont val="Calibri"/>
        <b/>
        <color rgb="FF000000"/>
        <sz val="11.0"/>
      </rPr>
      <t>Rear axle</t>
    </r>
    <r>
      <rPr>
        <rFont val="Calibri"/>
        <color rgb="FF000000"/>
        <sz val="11.0"/>
      </rPr>
      <t>, performance ratio</t>
    </r>
  </si>
  <si>
    <t>HP1</t>
  </si>
  <si>
    <r>
      <rPr>
        <rFont val="Calibri"/>
        <b/>
        <color rgb="FF000000"/>
        <sz val="11.0"/>
      </rPr>
      <t>Front axle</t>
    </r>
    <r>
      <rPr>
        <rFont val="Calibri"/>
        <color rgb="FF000000"/>
        <sz val="11.0"/>
      </rPr>
      <t>, electrified propulsion</t>
    </r>
  </si>
  <si>
    <r>
      <rPr>
        <rFont val="Calibri"/>
        <b/>
        <color rgb="FFFF0000"/>
        <sz val="11.0"/>
      </rPr>
      <t xml:space="preserve">NEW!  </t>
    </r>
    <r>
      <rPr>
        <rFont val="Calibri"/>
        <b/>
        <color rgb="FF000000"/>
        <sz val="11.0"/>
      </rPr>
      <t>Infotainment system</t>
    </r>
    <r>
      <rPr>
        <rFont val="Calibri"/>
        <color rgb="FF000000"/>
        <sz val="11.0"/>
      </rPr>
      <t xml:space="preserve"> with Google Built-In</t>
    </r>
  </si>
  <si>
    <r>
      <rPr>
        <rFont val="Calibri"/>
        <b/>
        <color rgb="FF000000"/>
        <sz val="11.0"/>
      </rPr>
      <t>Sueded Microfiber-Wrapped Upper Interior Trim Package</t>
    </r>
  </si>
  <si>
    <r>
      <rPr>
        <rFont val="Calibri"/>
        <b/>
        <color rgb="FF000000"/>
        <sz val="11.0"/>
      </rPr>
      <t>Brakes</t>
    </r>
    <r>
      <rPr>
        <rFont val="Calibri"/>
        <color rgb="FF000000"/>
        <sz val="11.0"/>
      </rPr>
      <t>, 4-wheel antilock, 4-wheel disc</t>
    </r>
  </si>
  <si>
    <r>
      <rPr>
        <rFont val="Calibri"/>
        <b/>
        <color rgb="FF000000"/>
        <sz val="11.0"/>
      </rPr>
      <t>Calipers</t>
    </r>
    <r>
      <rPr>
        <rFont val="Calibri"/>
        <color rgb="FF000000"/>
        <sz val="11.0"/>
      </rPr>
      <t>, Blue</t>
    </r>
  </si>
  <si>
    <r>
      <rPr>
        <rFont val="Calibri"/>
        <b/>
        <color rgb="FF000000"/>
        <sz val="11.0"/>
      </rPr>
      <t>Calipers</t>
    </r>
    <r>
      <rPr>
        <rFont val="Calibri"/>
        <color rgb="FF000000"/>
        <sz val="11.0"/>
      </rPr>
      <t>, Dark Gray Metallic</t>
    </r>
  </si>
  <si>
    <r>
      <rPr>
        <rFont val="Calibri"/>
        <b/>
        <color rgb="FF000000"/>
        <sz val="11.0"/>
      </rPr>
      <t>Calipers</t>
    </r>
    <r>
      <rPr>
        <rFont val="Calibri"/>
        <color rgb="FF000000"/>
        <sz val="11.0"/>
      </rPr>
      <t>, Velocity Yellow</t>
    </r>
  </si>
  <si>
    <r>
      <rPr>
        <rFont val="Calibri"/>
        <b/>
        <color rgb="FF000000"/>
        <sz val="11.0"/>
      </rPr>
      <t>Calipers</t>
    </r>
    <r>
      <rPr>
        <rFont val="Calibri"/>
        <color rgb="FF000000"/>
        <sz val="11.0"/>
      </rPr>
      <t>, Bright Red</t>
    </r>
  </si>
  <si>
    <r>
      <rPr>
        <rFont val="Calibri"/>
        <b/>
        <color rgb="FF000000"/>
        <sz val="11.0"/>
      </rPr>
      <t>Calipers</t>
    </r>
    <r>
      <rPr>
        <rFont val="Calibri"/>
        <color rgb="FF000000"/>
        <sz val="11.0"/>
      </rPr>
      <t>, Orange</t>
    </r>
  </si>
  <si>
    <r>
      <rPr>
        <rFont val="Calibri"/>
        <b/>
        <color rgb="FF000000"/>
        <sz val="11.0"/>
      </rPr>
      <t>Calipers</t>
    </r>
    <r>
      <rPr>
        <rFont val="Calibri"/>
        <color rgb="FF000000"/>
        <sz val="11.0"/>
      </rPr>
      <t>, Edge Red</t>
    </r>
  </si>
  <si>
    <r>
      <rPr>
        <rFont val="Calibri"/>
        <b/>
        <color rgb="FFFF0000"/>
        <sz val="11.0"/>
      </rPr>
      <t xml:space="preserve">NEW!  </t>
    </r>
    <r>
      <rPr>
        <rFont val="Calibri"/>
        <b/>
        <color rgb="FF000000"/>
        <sz val="11.0"/>
      </rPr>
      <t>Wireless Phone Charging</t>
    </r>
  </si>
  <si>
    <r>
      <rPr>
        <rFont val="Calibri"/>
        <b/>
        <color rgb="FFFF0000"/>
        <sz val="11.0"/>
      </rPr>
      <t xml:space="preserve">NEW!  </t>
    </r>
    <r>
      <rPr>
        <rFont val="Calibri"/>
        <b/>
        <color rgb="FF000000"/>
        <sz val="11.0"/>
      </rPr>
      <t>Wireless Phone Charging</t>
    </r>
  </si>
  <si>
    <r>
      <rPr>
        <rFont val="Calibri"/>
        <b/>
        <color rgb="FF000000"/>
        <sz val="11.0"/>
      </rPr>
      <t>Steering wheel</t>
    </r>
    <r>
      <rPr>
        <rFont val="Calibri"/>
        <color rgb="FF000000"/>
        <sz val="11.0"/>
      </rPr>
      <t>, heated</t>
    </r>
  </si>
  <si>
    <r>
      <rPr>
        <rFont val="Calibri"/>
        <b/>
        <color rgb="FF000000"/>
        <sz val="11.0"/>
      </rPr>
      <t>Seats</t>
    </r>
    <r>
      <rPr>
        <rFont val="Calibri"/>
        <color rgb="FF000000"/>
        <sz val="11.0"/>
      </rPr>
      <t>, heated and vented driver and passenger</t>
    </r>
  </si>
  <si>
    <r>
      <rPr>
        <rFont val="Calibri"/>
        <b/>
        <color rgb="FF000000"/>
        <sz val="11.0"/>
      </rPr>
      <t>Engine</t>
    </r>
    <r>
      <rPr>
        <rFont val="Calibri"/>
        <color rgb="FF000000"/>
        <sz val="11.0"/>
      </rPr>
      <t>, 6.2L V8 DI</t>
    </r>
  </si>
  <si>
    <t>MLH</t>
  </si>
  <si>
    <r>
      <rPr>
        <rFont val="Calibri"/>
        <b/>
        <color rgb="FF000000"/>
        <sz val="11.0"/>
      </rPr>
      <t>Transmission</t>
    </r>
    <r>
      <rPr>
        <rFont val="Calibri"/>
        <color rgb="FF000000"/>
        <sz val="11.0"/>
      </rPr>
      <t>, 8-speed dual clutch, includes manual and auto modes</t>
    </r>
  </si>
  <si>
    <r>
      <rPr>
        <rFont val="Calibri"/>
        <b/>
        <color rgb="FF000000"/>
        <sz val="11.0"/>
      </rPr>
      <t>Steering wheel</t>
    </r>
    <r>
      <rPr>
        <rFont val="Calibri"/>
        <color rgb="FF000000"/>
        <sz val="11.0"/>
      </rPr>
      <t>, sueded microfiber-wrapped</t>
    </r>
  </si>
  <si>
    <r>
      <rPr>
        <rFont val="Calibri"/>
        <b/>
        <color rgb="FF000000"/>
        <sz val="11.0"/>
      </rPr>
      <t>Steering wheel</t>
    </r>
    <r>
      <rPr>
        <rFont val="Calibri"/>
        <color rgb="FF000000"/>
        <sz val="11.0"/>
      </rPr>
      <t>, carbon fiber and sueded microfiber-wrapped</t>
    </r>
  </si>
  <si>
    <r>
      <rPr>
        <rFont val="Calibri"/>
        <b/>
        <color rgb="FF000000"/>
        <sz val="11.0"/>
      </rPr>
      <t>Steering column</t>
    </r>
    <r>
      <rPr>
        <rFont val="Calibri"/>
        <color rgb="FF000000"/>
        <sz val="11.0"/>
      </rPr>
      <t>, power tilt and telescopic</t>
    </r>
  </si>
  <si>
    <t>N3W</t>
  </si>
  <si>
    <r>
      <rPr>
        <rFont val="Calibri"/>
        <b/>
        <color rgb="FF000000"/>
        <sz val="11.0"/>
      </rPr>
      <t>Steering wheel</t>
    </r>
    <r>
      <rPr>
        <rFont val="Calibri"/>
        <color rgb="FF000000"/>
        <sz val="11.0"/>
      </rPr>
      <t>, carbon fiber and leather-wrapped</t>
    </r>
  </si>
  <si>
    <r>
      <rPr>
        <rFont val="Calibri"/>
        <b/>
        <color rgb="FF000000"/>
        <sz val="11.0"/>
      </rPr>
      <t>Emissions override</t>
    </r>
    <r>
      <rPr>
        <rFont val="Calibri"/>
        <color rgb="FF000000"/>
        <sz val="11.0"/>
      </rPr>
      <t xml:space="preserve">, California </t>
    </r>
  </si>
  <si>
    <r>
      <rPr>
        <rFont val="Calibri"/>
        <b/>
        <color rgb="FF000000"/>
        <sz val="11.0"/>
      </rPr>
      <t>Emissions override</t>
    </r>
    <r>
      <rPr>
        <rFont val="Calibri"/>
        <color rgb="FF000000"/>
        <sz val="11.0"/>
      </rPr>
      <t>, state-specific</t>
    </r>
  </si>
  <si>
    <r>
      <rPr>
        <rFont val="Calibri"/>
        <b/>
        <color rgb="FF000000"/>
        <sz val="11.0"/>
      </rPr>
      <t>Emissions override</t>
    </r>
    <r>
      <rPr>
        <rFont val="Calibri"/>
        <color rgb="FF000000"/>
        <sz val="11.0"/>
      </rPr>
      <t>, Federal</t>
    </r>
  </si>
  <si>
    <r>
      <rPr>
        <rFont val="Calibri"/>
        <b/>
        <color rgb="FF000000"/>
        <sz val="11.0"/>
      </rPr>
      <t>Emissions</t>
    </r>
  </si>
  <si>
    <r>
      <rPr>
        <rFont val="Calibri"/>
        <b/>
        <color rgb="FF000000"/>
        <sz val="11.0"/>
      </rPr>
      <t>Exhaust tips</t>
    </r>
    <r>
      <rPr>
        <rFont val="Calibri"/>
        <color rgb="FF000000"/>
        <sz val="11.0"/>
      </rPr>
      <t>, Black</t>
    </r>
  </si>
  <si>
    <r>
      <rPr>
        <rFont val="Calibri"/>
        <b/>
        <color rgb="FF000000"/>
        <sz val="11.0"/>
      </rPr>
      <t>Steering wheel</t>
    </r>
    <r>
      <rPr>
        <rFont val="Calibri"/>
        <color rgb="FF000000"/>
        <sz val="11.0"/>
      </rPr>
      <t>, leather-wrapped</t>
    </r>
  </si>
  <si>
    <r>
      <rPr>
        <rFont val="Calibri"/>
        <b/>
        <color rgb="FF000000"/>
        <sz val="11.0"/>
      </rPr>
      <t>Exhaust</t>
    </r>
    <r>
      <rPr>
        <rFont val="Calibri"/>
        <color rgb="FF000000"/>
        <sz val="11.0"/>
      </rPr>
      <t>, performance</t>
    </r>
  </si>
  <si>
    <r>
      <rPr>
        <rFont val="Calibri"/>
        <b/>
        <color rgb="FF000000"/>
        <sz val="11.0"/>
      </rPr>
      <t>12 Months OnStar Connect Plus</t>
    </r>
  </si>
  <si>
    <r>
      <rPr>
        <rFont val="Calibri"/>
        <b/>
        <color rgb="FF000000"/>
        <sz val="11.0"/>
      </rPr>
      <t>24 Months OnStar Connect Plus</t>
    </r>
  </si>
  <si>
    <r>
      <rPr>
        <rFont val="Calibri"/>
        <b/>
        <color rgb="FF000000"/>
        <sz val="11.0"/>
      </rPr>
      <t>24 Months OnStar Protect</t>
    </r>
  </si>
  <si>
    <r>
      <rPr>
        <rFont val="Calibri"/>
        <b/>
        <color rgb="FF000000"/>
        <sz val="11.0"/>
      </rPr>
      <t>36 Months OnStar Protect</t>
    </r>
  </si>
  <si>
    <r>
      <rPr>
        <rFont val="Calibri"/>
        <b/>
        <color rgb="FF000000"/>
        <sz val="11.0"/>
      </rPr>
      <t>48 Months OnStar Protect</t>
    </r>
  </si>
  <si>
    <r>
      <rPr>
        <rFont val="Calibri"/>
        <b/>
        <color rgb="FF000000"/>
        <sz val="11.0"/>
      </rPr>
      <t>60 Months OnStar Protect</t>
    </r>
  </si>
  <si>
    <r>
      <rPr>
        <rFont val="Calibri"/>
        <b/>
        <color rgb="FF000000"/>
        <sz val="11.0"/>
      </rPr>
      <t>12 Months OnStar Protect</t>
    </r>
  </si>
  <si>
    <r>
      <rPr>
        <rFont val="Calibri"/>
        <b/>
        <color rgb="FF000000"/>
        <sz val="11.0"/>
      </rPr>
      <t>12 Months OnStar Telematics</t>
    </r>
  </si>
  <si>
    <r>
      <rPr>
        <rFont val="Calibri"/>
        <b/>
        <color rgb="FF000000"/>
        <sz val="11.0"/>
      </rPr>
      <t xml:space="preserve">24 Months OnStar Telematics </t>
    </r>
  </si>
  <si>
    <r>
      <rPr>
        <rFont val="Calibri"/>
        <b/>
        <color rgb="FF000000"/>
        <sz val="11.0"/>
      </rPr>
      <t>36 Months OnStar Telematics</t>
    </r>
  </si>
  <si>
    <r>
      <rPr>
        <rFont val="Calibri"/>
        <b/>
        <color rgb="FF000000"/>
        <sz val="11.0"/>
      </rPr>
      <t>48 Months OnStar Telematics</t>
    </r>
  </si>
  <si>
    <r>
      <rPr>
        <rFont val="Calibri"/>
        <b/>
        <color rgb="FF000000"/>
        <sz val="11.0"/>
      </rPr>
      <t>60 Months OnStar Telematics</t>
    </r>
  </si>
  <si>
    <r>
      <rPr>
        <rFont val="Calibri"/>
        <b/>
        <color rgb="FF000000"/>
        <sz val="11.0"/>
      </rPr>
      <t>LPO, Jake C8.R Graphics Package</t>
    </r>
  </si>
  <si>
    <r>
      <rPr>
        <rFont val="Calibri"/>
        <b/>
        <color rgb="FF000000"/>
        <sz val="11.0"/>
      </rPr>
      <t>LPO, Roadside Safety Package</t>
    </r>
  </si>
  <si>
    <r>
      <rPr>
        <rFont val="Calibri"/>
        <b/>
        <color rgb="FF000000"/>
        <sz val="11.0"/>
      </rPr>
      <t>LPO, Contoured Liner Protection Package</t>
    </r>
  </si>
  <si>
    <r>
      <rPr>
        <rFont val="Calibri"/>
        <b/>
        <color rgb="FF000000"/>
        <sz val="11.0"/>
      </rPr>
      <t>Customer VIN ending reservation</t>
    </r>
  </si>
  <si>
    <r>
      <rPr>
        <rFont val="Calibri"/>
        <b/>
        <color rgb="FF000000"/>
        <sz val="11.0"/>
      </rPr>
      <t>Wireless Apple CarPlay/Wireless Android Auto</t>
    </r>
  </si>
  <si>
    <r>
      <rPr>
        <rFont val="Calibri"/>
        <b/>
        <color rgb="FF000000"/>
        <sz val="11.0"/>
      </rPr>
      <t>36 Months OnStar Connect Plus</t>
    </r>
  </si>
  <si>
    <r>
      <rPr>
        <rFont val="Calibri"/>
        <b/>
        <color rgb="FF000000"/>
        <sz val="11.0"/>
      </rPr>
      <t>48 Months OnStar Connect Plus</t>
    </r>
  </si>
  <si>
    <r>
      <rPr>
        <rFont val="Calibri"/>
        <b/>
        <color rgb="FF000000"/>
        <sz val="11.0"/>
      </rPr>
      <t>60 Months OnStar Connect Plus</t>
    </r>
  </si>
  <si>
    <r>
      <rPr>
        <rFont val="Calibri"/>
        <b/>
        <color rgb="FF000000"/>
        <sz val="11.0"/>
      </rPr>
      <t>3 Years OnStar One</t>
    </r>
  </si>
  <si>
    <r>
      <rPr>
        <rFont val="Calibri"/>
        <b/>
        <color rgb="FF000000"/>
        <sz val="11.0"/>
      </rPr>
      <t>3 Years SiriusXM</t>
    </r>
  </si>
  <si>
    <r>
      <rPr>
        <rFont val="Calibri"/>
        <b/>
        <color rgb="FF000000"/>
        <sz val="11.0"/>
      </rPr>
      <t>Custom Interior Trim and Seat Combination</t>
    </r>
  </si>
  <si>
    <r>
      <rPr>
        <rFont val="Calibri"/>
        <b/>
        <color rgb="FFFF0000"/>
        <sz val="11.0"/>
      </rPr>
      <t xml:space="preserve">NEW!  </t>
    </r>
    <r>
      <rPr>
        <rFont val="Calibri"/>
        <b/>
        <color rgb="FF000000"/>
        <sz val="11.0"/>
      </rPr>
      <t>LPO, Illuminated crossed flags emblem</t>
    </r>
  </si>
  <si>
    <r>
      <rPr>
        <rFont val="Calibri"/>
        <b/>
        <color rgb="FF000000"/>
        <sz val="11.0"/>
      </rPr>
      <t>Corvette Museum Delivery</t>
    </r>
  </si>
  <si>
    <r>
      <rPr>
        <rFont val="Calibri"/>
        <b/>
        <color rgb="FF000000"/>
        <sz val="11.0"/>
      </rPr>
      <t>12 Months OnStar One Fleet</t>
    </r>
  </si>
  <si>
    <r>
      <rPr>
        <rFont val="Calibri"/>
        <b/>
        <color rgb="FF000000"/>
        <sz val="11.0"/>
      </rPr>
      <t>36 Months OnStar One Fleet</t>
    </r>
  </si>
  <si>
    <r>
      <rPr>
        <rFont val="Calibri"/>
        <b/>
        <color rgb="FF000000"/>
        <sz val="11.0"/>
      </rPr>
      <t>60 Months OnStar One Fleet</t>
    </r>
  </si>
  <si>
    <r>
      <rPr>
        <rFont val="Calibri"/>
        <b/>
        <color rgb="FF000000"/>
        <sz val="11.0"/>
      </rPr>
      <t>48 Months OnStar One Fleet</t>
    </r>
  </si>
  <si>
    <r>
      <rPr>
        <rFont val="Calibri"/>
        <b/>
        <color rgb="FF000000"/>
        <sz val="11.0"/>
      </rPr>
      <t>Removes OnStar Basics (OnStar Fleet Basics for Fleet)</t>
    </r>
  </si>
  <si>
    <r>
      <rPr>
        <rFont val="Calibri"/>
        <b/>
        <color rgb="FF000000"/>
        <sz val="11.0"/>
      </rPr>
      <t>Mobile Service Plus</t>
    </r>
  </si>
  <si>
    <r>
      <rPr>
        <rFont val="Calibri"/>
        <b/>
        <color rgb="FF000000"/>
        <sz val="11.0"/>
      </rPr>
      <t>Deleted Mobile Service Plus</t>
    </r>
  </si>
  <si>
    <r>
      <rPr>
        <rFont val="Calibri"/>
        <b/>
        <color rgb="FF000000"/>
        <sz val="11.0"/>
      </rPr>
      <t>Mobile Service Plus</t>
    </r>
  </si>
  <si>
    <r>
      <rPr>
        <rFont val="Calibri"/>
        <b/>
        <color rgb="FF000000"/>
        <sz val="11.0"/>
      </rPr>
      <t>24 Months OnStar One Fleet</t>
    </r>
  </si>
  <si>
    <r>
      <rPr>
        <rFont val="Calibri"/>
        <b/>
        <color rgb="FF000000"/>
        <sz val="11.0"/>
      </rPr>
      <t>LPO, All-weather floor liners</t>
    </r>
  </si>
  <si>
    <r>
      <rPr>
        <rFont val="Calibri"/>
        <b/>
        <color rgb="FF000000"/>
        <sz val="11.0"/>
      </rPr>
      <t>LPO, Rear Corvette script badge in Torch Red</t>
    </r>
  </si>
  <si>
    <r>
      <rPr>
        <rFont val="Calibri"/>
        <b/>
        <color rgb="FF000000"/>
        <sz val="11.0"/>
      </rPr>
      <t>LPO, Rear Corvette script badge in Arctic White</t>
    </r>
  </si>
  <si>
    <r>
      <rPr>
        <rFont val="Calibri"/>
        <b/>
        <color rgb="FF000000"/>
        <sz val="11.0"/>
      </rPr>
      <t>Wheels</t>
    </r>
    <r>
      <rPr>
        <rFont val="Calibri"/>
        <color rgb="FF000000"/>
        <sz val="11.0"/>
      </rPr>
      <t>, 20" x 10" (50.8 cm x 25.4 cm) front and 21" x 13" (53.3 cm x 33 cm) rear Pearl Nickel forged aluminum</t>
    </r>
  </si>
  <si>
    <r>
      <rPr>
        <rFont val="Calibri"/>
        <b/>
        <color rgb="FF000000"/>
        <sz val="11.0"/>
      </rPr>
      <t>Wheels</t>
    </r>
    <r>
      <rPr>
        <rFont val="Calibri"/>
        <color rgb="FF000000"/>
        <sz val="11.0"/>
      </rPr>
      <t>, 20" x 10" (50.8 cm x 25.4 cm) front and 21" x 13" (53.3 cm x 33 cm) rear Carbon Flash with machined edge forged aluminum</t>
    </r>
  </si>
  <si>
    <r>
      <rPr>
        <rFont val="Calibri"/>
        <b/>
        <color rgb="FF000000"/>
        <sz val="11.0"/>
      </rPr>
      <t>Wheels</t>
    </r>
    <r>
      <rPr>
        <rFont val="Calibri"/>
        <color rgb="FF000000"/>
        <sz val="11.0"/>
      </rPr>
      <t>, 20" x 10" (50.8 cm x 25.4 cm) front and 21" x 13" (53.3 cm x 33 cm) rear Carbon Flash-painted carbon fiber</t>
    </r>
  </si>
  <si>
    <r>
      <rPr>
        <rFont val="Calibri"/>
        <b/>
        <color rgb="FF000000"/>
        <sz val="11.0"/>
      </rPr>
      <t>Wheels</t>
    </r>
    <r>
      <rPr>
        <rFont val="Calibri"/>
        <color rgb="FF000000"/>
        <sz val="11.0"/>
      </rPr>
      <t>, 20" x 10" (50.8 cm x 25.4 cm) front and 21" x 13" (53.3 cm x 33 cm) rear visible carbon fiber</t>
    </r>
  </si>
  <si>
    <r>
      <rPr>
        <rFont val="Calibri"/>
        <b/>
        <color rgb="FF000000"/>
        <sz val="11.0"/>
      </rPr>
      <t>LPO, Premium indoor car cover</t>
    </r>
    <r>
      <rPr>
        <rFont val="Calibri"/>
        <color rgb="FF000000"/>
        <sz val="11.0"/>
      </rPr>
      <t>, Black with crossed flags logo</t>
    </r>
  </si>
  <si>
    <r>
      <rPr>
        <rFont val="Calibri"/>
        <b/>
        <color rgb="FF000000"/>
        <sz val="11.0"/>
      </rPr>
      <t>LPO, Premium outdoor car cover</t>
    </r>
    <r>
      <rPr>
        <rFont val="Calibri"/>
        <color rgb="FF000000"/>
        <sz val="11.0"/>
      </rPr>
      <t>, Gray with crossed flags logo and Corvette silhouette</t>
    </r>
  </si>
  <si>
    <r>
      <rPr>
        <rFont val="Calibri"/>
        <b/>
        <color rgb="FF000000"/>
        <sz val="11.0"/>
      </rPr>
      <t>LPO, Cargo area organizer</t>
    </r>
    <r>
      <rPr>
        <rFont val="Calibri"/>
        <color rgb="FF000000"/>
        <sz val="11.0"/>
      </rPr>
      <t>, collapsible</t>
    </r>
  </si>
  <si>
    <r>
      <rPr>
        <rFont val="Calibri"/>
        <b/>
        <color rgb="FF000000"/>
        <sz val="11.0"/>
      </rPr>
      <t>LPO, First Aid Kit</t>
    </r>
  </si>
  <si>
    <r>
      <rPr>
        <rFont val="Calibri"/>
        <b/>
        <color rgb="FF000000"/>
        <sz val="11.0"/>
      </rPr>
      <t>LPO, Highway Safety Kit</t>
    </r>
  </si>
  <si>
    <r>
      <rPr>
        <rFont val="Calibri"/>
        <b/>
        <color rgb="FF000000"/>
        <sz val="11.0"/>
      </rPr>
      <t>LPO, Set of premium leather weekend/travel bags</t>
    </r>
  </si>
  <si>
    <r>
      <rPr>
        <rFont val="Calibri"/>
        <b/>
        <color rgb="FF000000"/>
        <sz val="11.0"/>
      </rPr>
      <t>LPO, Chrome lug nuts</t>
    </r>
  </si>
  <si>
    <r>
      <rPr>
        <rFont val="Calibri"/>
        <b/>
        <color rgb="FF000000"/>
        <sz val="11.0"/>
      </rPr>
      <t>LPO, Dual roof</t>
    </r>
  </si>
  <si>
    <r>
      <rPr>
        <rFont val="Calibri"/>
        <b/>
        <color rgb="FF000000"/>
        <sz val="11.0"/>
      </rPr>
      <t>LPO, Roof panel storage pouch</t>
    </r>
  </si>
  <si>
    <r>
      <rPr>
        <rFont val="Calibri"/>
        <b/>
        <color rgb="FF000000"/>
        <sz val="11.0"/>
      </rPr>
      <t>LPO, Black tow hook</t>
    </r>
  </si>
  <si>
    <r>
      <rPr>
        <rFont val="Calibri"/>
        <b/>
        <color rgb="FF000000"/>
        <sz val="11.0"/>
      </rPr>
      <t>LPO, Chrome wheel locks</t>
    </r>
  </si>
  <si>
    <r>
      <rPr>
        <rFont val="Calibri"/>
        <b/>
        <color rgb="FF000000"/>
        <sz val="11.0"/>
      </rPr>
      <t>LPO, Dark Stealth crossed flags emblem</t>
    </r>
  </si>
  <si>
    <r>
      <rPr>
        <rFont val="Calibri"/>
        <b/>
        <color rgb="FF000000"/>
        <sz val="11.0"/>
      </rPr>
      <t>LPO, Jake hood graphic with Tech Bronze accent</t>
    </r>
  </si>
  <si>
    <r>
      <rPr>
        <rFont val="Calibri"/>
        <b/>
        <color rgb="FF000000"/>
        <sz val="11.0"/>
      </rPr>
      <t>LPO, Spoiler extension</t>
    </r>
  </si>
  <si>
    <r>
      <rPr>
        <rFont val="Calibri"/>
        <b/>
        <color rgb="FF000000"/>
        <sz val="11.0"/>
      </rPr>
      <t>LPO, Rear Corvette script badge in Edge Red</t>
    </r>
  </si>
  <si>
    <r>
      <rPr>
        <rFont val="Calibri"/>
        <b/>
        <color rgb="FF000000"/>
        <sz val="11.0"/>
      </rPr>
      <t>LPO, Engine specification plaque</t>
    </r>
  </si>
  <si>
    <r>
      <rPr>
        <rFont val="Calibri"/>
        <b/>
        <color rgb="FF000000"/>
        <sz val="11.0"/>
      </rPr>
      <t>LPO, Rear hatch strut bracket</t>
    </r>
    <r>
      <rPr>
        <rFont val="Calibri"/>
        <color rgb="FF000000"/>
        <sz val="11.0"/>
      </rPr>
      <t>, Edge Red</t>
    </r>
  </si>
  <si>
    <r>
      <rPr>
        <rFont val="Calibri"/>
        <b/>
        <color rgb="FF000000"/>
        <sz val="11.0"/>
      </rPr>
      <t>LPO, Visible carbon fiber engine cross brace</t>
    </r>
  </si>
  <si>
    <r>
      <rPr>
        <rFont val="Calibri"/>
        <b/>
        <color rgb="FF000000"/>
        <sz val="11.0"/>
      </rPr>
      <t>LPO, Jake hood graphic</t>
    </r>
  </si>
  <si>
    <r>
      <rPr>
        <rFont val="Calibri"/>
        <b/>
        <color rgb="FF000000"/>
        <sz val="11.0"/>
      </rPr>
      <t>Wheels</t>
    </r>
    <r>
      <rPr>
        <rFont val="Calibri"/>
        <color rgb="FF000000"/>
        <sz val="11.0"/>
      </rPr>
      <t>, 20" x 10" (50.8 cm x 25.4 cm) front and 21" x 13" (53.3 cm x 33 cm) rear bright polished forged aluminum</t>
    </r>
  </si>
  <si>
    <r>
      <rPr>
        <rFont val="Calibri"/>
        <b/>
        <color rgb="FF000000"/>
        <sz val="11.0"/>
      </rPr>
      <t>Wheels</t>
    </r>
    <r>
      <rPr>
        <rFont val="Calibri"/>
        <color rgb="FF000000"/>
        <sz val="11.0"/>
      </rPr>
      <t>, 20" x 10" (50.8 cm x 25.4 cm) front and 21" x 13" (53.3 cm x 33 cm) rear Gloss Black forged aluminum</t>
    </r>
  </si>
  <si>
    <r>
      <rPr>
        <rFont val="Calibri"/>
        <b/>
        <color rgb="FF000000"/>
        <sz val="11.0"/>
      </rPr>
      <t>LPO, Black lug nuts</t>
    </r>
  </si>
  <si>
    <r>
      <rPr>
        <rFont val="Calibri"/>
        <b/>
        <color rgb="FF000000"/>
        <sz val="11.0"/>
      </rPr>
      <t>LPO, Black wheel locks</t>
    </r>
  </si>
  <si>
    <r>
      <rPr>
        <rFont val="Calibri"/>
        <b/>
        <color rgb="FF000000"/>
        <sz val="11.0"/>
      </rPr>
      <t>Wheels</t>
    </r>
    <r>
      <rPr>
        <rFont val="Calibri"/>
        <color rgb="FF000000"/>
        <sz val="11.0"/>
      </rPr>
      <t>, 20" x 10" (50.8 cm x 25.4 cm) front and 21" x 13" (53.3 cm x 33 cm) rear visible carbon fiber with Red stripe</t>
    </r>
  </si>
  <si>
    <r>
      <rPr>
        <rFont val="Calibri"/>
        <b/>
        <color rgb="FF000000"/>
        <sz val="11.0"/>
      </rPr>
      <t>LPO, E-Ray badges in Rapid Blue and Carbon Flash</t>
    </r>
  </si>
  <si>
    <r>
      <rPr>
        <rFont val="Calibri"/>
        <b/>
        <color rgb="FF000000"/>
        <sz val="11.0"/>
      </rPr>
      <t>Spoiler</t>
    </r>
    <r>
      <rPr>
        <rFont val="Calibri"/>
        <color rgb="FF000000"/>
        <sz val="11.0"/>
      </rPr>
      <t>, rear</t>
    </r>
  </si>
  <si>
    <r>
      <rPr>
        <rFont val="Calibri"/>
        <b/>
        <color rgb="FF000000"/>
        <sz val="11.0"/>
      </rPr>
      <t>Headlamps</t>
    </r>
    <r>
      <rPr>
        <rFont val="Calibri"/>
        <color rgb="FF000000"/>
        <sz val="11.0"/>
      </rPr>
      <t>, LED</t>
    </r>
  </si>
  <si>
    <r>
      <rPr>
        <rFont val="Calibri"/>
        <b/>
        <color rgb="FF000000"/>
        <sz val="11.0"/>
      </rPr>
      <t>Teen Driver</t>
    </r>
  </si>
  <si>
    <r>
      <rPr>
        <rFont val="Calibri"/>
        <b/>
        <color rgb="FF000000"/>
        <sz val="11.0"/>
      </rPr>
      <t>IntelliBeam</t>
    </r>
  </si>
  <si>
    <r>
      <rPr>
        <rFont val="Calibri"/>
        <b/>
        <color rgb="FF000000"/>
        <sz val="11.0"/>
      </rPr>
      <t>Headlamp control</t>
    </r>
    <r>
      <rPr>
        <rFont val="Calibri"/>
        <color rgb="FF000000"/>
        <sz val="11.0"/>
      </rPr>
      <t>, automatic leveling system</t>
    </r>
  </si>
  <si>
    <r>
      <rPr>
        <rFont val="Calibri"/>
        <b/>
        <color rgb="FF000000"/>
        <sz val="11.0"/>
      </rPr>
      <t>Seats</t>
    </r>
    <r>
      <rPr>
        <rFont val="Calibri"/>
        <color rgb="FF000000"/>
        <sz val="11.0"/>
      </rPr>
      <t>, two-tone</t>
    </r>
  </si>
  <si>
    <r>
      <rPr>
        <rFont val="Calibri"/>
        <b/>
        <color rgb="FF000000"/>
        <sz val="11.0"/>
      </rPr>
      <t>SiriusXM with 360L</t>
    </r>
  </si>
  <si>
    <r>
      <rPr>
        <rFont val="Calibri"/>
        <b/>
        <color rgb="FFFF0000"/>
        <sz val="11.0"/>
      </rPr>
      <t xml:space="preserve">NEW!  </t>
    </r>
    <r>
      <rPr>
        <rFont val="Calibri"/>
        <b/>
        <color rgb="FF000000"/>
        <sz val="11.0"/>
      </rPr>
      <t>5G vehicle connectivity</t>
    </r>
  </si>
  <si>
    <r>
      <rPr>
        <rFont val="Calibri"/>
        <b/>
        <color rgb="FF000000"/>
        <sz val="11.0"/>
      </rPr>
      <t>Compass</t>
    </r>
    <r>
      <rPr>
        <rFont val="Calibri"/>
        <color rgb="FF000000"/>
        <sz val="11.0"/>
      </rPr>
      <t>, digital</t>
    </r>
  </si>
  <si>
    <r>
      <rPr>
        <rFont val="Calibri"/>
        <b/>
        <color rgb="FF000000"/>
        <sz val="11.0"/>
      </rPr>
      <t>Rear Park Assist</t>
    </r>
  </si>
  <si>
    <r>
      <rPr>
        <rFont val="Calibri"/>
        <b/>
        <color rgb="FF000000"/>
        <sz val="11.0"/>
      </rPr>
      <t>OnStar services capable</t>
    </r>
  </si>
  <si>
    <r>
      <rPr>
        <rFont val="Calibri"/>
        <b/>
        <color rgb="FF000000"/>
        <sz val="11.0"/>
      </rPr>
      <t>Forward Collision Alert</t>
    </r>
  </si>
  <si>
    <r>
      <rPr>
        <rFont val="Calibri"/>
        <b/>
        <color rgb="FF000000"/>
        <sz val="11.0"/>
      </rPr>
      <t>Rear Cross Traffic Alert</t>
    </r>
  </si>
  <si>
    <r>
      <rPr>
        <rFont val="Calibri"/>
        <b/>
        <color rgb="FF000000"/>
        <sz val="11.0"/>
      </rPr>
      <t>Side Blind Zone Alert</t>
    </r>
  </si>
  <si>
    <r>
      <rPr>
        <rFont val="Calibri"/>
        <b/>
        <color rgb="FF000000"/>
        <sz val="11.0"/>
      </rPr>
      <t>Universal Home Remote</t>
    </r>
  </si>
  <si>
    <r>
      <rPr>
        <rFont val="Calibri"/>
        <b/>
        <color rgb="FF000000"/>
        <sz val="11.0"/>
      </rPr>
      <t>Lane Keep Assist with Lane Departure Warning</t>
    </r>
  </si>
  <si>
    <r>
      <rPr>
        <rFont val="Calibri"/>
        <b/>
        <color rgb="FF000000"/>
        <sz val="11.0"/>
      </rPr>
      <t>Automatic Emergency Braking</t>
    </r>
  </si>
  <si>
    <r>
      <rPr>
        <rFont val="Calibri"/>
        <b/>
        <color rgb="FF000000"/>
        <sz val="11.0"/>
      </rPr>
      <t>Front Pedestrian and Bicyclist Braking</t>
    </r>
  </si>
  <si>
    <r>
      <rPr>
        <rFont val="Calibri"/>
        <b/>
        <color rgb="FF000000"/>
        <sz val="11.0"/>
      </rPr>
      <t>Audio system feature</t>
    </r>
    <r>
      <rPr>
        <rFont val="Calibri"/>
        <color rgb="FF000000"/>
        <sz val="11.0"/>
      </rPr>
      <t>, Bose Performance Series Sound System</t>
    </r>
  </si>
  <si>
    <r>
      <rPr>
        <rFont val="Calibri"/>
        <b/>
        <color rgb="FF000000"/>
        <sz val="11.0"/>
      </rPr>
      <t>Audio system feature</t>
    </r>
    <r>
      <rPr>
        <rFont val="Calibri"/>
        <color rgb="FF000000"/>
        <sz val="11.0"/>
      </rPr>
      <t>, Bose Premium 10-speaker system</t>
    </r>
  </si>
  <si>
    <r>
      <rPr>
        <rFont val="Calibri"/>
        <b/>
        <color rgb="FF000000"/>
        <sz val="11.0"/>
      </rPr>
      <t>Performance data and video recorder</t>
    </r>
  </si>
  <si>
    <r>
      <rPr>
        <rFont val="Calibri"/>
        <b/>
        <color rgb="FF000000"/>
        <sz val="11.0"/>
      </rPr>
      <t>Theft-deterrent system</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</si>
  <si>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</si>
  <si>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</si>
  <si>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Head-Up Display</t>
    </r>
  </si>
  <si>
    <r>
      <rPr>
        <rFont val="Calibri"/>
        <b/>
        <color rgb="FF000000"/>
        <sz val="11.0"/>
      </rPr>
      <t>HD Front and Rear Vision Cameras</t>
    </r>
  </si>
  <si>
    <r>
      <rPr>
        <rFont val="Calibri"/>
        <b/>
        <color rgb="FF000000"/>
        <sz val="11.0"/>
      </rPr>
      <t>HD Rear Vision Camera</t>
    </r>
  </si>
  <si>
    <r>
      <rPr>
        <rFont val="Calibri"/>
        <b/>
        <color rgb="FF000000"/>
        <sz val="11.0"/>
      </rPr>
      <t>LPO, Visible Carbon Fiber sill plates</t>
    </r>
  </si>
  <si>
    <r>
      <rPr>
        <rFont val="Calibri"/>
        <b/>
        <color rgb="FF000000"/>
        <sz val="11.0"/>
      </rPr>
      <t>Vehicle health management</t>
    </r>
  </si>
  <si>
    <r>
      <rPr>
        <rFont val="Calibri"/>
        <b/>
        <color rgb="FF000000"/>
        <sz val="11.0"/>
      </rPr>
      <t>License plate bracket</t>
    </r>
    <r>
      <rPr>
        <rFont val="Calibri"/>
        <color rgb="FF000000"/>
        <sz val="11.0"/>
      </rPr>
      <t>, front</t>
    </r>
  </si>
  <si>
    <r>
      <rPr>
        <rFont val="Calibri"/>
        <b/>
        <color rgb="FF000000"/>
        <sz val="11.0"/>
      </rPr>
      <t>LPO, Jake C8.R rear hash graphic with Tech Bronze accent</t>
    </r>
  </si>
  <si>
    <r>
      <rPr>
        <rFont val="Calibri"/>
        <b/>
        <color rgb="FF000000"/>
        <sz val="11.0"/>
      </rPr>
      <t>LPO, Jake C8.R rear hash graphic</t>
    </r>
  </si>
  <si>
    <r>
      <rPr>
        <rFont val="Calibri"/>
        <b/>
        <color rgb="FF000000"/>
        <sz val="11.0"/>
      </rPr>
      <t>LPO, Rear fascia/roof storage protector</t>
    </r>
  </si>
  <si>
    <r>
      <rPr>
        <rFont val="Calibri"/>
        <b/>
        <color rgb="FF000000"/>
        <sz val="11.0"/>
      </rPr>
      <t>LPO, Engine Bay closeout graphics</t>
    </r>
  </si>
  <si>
    <r>
      <rPr>
        <rFont val="Calibri"/>
        <b/>
        <color rgb="FF000000"/>
        <sz val="11.0"/>
      </rPr>
      <t>Wi-Fi Hotspot capable</t>
    </r>
  </si>
  <si>
    <r>
      <rPr>
        <rFont val="Calibri"/>
        <b/>
        <color rgb="FF000000"/>
        <sz val="11.0"/>
      </rPr>
      <t>LPO, Front radiator grille screens</t>
    </r>
  </si>
  <si>
    <r>
      <rPr>
        <rFont val="Calibri"/>
        <b/>
        <color rgb="FF000000"/>
        <sz val="11.0"/>
      </rPr>
      <t>LPO, Floor mats</t>
    </r>
    <r>
      <rPr>
        <rFont val="Calibri"/>
        <color rgb="FF000000"/>
        <sz val="11.0"/>
      </rPr>
      <t>, premium carpeted</t>
    </r>
  </si>
  <si>
    <r>
      <rPr>
        <rFont val="Calibri"/>
        <b/>
        <color rgb="FF000000"/>
        <sz val="11.0"/>
      </rPr>
      <t>LPO, Cargo net set</t>
    </r>
  </si>
  <si>
    <r>
      <rPr>
        <rFont val="Calibri"/>
        <b/>
        <color rgb="FFFF0000"/>
        <sz val="11.0"/>
      </rPr>
      <t xml:space="preserve">NEW!  </t>
    </r>
    <r>
      <rPr>
        <rFont val="Calibri"/>
        <b/>
        <color rgb="FF000000"/>
        <sz val="11.0"/>
      </rPr>
      <t>LPO, Premium indoor car cover</t>
    </r>
    <r>
      <rPr>
        <rFont val="Calibri"/>
        <color rgb="FF000000"/>
        <sz val="11.0"/>
      </rPr>
      <t>, GT3.R, fully rendered</t>
    </r>
  </si>
  <si>
    <t>XFR</t>
  </si>
  <si>
    <r>
      <rPr>
        <rFont val="Calibri"/>
        <b/>
        <color rgb="FF000000"/>
        <sz val="11.0"/>
      </rPr>
      <t>Tires</t>
    </r>
    <r>
      <rPr>
        <rFont val="Calibri"/>
        <color rgb="FF000000"/>
        <sz val="11.0"/>
      </rPr>
      <t>, 275/30ZR20 front and 345/25ZR21 rear, blackwall, high performance</t>
    </r>
  </si>
  <si>
    <t>XFT</t>
  </si>
  <si>
    <r>
      <rPr>
        <rFont val="Calibri"/>
        <b/>
        <color rgb="FF000000"/>
        <sz val="11.0"/>
      </rPr>
      <t>Tires</t>
    </r>
    <r>
      <rPr>
        <rFont val="Calibri"/>
        <color rgb="FF000000"/>
        <sz val="11.0"/>
      </rPr>
      <t>, 275/30ZR20 front and 345/25ZR21 rear, all-season, blackwall, performance</t>
    </r>
  </si>
  <si>
    <r>
      <rPr>
        <rFont val="Calibri"/>
        <b/>
        <color rgb="FF000000"/>
        <sz val="11.0"/>
      </rPr>
      <t>Emissions</t>
    </r>
    <r>
      <rPr>
        <rFont val="Calibri"/>
        <color rgb="FF000000"/>
        <sz val="11.0"/>
      </rPr>
      <t>, California state requirements</t>
    </r>
  </si>
  <si>
    <r>
      <rPr>
        <rFont val="Calibri"/>
        <b/>
        <color rgb="FF000000"/>
        <sz val="11.0"/>
      </rPr>
      <t>ZER Performance Package</t>
    </r>
  </si>
  <si>
    <r>
      <rPr>
        <rFont val="Calibri"/>
        <b/>
        <color rgb="FF000000"/>
        <sz val="11.0"/>
      </rPr>
      <t>Carbon Flash Metallic-painted outside mirrors and spoiler (when equipped)</t>
    </r>
  </si>
  <si>
    <r>
      <rPr>
        <rFont val="Calibri"/>
        <b/>
        <color rgb="FF000000"/>
        <sz val="11.0"/>
      </rPr>
      <t>Convertible Engine Appearance Package</t>
    </r>
  </si>
  <si>
    <t>MISSING IN Z06</t>
  </si>
  <si>
    <r>
      <rPr>
        <rFont val="Calibri"/>
        <b/>
        <color rgb="FF000000"/>
        <sz val="11.0"/>
      </rPr>
      <t>Seat belt color</t>
    </r>
    <r>
      <rPr>
        <rFont val="Calibri"/>
        <color rgb="FF000000"/>
        <sz val="11.0"/>
      </rPr>
      <t>, Orange</t>
    </r>
  </si>
  <si>
    <r>
      <rPr>
        <rFont val="Calibri"/>
        <b/>
        <color rgb="FF000000"/>
        <sz val="11.0"/>
      </rPr>
      <t>Santorini Blue custom leather stitch</t>
    </r>
  </si>
  <si>
    <r>
      <rPr>
        <rFont val="Calibri"/>
        <b/>
        <color rgb="FF000000"/>
        <sz val="11.0"/>
      </rPr>
      <t>Adrenaline Red custom leather stitch</t>
    </r>
  </si>
  <si>
    <r>
      <rPr>
        <rFont val="Calibri"/>
        <b/>
        <color rgb="FF000000"/>
        <sz val="11.0"/>
      </rPr>
      <t>Seat belt color</t>
    </r>
    <r>
      <rPr>
        <rFont val="Calibri"/>
        <color rgb="FF000000"/>
        <sz val="11.0"/>
      </rPr>
      <t>, Santorini Blue</t>
    </r>
  </si>
  <si>
    <r>
      <rPr>
        <rFont val="Calibri"/>
        <b/>
        <color rgb="FF000000"/>
        <sz val="11.0"/>
      </rPr>
      <t>Seat belt color</t>
    </r>
    <r>
      <rPr>
        <rFont val="Calibri"/>
        <color rgb="FF000000"/>
        <sz val="11.0"/>
      </rPr>
      <t>, Torch Red</t>
    </r>
  </si>
  <si>
    <r>
      <rPr>
        <rFont val="Calibri"/>
        <b/>
        <color rgb="FF000000"/>
        <sz val="11.0"/>
      </rPr>
      <t>Seat belt color</t>
    </r>
    <r>
      <rPr>
        <rFont val="Calibri"/>
        <color rgb="FF000000"/>
        <sz val="11.0"/>
      </rPr>
      <t>, Yellow</t>
    </r>
  </si>
  <si>
    <r>
      <rPr>
        <rFont val="Calibri"/>
        <b/>
        <color rgb="FF000000"/>
        <sz val="11.0"/>
      </rPr>
      <t>Seat belt color</t>
    </r>
    <r>
      <rPr>
        <rFont val="Calibri"/>
        <color rgb="FF000000"/>
        <sz val="11.0"/>
      </rPr>
      <t>, Natural</t>
    </r>
  </si>
  <si>
    <r>
      <rPr>
        <rFont val="Calibri"/>
        <b/>
        <color rgb="FF000000"/>
        <sz val="11.0"/>
      </rPr>
      <t>LPO, 20" x 10" (50.8 cm x 25.4 cm) front and 21" x 13" (53.3 cm x 33 cm) rear Spider design, Satin Graphite forged aluminum with Red stripe wheels</t>
    </r>
  </si>
  <si>
    <r>
      <rPr>
        <rFont val="Calibri"/>
        <b/>
        <color rgb="FF000000"/>
        <sz val="11.0"/>
      </rPr>
      <t>LPO, 20" x 10" (50.8 cm x 25.4 cm) front and 21" x 13" (53.3 cm x 33 cm) rear Spider design, Tech Bronze forged aluminum wheels</t>
    </r>
  </si>
  <si>
    <r>
      <rPr>
        <rFont val="Calibri"/>
        <b/>
        <color rgb="FF000000"/>
        <sz val="11.0"/>
      </rPr>
      <t>LPO, Outside mirror covers in visible Carbon Fiber</t>
    </r>
  </si>
  <si>
    <r>
      <rPr>
        <rFont val="Calibri"/>
        <b/>
        <color rgb="FF000000"/>
        <sz val="11.0"/>
      </rPr>
      <t>LPO, Spoiler, Visible Carbon Fiber</t>
    </r>
  </si>
  <si>
    <r>
      <rPr>
        <rFont val="Calibri"/>
        <b/>
        <color rgb="FF000000"/>
        <sz val="11.0"/>
      </rPr>
      <t>LPO, Jake logo wheel center caps</t>
    </r>
  </si>
  <si>
    <r>
      <rPr>
        <rFont val="Calibri"/>
        <b/>
        <color rgb="FF000000"/>
        <sz val="11.0"/>
      </rPr>
      <t>LPO, Carbon Flash wheel center caps with crossed flags logo</t>
    </r>
  </si>
  <si>
    <r>
      <rPr>
        <rFont val="Calibri"/>
        <b/>
        <color rgb="FFFF0000"/>
        <sz val="11.0"/>
      </rPr>
      <t xml:space="preserve">NEW!  </t>
    </r>
    <r>
      <rPr>
        <rFont val="Calibri"/>
        <b/>
        <color rgb="FF000000"/>
        <sz val="11.0"/>
      </rPr>
      <t>LPO, Three-Stanchion high wing spoiler, Carbon Flash Metallic-painted</t>
    </r>
  </si>
  <si>
    <r>
      <rPr>
        <rFont val="Calibri"/>
        <b/>
        <color rgb="FF000000"/>
        <sz val="11.0"/>
      </rPr>
      <t>Seat belt color</t>
    </r>
    <r>
      <rPr>
        <rFont val="Calibri"/>
        <color rgb="FF000000"/>
        <sz val="11.0"/>
      </rPr>
      <t>, Black</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</si>
  <si>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</si>
  <si>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</si>
  <si>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Seats</t>
    </r>
    <r>
      <rPr>
        <rFont val="Calibri"/>
        <color rgb="FF000000"/>
        <sz val="11.0"/>
      </rPr>
      <t>, Competition Sport bucket</t>
    </r>
  </si>
  <si>
    <r>
      <rPr>
        <rFont val="Calibri"/>
        <b/>
        <color rgb="FF000000"/>
        <sz val="11.0"/>
      </rPr>
      <t>Seats</t>
    </r>
    <r>
      <rPr>
        <rFont val="Calibri"/>
        <color rgb="FF000000"/>
        <sz val="11.0"/>
      </rPr>
      <t>, GT2 bucket</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</si>
  <si>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</si>
  <si>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</si>
  <si>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Airbags</t>
    </r>
    <r>
      <rPr>
        <rFont val="Calibri"/>
        <color rgb="FF000000"/>
        <sz val="11.0"/>
      </rPr>
      <t>, frontal and side-impact, driver and passenger</t>
    </r>
  </si>
  <si>
    <r>
      <rPr>
        <rFont val="Calibri"/>
        <b/>
        <color rgb="FF000000"/>
        <sz val="11.0"/>
      </rPr>
      <t>Seat adjuster</t>
    </r>
    <r>
      <rPr>
        <rFont val="Calibri"/>
        <color rgb="FF000000"/>
        <sz val="11.0"/>
      </rPr>
      <t>, power driver lumbar control</t>
    </r>
  </si>
  <si>
    <r>
      <rPr>
        <rFont val="Calibri"/>
        <b/>
        <color rgb="FF000000"/>
        <sz val="11.0"/>
      </rPr>
      <t>Cargo nets</t>
    </r>
  </si>
  <si>
    <r>
      <rPr>
        <rFont val="Calibri"/>
        <b/>
        <color rgb="FF000000"/>
        <sz val="11.0"/>
      </rPr>
      <t>Seats</t>
    </r>
    <r>
      <rPr>
        <rFont val="Calibri"/>
        <color rgb="FF000000"/>
        <sz val="11.0"/>
      </rPr>
      <t>, GT1 bucket</t>
    </r>
  </si>
  <si>
    <r>
      <rPr>
        <rFont val="Calibri"/>
        <b/>
        <color rgb="FF000000"/>
        <sz val="11.0"/>
      </rPr>
      <t>Memory Driver and Passenger Convenience Package</t>
    </r>
  </si>
  <si>
    <r>
      <rPr>
        <rFont val="Calibri"/>
        <b/>
        <color rgb="FF000000"/>
        <sz val="11.0"/>
      </rPr>
      <t>Seat adjuster</t>
    </r>
    <r>
      <rPr>
        <rFont val="Calibri"/>
        <color rgb="FF000000"/>
        <sz val="11.0"/>
      </rPr>
      <t>, power passenger lumbar control</t>
    </r>
  </si>
  <si>
    <r>
      <rPr>
        <rFont val="Calibri"/>
        <b/>
        <color rgb="FFFF0000"/>
        <sz val="11.0"/>
      </rPr>
      <t xml:space="preserve">NEW!  </t>
    </r>
    <r>
      <rPr>
        <rFont val="Calibri"/>
        <b/>
        <color rgb="FF000000"/>
        <sz val="11.0"/>
      </rPr>
      <t>Seats</t>
    </r>
    <r>
      <rPr>
        <rFont val="Calibri"/>
        <color rgb="FF000000"/>
        <sz val="11.0"/>
      </rPr>
      <t>, mixed, driver Competition Sport bucket, passenger GT2 bucket</t>
    </r>
  </si>
  <si>
    <r>
      <rPr>
        <rFont val="Calibri"/>
        <b/>
        <color rgb="FF000000"/>
        <sz val="11.0"/>
      </rPr>
      <t>Performance Traction Management</t>
    </r>
  </si>
  <si>
    <r>
      <rPr>
        <rFont val="Calibri"/>
        <b/>
        <color rgb="FF000000"/>
        <sz val="11.0"/>
      </rPr>
      <t>Coupe Engine Appearance Package</t>
    </r>
  </si>
  <si>
    <r>
      <rPr>
        <rFont val="Calibri"/>
        <b/>
        <color rgb="FF000000"/>
        <sz val="11.0"/>
      </rPr>
      <t>Stealth Interior Trim Package</t>
    </r>
  </si>
  <si>
    <r>
      <rPr>
        <rFont val="Calibri"/>
        <b/>
        <color rgb="FF000000"/>
        <sz val="11.0"/>
      </rPr>
      <t>Engine intake</t>
    </r>
    <r>
      <rPr>
        <rFont val="Calibri"/>
        <color rgb="FF000000"/>
        <sz val="11.0"/>
      </rPr>
      <t>, Red</t>
    </r>
  </si>
  <si>
    <r>
      <rPr>
        <rFont val="Calibri"/>
        <b/>
        <color rgb="FF000000"/>
        <sz val="11.0"/>
      </rPr>
      <t>Plaque</t>
    </r>
    <r>
      <rPr>
        <rFont val="Calibri"/>
        <color rgb="FF000000"/>
        <sz val="11.0"/>
      </rPr>
      <t>, personalized</t>
    </r>
  </si>
  <si>
    <r>
      <rPr>
        <rFont val="Calibri"/>
        <b/>
        <color rgb="FF000000"/>
        <sz val="11.0"/>
      </rPr>
      <t>Roof panel</t>
    </r>
    <r>
      <rPr>
        <rFont val="Calibri"/>
        <color rgb="FF000000"/>
        <sz val="11.0"/>
      </rPr>
      <t>, visible carbon fiber with body-color surround</t>
    </r>
  </si>
  <si>
    <r>
      <rPr>
        <rFont val="Calibri"/>
        <b/>
        <color rgb="FF000000"/>
        <sz val="11.0"/>
      </rPr>
      <t>LPO, Contoured cargo area liners</t>
    </r>
    <r>
      <rPr>
        <rFont val="Calibri"/>
        <color rgb="FF000000"/>
        <sz val="11.0"/>
      </rPr>
      <t xml:space="preserve"> with Jake logo</t>
    </r>
  </si>
  <si>
    <r>
      <rPr>
        <rFont val="Calibri"/>
        <b/>
        <color rgb="FFFF0000"/>
        <sz val="11.0"/>
      </rPr>
      <t xml:space="preserve">NEW!  </t>
    </r>
    <r>
      <rPr>
        <rFont val="Calibri"/>
        <b/>
        <color rgb="FF000000"/>
        <sz val="11.0"/>
      </rPr>
      <t>Rockers and splitter</t>
    </r>
    <r>
      <rPr>
        <rFont val="Calibri"/>
        <color rgb="FF000000"/>
        <sz val="11.0"/>
      </rPr>
      <t>, body-color</t>
    </r>
  </si>
  <si>
    <r>
      <rPr>
        <rFont val="Calibri"/>
        <b/>
        <color rgb="FF000000"/>
        <sz val="11.0"/>
      </rPr>
      <t>Roof panel</t>
    </r>
    <r>
      <rPr>
        <rFont val="Calibri"/>
        <color rgb="FF000000"/>
        <sz val="11.0"/>
      </rPr>
      <t>, transparent, removable</t>
    </r>
  </si>
  <si>
    <r>
      <rPr>
        <rFont val="Calibri"/>
        <b/>
        <color rgb="FF000000"/>
        <sz val="11.0"/>
      </rPr>
      <t>Roof panel</t>
    </r>
    <r>
      <rPr>
        <rFont val="Calibri"/>
        <color rgb="FF000000"/>
        <sz val="11.0"/>
      </rPr>
      <t>, body-color, removable</t>
    </r>
  </si>
  <si>
    <r>
      <rPr>
        <rFont val="Calibri"/>
        <b/>
        <color rgb="FFFF0000"/>
        <sz val="11.0"/>
      </rPr>
      <t xml:space="preserve">NEW!  </t>
    </r>
    <r>
      <rPr>
        <rFont val="Calibri"/>
        <b/>
        <color rgb="FF000000"/>
        <sz val="11.0"/>
      </rPr>
      <t>Roof panel</t>
    </r>
    <r>
      <rPr>
        <rFont val="Calibri"/>
        <color rgb="FF000000"/>
        <sz val="11.0"/>
      </rPr>
      <t>, electrochromic dimming</t>
    </r>
  </si>
  <si>
    <r>
      <rPr>
        <rFont val="Calibri"/>
        <b/>
        <color rgb="FF000000"/>
        <sz val="11.0"/>
      </rPr>
      <t>Ground effects</t>
    </r>
    <r>
      <rPr>
        <rFont val="Calibri"/>
        <color rgb="FF000000"/>
        <sz val="11.0"/>
      </rPr>
      <t>, visible carbon fiber</t>
    </r>
  </si>
  <si>
    <r>
      <rPr>
        <rFont val="Calibri"/>
        <b/>
        <color rgb="FF000000"/>
        <sz val="11.0"/>
      </rPr>
      <t>Plaque</t>
    </r>
    <r>
      <rPr>
        <rFont val="Calibri"/>
        <color rgb="FF000000"/>
        <sz val="11.0"/>
      </rPr>
      <t>, personalized with Corvette Museum logo</t>
    </r>
  </si>
  <si>
    <r>
      <rPr>
        <rFont val="Calibri"/>
        <b/>
        <color rgb="FF000000"/>
        <sz val="11.0"/>
      </rPr>
      <t>Ground effects</t>
    </r>
    <r>
      <rPr>
        <rFont val="Calibri"/>
        <color rgb="FF000000"/>
        <sz val="11.0"/>
      </rPr>
      <t>, carbon fiber, Carbon Flash-painted</t>
    </r>
  </si>
  <si>
    <r>
      <rPr>
        <rFont val="Calibri"/>
        <b/>
        <color rgb="FF000000"/>
        <sz val="11.0"/>
      </rPr>
      <t>Air conditioning</t>
    </r>
    <r>
      <rPr>
        <rFont val="Calibri"/>
        <color rgb="FF000000"/>
        <sz val="11.0"/>
      </rPr>
      <t>, dual-zone automatic climate control</t>
    </r>
  </si>
  <si>
    <r>
      <rPr>
        <rFont val="Calibri"/>
        <b/>
        <color rgb="FF000000"/>
        <sz val="11.0"/>
      </rPr>
      <t>Convertible top</t>
    </r>
    <r>
      <rPr>
        <rFont val="Calibri"/>
        <color rgb="FF000000"/>
        <sz val="11.0"/>
      </rPr>
      <t>, retractable</t>
    </r>
  </si>
  <si>
    <r>
      <rPr>
        <rFont val="Calibri"/>
        <b/>
        <color rgb="FF000000"/>
        <sz val="11.0"/>
      </rPr>
      <t>Color Combination Override</t>
    </r>
  </si>
  <si>
    <r>
      <rPr>
        <rFont val="Calibri"/>
        <b/>
        <color rgb="FF000000"/>
        <sz val="11.0"/>
      </rPr>
      <t>Engine lighting</t>
    </r>
  </si>
  <si>
    <r>
      <rPr>
        <rFont val="Calibri"/>
        <b/>
        <color rgb="FF000000"/>
        <sz val="11.0"/>
      </rPr>
      <t>Convertible top</t>
    </r>
    <r>
      <rPr>
        <rFont val="Calibri"/>
        <color rgb="FF000000"/>
        <sz val="11.0"/>
      </rPr>
      <t>, Carbon Flash-painted nacelles and roof</t>
    </r>
  </si>
  <si>
    <r>
      <rPr>
        <rFont val="Calibri"/>
        <b/>
        <color rgb="FF000000"/>
        <sz val="11.0"/>
      </rPr>
      <t>Convertible top</t>
    </r>
    <r>
      <rPr>
        <rFont val="Calibri"/>
        <color rgb="FF000000"/>
        <sz val="11.0"/>
      </rPr>
      <t>, Carbon Flash-painted nacelles and body-color roof</t>
    </r>
  </si>
  <si>
    <r>
      <rPr>
        <rFont val="Calibri"/>
        <b/>
        <color rgb="FF000000"/>
        <sz val="11.0"/>
      </rPr>
      <t>Carbon Flash with Blue accent Full Length Dual Racing Stripes</t>
    </r>
  </si>
  <si>
    <r>
      <rPr>
        <rFont val="Calibri"/>
        <b/>
        <color rgb="FF000000"/>
        <sz val="11.0"/>
      </rPr>
      <t>Carbon Flash with Yellow accent Full Length Dual Racing Stripes</t>
    </r>
  </si>
  <si>
    <r>
      <rPr>
        <rFont val="Calibri"/>
        <b/>
        <color rgb="FF000000"/>
        <sz val="11.0"/>
      </rPr>
      <t>Carbon Flash with Orange accent Full Length Dual Racing Stripes</t>
    </r>
  </si>
  <si>
    <r>
      <rPr>
        <rFont val="Calibri"/>
        <b/>
        <color rgb="FF000000"/>
        <sz val="11.0"/>
      </rPr>
      <t>Carbon Flash with Red accent Full Length Dual Racing Stripes</t>
    </r>
  </si>
  <si>
    <r>
      <rPr>
        <rFont val="Calibri"/>
        <b/>
        <color rgb="FF000000"/>
        <sz val="11.0"/>
      </rPr>
      <t>Carbon Flash with Silver accent Full Length Dual Racing Stripes</t>
    </r>
  </si>
  <si>
    <r>
      <rPr>
        <rFont val="Calibri"/>
        <b/>
        <color rgb="FF000000"/>
        <sz val="11.0"/>
      </rPr>
      <t>Mirrors</t>
    </r>
    <r>
      <rPr>
        <rFont val="Calibri"/>
        <color rgb="FF000000"/>
        <sz val="11.0"/>
      </rPr>
      <t>, outside, Carbon Flash Metallic-painted</t>
    </r>
  </si>
  <si>
    <r>
      <rPr>
        <rFont val="Calibri"/>
        <b/>
        <color rgb="FF000000"/>
        <sz val="11.0"/>
      </rPr>
      <t>Rear Camera Mirror</t>
    </r>
  </si>
  <si>
    <r>
      <rPr>
        <rFont val="Calibri"/>
        <b/>
        <color rgb="FF000000"/>
        <sz val="11.0"/>
      </rPr>
      <t>Edge Orange Full Length Dual Racing Stripes</t>
    </r>
  </si>
  <si>
    <r>
      <rPr>
        <rFont val="Calibri"/>
        <b/>
        <color rgb="FF000000"/>
        <sz val="11.0"/>
      </rPr>
      <t>Edge Red Full Length Dual Racing Stripes</t>
    </r>
  </si>
  <si>
    <r>
      <rPr>
        <rFont val="Calibri"/>
        <b/>
        <color rgb="FF000000"/>
        <sz val="11.0"/>
      </rPr>
      <t>Competition Yellow Full Length Dual Racing Stripes</t>
    </r>
  </si>
  <si>
    <r>
      <rPr>
        <rFont val="Calibri"/>
        <b/>
        <color rgb="FF000000"/>
        <sz val="11.0"/>
      </rPr>
      <t>Carbon Flash Metallic Full Length Dual Racing Stripes</t>
    </r>
  </si>
  <si>
    <r>
      <rPr>
        <rFont val="Calibri"/>
        <b/>
        <color rgb="FF000000"/>
        <sz val="11.0"/>
      </rPr>
      <t>Sterling Silver Full Length Dual Racing Stripes</t>
    </r>
  </si>
  <si>
    <r>
      <rPr>
        <rFont val="Calibri"/>
        <b/>
        <color rgb="FFFF0000"/>
        <sz val="11.0"/>
      </rPr>
      <t xml:space="preserve">NEW!  </t>
    </r>
    <r>
      <rPr>
        <rFont val="Calibri"/>
        <b/>
        <color rgb="FF000000"/>
        <sz val="11.0"/>
      </rPr>
      <t>Asymmetrical Adrenaline Red/Carbon Flash Full Length Dual Racing Stripes</t>
    </r>
  </si>
  <si>
    <r>
      <rPr>
        <rFont val="Calibri"/>
        <b/>
        <color rgb="FF000000"/>
        <sz val="11.0"/>
      </rPr>
      <t>Edge Blue Full Length Dual Racing Stripes</t>
    </r>
  </si>
  <si>
    <r>
      <rPr>
        <rFont val="Calibri"/>
        <b/>
        <color rgb="FF000000"/>
        <sz val="11.0"/>
      </rPr>
      <t>Mirrors</t>
    </r>
    <r>
      <rPr>
        <rFont val="Calibri"/>
        <color rgb="FF000000"/>
        <sz val="11.0"/>
      </rPr>
      <t>, outside heated, power-adjustable</t>
    </r>
  </si>
  <si>
    <r>
      <rPr>
        <rFont val="Calibri"/>
        <b/>
        <color rgb="FFFF0000"/>
        <sz val="11.0"/>
      </rPr>
      <t xml:space="preserve">NEW!  </t>
    </r>
    <r>
      <rPr>
        <rFont val="Calibri"/>
        <b/>
        <color rgb="FF000000"/>
        <sz val="11.0"/>
      </rPr>
      <t>Display hood</t>
    </r>
    <r>
      <rPr>
        <rFont val="Calibri"/>
        <color rgb="FF000000"/>
        <sz val="11.0"/>
      </rPr>
      <t>, Carbon Fiber</t>
    </r>
  </si>
  <si>
    <r>
      <rPr>
        <rFont val="Calibri"/>
        <b/>
        <color rgb="FF000000"/>
        <sz val="11.0"/>
      </rPr>
      <t>Mirrors</t>
    </r>
    <r>
      <rPr>
        <rFont val="Calibri"/>
        <color rgb="FF000000"/>
        <sz val="11.0"/>
      </rPr>
      <t>, outside heated, power-adjustable</t>
    </r>
  </si>
  <si>
    <r>
      <rPr>
        <rFont val="Calibri"/>
        <b/>
        <color rgb="FF000000"/>
        <sz val="11.0"/>
      </rPr>
      <t>Carbon Flash/Competition Yellow Stinger Stripe</t>
    </r>
  </si>
  <si>
    <r>
      <rPr>
        <rFont val="Calibri"/>
        <b/>
        <color rgb="FF000000"/>
        <sz val="11.0"/>
      </rPr>
      <t>Carbon Flash/Midnight Silver Stinger Stripe</t>
    </r>
  </si>
  <si>
    <r>
      <rPr>
        <rFont val="Calibri"/>
        <b/>
        <color rgb="FF000000"/>
        <sz val="11.0"/>
      </rPr>
      <t>Carbon Flash/Edge Red Stinger Stripe</t>
    </r>
  </si>
  <si>
    <r>
      <rPr>
        <rFont val="Calibri"/>
        <b/>
        <color rgb="FF000000"/>
        <sz val="11.0"/>
      </rPr>
      <t>Front lift adjustable height</t>
    </r>
  </si>
  <si>
    <r>
      <rPr>
        <rFont val="Calibri"/>
        <b/>
        <color rgb="FF000000"/>
        <sz val="11.0"/>
      </rPr>
      <t>Exterior accents</t>
    </r>
    <r>
      <rPr>
        <rFont val="Calibri"/>
        <color rgb="FF000000"/>
        <sz val="11.0"/>
      </rPr>
      <t>, Carbon Flash</t>
    </r>
  </si>
  <si>
    <r>
      <rPr>
        <rFont val="Calibri"/>
        <b/>
        <color rgb="FF000000"/>
        <sz val="11.0"/>
      </rPr>
      <t>Exterior accents</t>
    </r>
    <r>
      <rPr>
        <rFont val="Calibri"/>
        <color rgb="FF000000"/>
        <sz val="11.0"/>
      </rPr>
      <t>, body-color</t>
    </r>
  </si>
  <si>
    <r>
      <rPr>
        <rFont val="Calibri"/>
        <b/>
        <color rgb="FF000000"/>
        <sz val="11.0"/>
      </rPr>
      <t>Battery Protection Package</t>
    </r>
  </si>
  <si>
    <r>
      <rPr>
        <rFont val="Calibri"/>
        <b/>
        <color rgb="FF000000"/>
        <sz val="11.0"/>
      </rPr>
      <t>Chrome Exterior Badge Package</t>
    </r>
  </si>
  <si>
    <r>
      <rPr>
        <rFont val="Calibri"/>
        <b/>
        <color rgb="FF000000"/>
        <sz val="11.0"/>
      </rPr>
      <t>Carbon Flash Exterior Badge Package</t>
    </r>
  </si>
  <si>
    <r>
      <rPr>
        <rFont val="Calibri"/>
        <b/>
        <color rgb="FF000000"/>
        <sz val="11.0"/>
      </rPr>
      <t>Trim</t>
    </r>
    <r>
      <rPr>
        <rFont val="Calibri"/>
        <color rgb="FF000000"/>
        <sz val="11.0"/>
      </rPr>
      <t>, interior</t>
    </r>
  </si>
  <si>
    <r>
      <rPr>
        <rFont val="Calibri"/>
        <b/>
        <color rgb="FF000000"/>
        <sz val="11.0"/>
      </rPr>
      <t>Trim</t>
    </r>
    <r>
      <rPr>
        <rFont val="Calibri"/>
        <color rgb="FF000000"/>
        <sz val="11.0"/>
      </rPr>
      <t>, interior</t>
    </r>
  </si>
  <si>
    <t>FE6</t>
  </si>
  <si>
    <r>
      <rPr>
        <rFont val="Calibri"/>
        <b/>
        <color rgb="FF000000"/>
        <sz val="11.0"/>
      </rPr>
      <t>Suspension</t>
    </r>
    <r>
      <rPr>
        <rFont val="Calibri"/>
        <color rgb="FF000000"/>
        <sz val="11.0"/>
      </rPr>
      <t>, performance</t>
    </r>
  </si>
  <si>
    <t>FE7</t>
  </si>
  <si>
    <r>
      <rPr>
        <rFont val="Calibri"/>
        <b/>
        <color rgb="FF000000"/>
        <sz val="11.0"/>
      </rPr>
      <t>Suspension</t>
    </r>
    <r>
      <rPr>
        <rFont val="Calibri"/>
        <color rgb="FF000000"/>
        <sz val="11.0"/>
      </rPr>
      <t>, Z07</t>
    </r>
  </si>
  <si>
    <r>
      <rPr>
        <rFont val="Calibri"/>
        <b/>
        <color rgb="FF000000"/>
        <sz val="11.0"/>
      </rPr>
      <t>Emissions</t>
    </r>
    <r>
      <rPr>
        <rFont val="Calibri"/>
        <color rgb="FF000000"/>
        <sz val="11.0"/>
      </rPr>
      <t>, Federal requirements</t>
    </r>
  </si>
  <si>
    <t>G0K</t>
  </si>
  <si>
    <r>
      <rPr>
        <rFont val="Calibri"/>
        <b/>
        <color rgb="FF000000"/>
        <sz val="11.0"/>
      </rPr>
      <t>Rear axle</t>
    </r>
    <r>
      <rPr>
        <rFont val="Calibri"/>
        <color rgb="FF000000"/>
        <sz val="11.0"/>
      </rPr>
      <t>, 5.56 ratio</t>
    </r>
  </si>
  <si>
    <r>
      <rPr>
        <rFont val="Calibri"/>
        <b/>
        <color rgb="FFFF0000"/>
        <sz val="11.0"/>
      </rPr>
      <t xml:space="preserve">NEW!  </t>
    </r>
    <r>
      <rPr>
        <rFont val="Calibri"/>
        <b/>
        <color rgb="FF000000"/>
        <sz val="11.0"/>
      </rPr>
      <t>Infotainment system</t>
    </r>
    <r>
      <rPr>
        <rFont val="Calibri"/>
        <color rgb="FF000000"/>
        <sz val="11.0"/>
      </rPr>
      <t xml:space="preserve"> with Google Built-In</t>
    </r>
  </si>
  <si>
    <r>
      <rPr>
        <rFont val="Calibri"/>
        <b/>
        <color rgb="FF000000"/>
        <sz val="11.0"/>
      </rPr>
      <t>Sueded Microfiber-Wrapped Upper Interior Trim Package</t>
    </r>
  </si>
  <si>
    <t>J56</t>
  </si>
  <si>
    <r>
      <rPr>
        <rFont val="Calibri"/>
        <b/>
        <color rgb="FF000000"/>
        <sz val="11.0"/>
      </rPr>
      <t>Brakes</t>
    </r>
    <r>
      <rPr>
        <rFont val="Calibri"/>
        <color rgb="FF000000"/>
        <sz val="11.0"/>
      </rPr>
      <t>, 4-wheel antilock, 4-wheel disc</t>
    </r>
  </si>
  <si>
    <r>
      <rPr>
        <rFont val="Calibri"/>
        <b/>
        <color rgb="FF000000"/>
        <sz val="11.0"/>
      </rPr>
      <t>Brakes</t>
    </r>
    <r>
      <rPr>
        <rFont val="Calibri"/>
        <color rgb="FF000000"/>
        <sz val="11.0"/>
      </rPr>
      <t>, 4-wheel antilock, 4-wheel disc</t>
    </r>
  </si>
  <si>
    <r>
      <rPr>
        <rFont val="Calibri"/>
        <b/>
        <color rgb="FF000000"/>
        <sz val="11.0"/>
      </rPr>
      <t>Calipers</t>
    </r>
    <r>
      <rPr>
        <rFont val="Calibri"/>
        <color rgb="FF000000"/>
        <sz val="11.0"/>
      </rPr>
      <t>, Black</t>
    </r>
  </si>
  <si>
    <r>
      <rPr>
        <rFont val="Calibri"/>
        <b/>
        <color rgb="FF000000"/>
        <sz val="11.0"/>
      </rPr>
      <t>Calipers</t>
    </r>
    <r>
      <rPr>
        <rFont val="Calibri"/>
        <color rgb="FF000000"/>
        <sz val="11.0"/>
      </rPr>
      <t>, Blue</t>
    </r>
  </si>
  <si>
    <r>
      <rPr>
        <rFont val="Calibri"/>
        <b/>
        <color rgb="FF000000"/>
        <sz val="11.0"/>
      </rPr>
      <t>Calipers</t>
    </r>
    <r>
      <rPr>
        <rFont val="Calibri"/>
        <color rgb="FF000000"/>
        <sz val="11.0"/>
      </rPr>
      <t>, Dark Gray Metallic</t>
    </r>
  </si>
  <si>
    <r>
      <rPr>
        <rFont val="Calibri"/>
        <b/>
        <color rgb="FF000000"/>
        <sz val="11.0"/>
      </rPr>
      <t>Calipers</t>
    </r>
    <r>
      <rPr>
        <rFont val="Calibri"/>
        <color rgb="FF000000"/>
        <sz val="11.0"/>
      </rPr>
      <t>, Velocity Yellow</t>
    </r>
  </si>
  <si>
    <r>
      <rPr>
        <rFont val="Calibri"/>
        <b/>
        <color rgb="FF000000"/>
        <sz val="11.0"/>
      </rPr>
      <t>Calipers</t>
    </r>
    <r>
      <rPr>
        <rFont val="Calibri"/>
        <color rgb="FF000000"/>
        <sz val="11.0"/>
      </rPr>
      <t>, Bright Red</t>
    </r>
  </si>
  <si>
    <r>
      <rPr>
        <rFont val="Calibri"/>
        <b/>
        <color rgb="FF000000"/>
        <sz val="11.0"/>
      </rPr>
      <t>Calipers</t>
    </r>
    <r>
      <rPr>
        <rFont val="Calibri"/>
        <color rgb="FF000000"/>
        <sz val="11.0"/>
      </rPr>
      <t>, Orange</t>
    </r>
  </si>
  <si>
    <r>
      <rPr>
        <rFont val="Calibri"/>
        <b/>
        <color rgb="FF000000"/>
        <sz val="11.0"/>
      </rPr>
      <t>Calipers</t>
    </r>
    <r>
      <rPr>
        <rFont val="Calibri"/>
        <color rgb="FF000000"/>
        <sz val="11.0"/>
      </rPr>
      <t>, Edge Red</t>
    </r>
  </si>
  <si>
    <r>
      <rPr>
        <rFont val="Calibri"/>
        <b/>
        <color rgb="FFFF0000"/>
        <sz val="11.0"/>
      </rPr>
      <t xml:space="preserve">NEW!  </t>
    </r>
    <r>
      <rPr>
        <rFont val="Calibri"/>
        <b/>
        <color rgb="FF000000"/>
        <sz val="11.0"/>
      </rPr>
      <t>Wireless Phone Charging</t>
    </r>
  </si>
  <si>
    <r>
      <rPr>
        <rFont val="Calibri"/>
        <b/>
        <color rgb="FFFF0000"/>
        <sz val="11.0"/>
      </rPr>
      <t xml:space="preserve">NEW!  </t>
    </r>
    <r>
      <rPr>
        <rFont val="Calibri"/>
        <b/>
        <color rgb="FF000000"/>
        <sz val="11.0"/>
      </rPr>
      <t>Wireless Phone Charging</t>
    </r>
  </si>
  <si>
    <r>
      <rPr>
        <rFont val="Calibri"/>
        <b/>
        <color rgb="FF000000"/>
        <sz val="11.0"/>
      </rPr>
      <t>Steering wheel</t>
    </r>
    <r>
      <rPr>
        <rFont val="Calibri"/>
        <color rgb="FF000000"/>
        <sz val="11.0"/>
      </rPr>
      <t>, heated</t>
    </r>
  </si>
  <si>
    <r>
      <rPr>
        <rFont val="Calibri"/>
        <b/>
        <color rgb="FF000000"/>
        <sz val="11.0"/>
      </rPr>
      <t>Seats</t>
    </r>
    <r>
      <rPr>
        <rFont val="Calibri"/>
        <color rgb="FF000000"/>
        <sz val="11.0"/>
      </rPr>
      <t>, heated and vented driver and passenger</t>
    </r>
  </si>
  <si>
    <t>LT6</t>
  </si>
  <si>
    <r>
      <rPr>
        <rFont val="Calibri"/>
        <b/>
        <color rgb="FF000000"/>
        <sz val="11.0"/>
      </rPr>
      <t>Engine</t>
    </r>
    <r>
      <rPr>
        <rFont val="Calibri"/>
        <color rgb="FF000000"/>
        <sz val="11.0"/>
      </rPr>
      <t>, 5.5L V8 DI</t>
    </r>
  </si>
  <si>
    <t>M1M</t>
  </si>
  <si>
    <r>
      <rPr>
        <rFont val="Calibri"/>
        <b/>
        <color rgb="FF000000"/>
        <sz val="11.0"/>
      </rPr>
      <t>Transmission</t>
    </r>
    <r>
      <rPr>
        <rFont val="Calibri"/>
        <color rgb="FF000000"/>
        <sz val="11.0"/>
      </rPr>
      <t>, 8-speed dual clutch, includes manual and auto modes</t>
    </r>
  </si>
  <si>
    <r>
      <rPr>
        <rFont val="Calibri"/>
        <b/>
        <color rgb="FF000000"/>
        <sz val="11.0"/>
      </rPr>
      <t>Steering wheel</t>
    </r>
    <r>
      <rPr>
        <rFont val="Calibri"/>
        <color rgb="FF000000"/>
        <sz val="11.0"/>
      </rPr>
      <t>, sueded microfiber-wrapped</t>
    </r>
  </si>
  <si>
    <r>
      <rPr>
        <rFont val="Calibri"/>
        <b/>
        <color rgb="FF000000"/>
        <sz val="11.0"/>
      </rPr>
      <t>Steering wheel</t>
    </r>
    <r>
      <rPr>
        <rFont val="Calibri"/>
        <color rgb="FF000000"/>
        <sz val="11.0"/>
      </rPr>
      <t>, carbon fiber and sueded microfiber-wrapped</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</si>
  <si>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</si>
  <si>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carbon fiber and leather-wrapped</t>
    </r>
  </si>
  <si>
    <r>
      <rPr>
        <rFont val="Calibri"/>
        <b/>
        <color rgb="FF000000"/>
        <sz val="11.0"/>
      </rPr>
      <t>Emissions override</t>
    </r>
    <r>
      <rPr>
        <rFont val="Calibri"/>
        <color rgb="FF000000"/>
        <sz val="11.0"/>
      </rPr>
      <t xml:space="preserve">, California </t>
    </r>
  </si>
  <si>
    <r>
      <rPr>
        <rFont val="Calibri"/>
        <b/>
        <color rgb="FF000000"/>
        <sz val="11.0"/>
      </rPr>
      <t>Emissions override</t>
    </r>
    <r>
      <rPr>
        <rFont val="Calibri"/>
        <color rgb="FF000000"/>
        <sz val="11.0"/>
      </rPr>
      <t>, state-specific</t>
    </r>
  </si>
  <si>
    <r>
      <rPr>
        <rFont val="Calibri"/>
        <b/>
        <color rgb="FF000000"/>
        <sz val="11.0"/>
      </rPr>
      <t>Emissions override</t>
    </r>
    <r>
      <rPr>
        <rFont val="Calibri"/>
        <color rgb="FF000000"/>
        <sz val="11.0"/>
      </rPr>
      <t>, Federal</t>
    </r>
  </si>
  <si>
    <r>
      <rPr>
        <rFont val="Calibri"/>
        <b/>
        <color rgb="FF000000"/>
        <sz val="11.0"/>
      </rPr>
      <t>Emissions</t>
    </r>
  </si>
  <si>
    <r>
      <rPr>
        <rFont val="Calibri"/>
        <b/>
        <color rgb="FF000000"/>
        <sz val="11.0"/>
      </rPr>
      <t>Exhaust tips</t>
    </r>
    <r>
      <rPr>
        <rFont val="Calibri"/>
        <color rgb="FF000000"/>
        <sz val="11.0"/>
      </rPr>
      <t>, Black</t>
    </r>
  </si>
  <si>
    <r>
      <rPr>
        <rFont val="Calibri"/>
        <b/>
        <color rgb="FF000000"/>
        <sz val="11.0"/>
      </rPr>
      <t>Steering wheel</t>
    </r>
    <r>
      <rPr>
        <rFont val="Calibri"/>
        <color rgb="FF000000"/>
        <sz val="11.0"/>
      </rPr>
      <t>, leather-wrapped</t>
    </r>
  </si>
  <si>
    <r>
      <rPr>
        <rFont val="Calibri"/>
        <b/>
        <color rgb="FF000000"/>
        <sz val="11.0"/>
      </rPr>
      <t>Exhaust</t>
    </r>
    <r>
      <rPr>
        <rFont val="Calibri"/>
        <color rgb="FF000000"/>
        <sz val="11.0"/>
      </rPr>
      <t>, performance</t>
    </r>
  </si>
  <si>
    <r>
      <rPr>
        <rFont val="Calibri"/>
        <b/>
        <color rgb="FF000000"/>
        <sz val="11.0"/>
      </rPr>
      <t>12 Months OnStar Connect Plus</t>
    </r>
  </si>
  <si>
    <r>
      <rPr>
        <rFont val="Calibri"/>
        <b/>
        <color rgb="FF000000"/>
        <sz val="11.0"/>
      </rPr>
      <t>24 Months OnStar Connect Plus</t>
    </r>
  </si>
  <si>
    <r>
      <rPr>
        <rFont val="Calibri"/>
        <b/>
        <color rgb="FF000000"/>
        <sz val="11.0"/>
      </rPr>
      <t>24 Months OnStar Protect</t>
    </r>
  </si>
  <si>
    <r>
      <rPr>
        <rFont val="Calibri"/>
        <b/>
        <color rgb="FF000000"/>
        <sz val="11.0"/>
      </rPr>
      <t>36 Months OnStar Protect</t>
    </r>
  </si>
  <si>
    <r>
      <rPr>
        <rFont val="Calibri"/>
        <b/>
        <color rgb="FF000000"/>
        <sz val="11.0"/>
      </rPr>
      <t>48 Months OnStar Protect</t>
    </r>
  </si>
  <si>
    <r>
      <rPr>
        <rFont val="Calibri"/>
        <b/>
        <color rgb="FF000000"/>
        <sz val="11.0"/>
      </rPr>
      <t>60 Months OnStar Protect</t>
    </r>
  </si>
  <si>
    <r>
      <rPr>
        <rFont val="Calibri"/>
        <b/>
        <color rgb="FF000000"/>
        <sz val="11.0"/>
      </rPr>
      <t>12 Months OnStar Protect</t>
    </r>
  </si>
  <si>
    <r>
      <rPr>
        <rFont val="Calibri"/>
        <b/>
        <color rgb="FF000000"/>
        <sz val="11.0"/>
      </rPr>
      <t>12 Months OnStar Telematics</t>
    </r>
  </si>
  <si>
    <r>
      <rPr>
        <rFont val="Calibri"/>
        <b/>
        <color rgb="FF000000"/>
        <sz val="11.0"/>
      </rPr>
      <t xml:space="preserve">24 Months OnStar Telematics </t>
    </r>
  </si>
  <si>
    <r>
      <rPr>
        <rFont val="Calibri"/>
        <b/>
        <color rgb="FF000000"/>
        <sz val="11.0"/>
      </rPr>
      <t>36 Months OnStar Telematics</t>
    </r>
  </si>
  <si>
    <r>
      <rPr>
        <rFont val="Calibri"/>
        <b/>
        <color rgb="FF000000"/>
        <sz val="11.0"/>
      </rPr>
      <t>48 Months OnStar Telematics</t>
    </r>
  </si>
  <si>
    <r>
      <rPr>
        <rFont val="Calibri"/>
        <b/>
        <color rgb="FF000000"/>
        <sz val="11.0"/>
      </rPr>
      <t>60 Months OnStar Telematics</t>
    </r>
  </si>
  <si>
    <r>
      <rPr>
        <rFont val="Calibri"/>
        <b/>
        <color rgb="FF000000"/>
        <sz val="11.0"/>
      </rPr>
      <t>LPO, Tech Bronze Accent Package</t>
    </r>
  </si>
  <si>
    <r>
      <rPr>
        <rFont val="Calibri"/>
        <b/>
        <color rgb="FF000000"/>
        <sz val="11.0"/>
      </rPr>
      <t>LPO, Jake C8.R Graphics Package</t>
    </r>
  </si>
  <si>
    <r>
      <rPr>
        <rFont val="Calibri"/>
        <b/>
        <color rgb="FF000000"/>
        <sz val="11.0"/>
      </rPr>
      <t>LPO, Roadside Safety Package</t>
    </r>
  </si>
  <si>
    <r>
      <rPr>
        <rFont val="Calibri"/>
        <b/>
        <color rgb="FF000000"/>
        <sz val="11.0"/>
      </rPr>
      <t>LPO, Contoured Liner Protection Package</t>
    </r>
  </si>
  <si>
    <r>
      <rPr>
        <rFont val="Calibri"/>
        <b/>
        <color rgb="FF000000"/>
        <sz val="11.0"/>
      </rPr>
      <t>Customer VIN ending reservation</t>
    </r>
  </si>
  <si>
    <r>
      <rPr>
        <rFont val="Calibri"/>
        <b/>
        <color rgb="FF000000"/>
        <sz val="11.0"/>
      </rPr>
      <t>Wireless Apple CarPlay/Wireless Android Auto</t>
    </r>
  </si>
  <si>
    <r>
      <rPr>
        <rFont val="Calibri"/>
        <b/>
        <color rgb="FF000000"/>
        <sz val="11.0"/>
      </rPr>
      <t>36 Months OnStar Connect Plus</t>
    </r>
  </si>
  <si>
    <r>
      <rPr>
        <rFont val="Calibri"/>
        <b/>
        <color rgb="FF000000"/>
        <sz val="11.0"/>
      </rPr>
      <t>48 Months OnStar Connect Plus</t>
    </r>
  </si>
  <si>
    <r>
      <rPr>
        <rFont val="Calibri"/>
        <b/>
        <color rgb="FF000000"/>
        <sz val="11.0"/>
      </rPr>
      <t>60 Months OnStar Connect Plus</t>
    </r>
  </si>
  <si>
    <r>
      <rPr>
        <rFont val="Calibri"/>
        <b/>
        <color rgb="FF000000"/>
        <sz val="11.0"/>
      </rPr>
      <t>3 Years OnStar One</t>
    </r>
  </si>
  <si>
    <r>
      <rPr>
        <rFont val="Calibri"/>
        <b/>
        <color rgb="FF000000"/>
        <sz val="11.0"/>
      </rPr>
      <t>3 Years SiriusXM</t>
    </r>
  </si>
  <si>
    <r>
      <rPr>
        <rFont val="Calibri"/>
        <b/>
        <color rgb="FF000000"/>
        <sz val="11.0"/>
      </rPr>
      <t>Custom Interior Trim and Seat Combination</t>
    </r>
  </si>
  <si>
    <r>
      <rPr>
        <rFont val="Calibri"/>
        <b/>
        <color rgb="FFFF0000"/>
        <sz val="11.0"/>
      </rPr>
      <t xml:space="preserve">NEW!  </t>
    </r>
    <r>
      <rPr>
        <rFont val="Calibri"/>
        <b/>
        <color rgb="FF000000"/>
        <sz val="11.0"/>
      </rPr>
      <t>LPO, Illuminated crossed flags emblem</t>
    </r>
  </si>
  <si>
    <r>
      <rPr>
        <rFont val="Calibri"/>
        <b/>
        <color rgb="FF000000"/>
        <sz val="11.0"/>
      </rPr>
      <t>Corvette Museum Delivery</t>
    </r>
  </si>
  <si>
    <r>
      <rPr>
        <rFont val="Calibri"/>
        <b/>
        <color rgb="FF000000"/>
        <sz val="11.0"/>
      </rPr>
      <t>Gas guzzler tax</t>
    </r>
  </si>
  <si>
    <r>
      <rPr>
        <rFont val="Calibri"/>
        <b/>
        <color rgb="FF000000"/>
        <sz val="11.0"/>
      </rPr>
      <t>12 Months OnStar One Fleet</t>
    </r>
  </si>
  <si>
    <r>
      <rPr>
        <rFont val="Calibri"/>
        <b/>
        <color rgb="FF000000"/>
        <sz val="11.0"/>
      </rPr>
      <t>36 Months OnStar One Fleet</t>
    </r>
  </si>
  <si>
    <r>
      <rPr>
        <rFont val="Calibri"/>
        <b/>
        <color rgb="FF000000"/>
        <sz val="11.0"/>
      </rPr>
      <t>60 Months OnStar One Fleet</t>
    </r>
  </si>
  <si>
    <r>
      <rPr>
        <rFont val="Calibri"/>
        <b/>
        <color rgb="FF000000"/>
        <sz val="11.0"/>
      </rPr>
      <t>48 Months OnStar One Fleet</t>
    </r>
  </si>
  <si>
    <r>
      <rPr>
        <rFont val="Calibri"/>
        <b/>
        <color rgb="FF000000"/>
        <sz val="11.0"/>
      </rPr>
      <t>Removes OnStar Basics (OnStar Fleet Basics for Fleet)</t>
    </r>
  </si>
  <si>
    <r>
      <rPr>
        <rFont val="Calibri"/>
        <b/>
        <color rgb="FF000000"/>
        <sz val="11.0"/>
      </rPr>
      <t>Mobile Service Plus</t>
    </r>
  </si>
  <si>
    <r>
      <rPr>
        <rFont val="Calibri"/>
        <b/>
        <color rgb="FF000000"/>
        <sz val="11.0"/>
      </rPr>
      <t>Deleted Mobile Service Plus</t>
    </r>
  </si>
  <si>
    <r>
      <rPr>
        <rFont val="Calibri"/>
        <b/>
        <color rgb="FF000000"/>
        <sz val="11.0"/>
      </rPr>
      <t>Mobile Service Plus</t>
    </r>
  </si>
  <si>
    <r>
      <rPr>
        <rFont val="Calibri"/>
        <b/>
        <color rgb="FF000000"/>
        <sz val="11.0"/>
      </rPr>
      <t>24 Months OnStar One Fleet</t>
    </r>
  </si>
  <si>
    <r>
      <rPr>
        <rFont val="Calibri"/>
        <b/>
        <color rgb="FF000000"/>
        <sz val="11.0"/>
      </rPr>
      <t>LPO, All-weather floor liners</t>
    </r>
  </si>
  <si>
    <r>
      <rPr>
        <rFont val="Calibri"/>
        <b/>
        <color rgb="FF000000"/>
        <sz val="11.0"/>
      </rPr>
      <t>LPO, Rear Corvette script badge in Torch Red</t>
    </r>
  </si>
  <si>
    <r>
      <rPr>
        <rFont val="Calibri"/>
        <b/>
        <color rgb="FF000000"/>
        <sz val="11.0"/>
      </rPr>
      <t>LPO, Rear Corvette script badge in Arctic White</t>
    </r>
  </si>
  <si>
    <r>
      <rPr>
        <rFont val="Calibri"/>
        <b/>
        <color rgb="FF000000"/>
        <sz val="11.0"/>
      </rPr>
      <t>Wheels</t>
    </r>
    <r>
      <rPr>
        <rFont val="Calibri"/>
        <color rgb="FF000000"/>
        <sz val="11.0"/>
      </rPr>
      <t>, 20" x 10" (50.8 cm x 25.4 cm) front and 21" x 13" (53.3 cm x 33 cm) rear Carbon Flash-painted carbon fiber</t>
    </r>
  </si>
  <si>
    <r>
      <rPr>
        <rFont val="Calibri"/>
        <b/>
        <color rgb="FF000000"/>
        <sz val="11.0"/>
      </rPr>
      <t>Wheels</t>
    </r>
    <r>
      <rPr>
        <rFont val="Calibri"/>
        <color rgb="FF000000"/>
        <sz val="11.0"/>
      </rPr>
      <t>, 20" x 10" (50.8 cm x 25.4 cm) front and 21" x 13" (53.3 cm x 33 cm) rear visible carbon fiber</t>
    </r>
  </si>
  <si>
    <r>
      <rPr>
        <rFont val="Calibri"/>
        <b/>
        <color rgb="FF000000"/>
        <sz val="11.0"/>
      </rPr>
      <t>LPO, Premium indoor car cover</t>
    </r>
    <r>
      <rPr>
        <rFont val="Calibri"/>
        <color rgb="FF000000"/>
        <sz val="11.0"/>
      </rPr>
      <t>, Black with crossed flags logo</t>
    </r>
  </si>
  <si>
    <r>
      <rPr>
        <rFont val="Calibri"/>
        <b/>
        <color rgb="FF000000"/>
        <sz val="11.0"/>
      </rPr>
      <t>LPO, Premium outdoor car cover</t>
    </r>
    <r>
      <rPr>
        <rFont val="Calibri"/>
        <color rgb="FF000000"/>
        <sz val="11.0"/>
      </rPr>
      <t>, Gray with crossed flags logo and Corvette silhouette</t>
    </r>
  </si>
  <si>
    <r>
      <rPr>
        <rFont val="Calibri"/>
        <b/>
        <color rgb="FF000000"/>
        <sz val="11.0"/>
      </rPr>
      <t>LPO, Cargo area organizer</t>
    </r>
    <r>
      <rPr>
        <rFont val="Calibri"/>
        <color rgb="FF000000"/>
        <sz val="11.0"/>
      </rPr>
      <t>, collapsible</t>
    </r>
  </si>
  <si>
    <r>
      <rPr>
        <rFont val="Calibri"/>
        <b/>
        <color rgb="FF000000"/>
        <sz val="11.0"/>
      </rPr>
      <t>LPO, LT6 engine cover in visible carbon fiber</t>
    </r>
  </si>
  <si>
    <r>
      <rPr>
        <rFont val="Calibri"/>
        <b/>
        <color rgb="FF000000"/>
        <sz val="11.0"/>
      </rPr>
      <t>LPO, Visible Carbon Fiber door intake trim</t>
    </r>
  </si>
  <si>
    <r>
      <rPr>
        <rFont val="Calibri"/>
        <b/>
        <color rgb="FF000000"/>
        <sz val="11.0"/>
      </rPr>
      <t>LPO, First Aid Kit</t>
    </r>
  </si>
  <si>
    <r>
      <rPr>
        <rFont val="Calibri"/>
        <b/>
        <color rgb="FF000000"/>
        <sz val="11.0"/>
      </rPr>
      <t>LPO, Highway Safety Kit</t>
    </r>
  </si>
  <si>
    <r>
      <rPr>
        <rFont val="Calibri"/>
        <b/>
        <color rgb="FF000000"/>
        <sz val="11.0"/>
      </rPr>
      <t>LPO, Set of premium leather weekend/travel bags</t>
    </r>
  </si>
  <si>
    <r>
      <rPr>
        <rFont val="Calibri"/>
        <b/>
        <color rgb="FF000000"/>
        <sz val="11.0"/>
      </rPr>
      <t>LPO, Chrome lug nuts</t>
    </r>
  </si>
  <si>
    <r>
      <rPr>
        <rFont val="Calibri"/>
        <b/>
        <color rgb="FF000000"/>
        <sz val="11.0"/>
      </rPr>
      <t>LPO, Dual roof</t>
    </r>
  </si>
  <si>
    <r>
      <rPr>
        <rFont val="Calibri"/>
        <b/>
        <color rgb="FF000000"/>
        <sz val="11.0"/>
      </rPr>
      <t>LPO, Roof panel storage pouch</t>
    </r>
  </si>
  <si>
    <r>
      <rPr>
        <rFont val="Calibri"/>
        <b/>
        <color rgb="FF000000"/>
        <sz val="11.0"/>
      </rPr>
      <t>LPO, Black tow hook</t>
    </r>
  </si>
  <si>
    <r>
      <rPr>
        <rFont val="Calibri"/>
        <b/>
        <color rgb="FF000000"/>
        <sz val="11.0"/>
      </rPr>
      <t>LPO, Chrome wheel locks</t>
    </r>
  </si>
  <si>
    <r>
      <rPr>
        <rFont val="Calibri"/>
        <b/>
        <color rgb="FF000000"/>
        <sz val="11.0"/>
      </rPr>
      <t>LPO, Dark Stealth crossed flags emblems</t>
    </r>
    <r>
      <rPr>
        <rFont val="Calibri"/>
        <color rgb="FF000000"/>
        <sz val="11.0"/>
      </rPr>
      <t>, front and rear on Z06 models</t>
    </r>
  </si>
  <si>
    <r>
      <rPr>
        <rFont val="Calibri"/>
        <b/>
        <color rgb="FF000000"/>
        <sz val="11.0"/>
      </rPr>
      <t>LPO, Z06 badges in Edge Red</t>
    </r>
  </si>
  <si>
    <r>
      <rPr>
        <rFont val="Calibri"/>
        <b/>
        <color rgb="FF000000"/>
        <sz val="11.0"/>
      </rPr>
      <t>LPO, Jake hood graphic with Tech Bronze accent</t>
    </r>
  </si>
  <si>
    <r>
      <rPr>
        <rFont val="Calibri"/>
        <b/>
        <color rgb="FF000000"/>
        <sz val="11.0"/>
      </rPr>
      <t>LPO, Spoiler extension</t>
    </r>
  </si>
  <si>
    <r>
      <rPr>
        <rFont val="Calibri"/>
        <b/>
        <color rgb="FF000000"/>
        <sz val="11.0"/>
      </rPr>
      <t>LPO, Rear Corvette script badge in Edge Red</t>
    </r>
  </si>
  <si>
    <r>
      <rPr>
        <rFont val="Calibri"/>
        <b/>
        <color rgb="FF000000"/>
        <sz val="11.0"/>
      </rPr>
      <t>LPO, Engine specification plaque</t>
    </r>
  </si>
  <si>
    <r>
      <rPr>
        <rFont val="Calibri"/>
        <b/>
        <color rgb="FF000000"/>
        <sz val="11.0"/>
      </rPr>
      <t>LPO, Rear hatch strut bracket</t>
    </r>
    <r>
      <rPr>
        <rFont val="Calibri"/>
        <color rgb="FF000000"/>
        <sz val="11.0"/>
      </rPr>
      <t>, Edge Red</t>
    </r>
  </si>
  <si>
    <r>
      <rPr>
        <rFont val="Calibri"/>
        <b/>
        <color rgb="FF000000"/>
        <sz val="11.0"/>
      </rPr>
      <t>LPO, Visible carbon fiber engine cross brace</t>
    </r>
  </si>
  <si>
    <r>
      <rPr>
        <rFont val="Calibri"/>
        <b/>
        <color rgb="FF000000"/>
        <sz val="11.0"/>
      </rPr>
      <t>LPO, Jake hood graphic</t>
    </r>
  </si>
  <si>
    <r>
      <rPr>
        <rFont val="Calibri"/>
        <b/>
        <color rgb="FF000000"/>
        <sz val="11.0"/>
      </rPr>
      <t>Wheels</t>
    </r>
    <r>
      <rPr>
        <rFont val="Calibri"/>
        <color rgb="FF000000"/>
        <sz val="11.0"/>
      </rPr>
      <t>, 20" x 10" (50.8 cm x 25.4 cm) front and 21" x 13" (53.3 cm x 33 cm) rear Spider design, Black forged aluminum</t>
    </r>
  </si>
  <si>
    <r>
      <rPr>
        <rFont val="Calibri"/>
        <b/>
        <color rgb="FF000000"/>
        <sz val="11.0"/>
      </rPr>
      <t>Wheels</t>
    </r>
    <r>
      <rPr>
        <rFont val="Calibri"/>
        <color rgb="FF000000"/>
        <sz val="11.0"/>
      </rPr>
      <t>, 20" x 10" (50.8 cm x 25.4 cm) front and 21" x 13" (53.3 cm x 33 cm) rear Spider design, Titanium Satin forged aluminum</t>
    </r>
  </si>
  <si>
    <r>
      <rPr>
        <rFont val="Calibri"/>
        <b/>
        <color rgb="FF000000"/>
        <sz val="11.0"/>
      </rPr>
      <t>LPO, Black lug nuts</t>
    </r>
  </si>
  <si>
    <r>
      <rPr>
        <rFont val="Calibri"/>
        <b/>
        <color rgb="FF000000"/>
        <sz val="11.0"/>
      </rPr>
      <t>LPO, Black wheel locks</t>
    </r>
  </si>
  <si>
    <r>
      <rPr>
        <rFont val="Calibri"/>
        <b/>
        <color rgb="FF000000"/>
        <sz val="11.0"/>
      </rPr>
      <t>Wheels</t>
    </r>
    <r>
      <rPr>
        <rFont val="Calibri"/>
        <color rgb="FF000000"/>
        <sz val="11.0"/>
      </rPr>
      <t>, 20" x 10" (50.8 cm x 25.4 cm) front and 21" x 13" (53.3 cm x 33 cm) rear 10-spoke, Pearl Nickel forged aluminum</t>
    </r>
  </si>
  <si>
    <r>
      <rPr>
        <rFont val="Calibri"/>
        <b/>
        <color rgb="FF000000"/>
        <sz val="11.0"/>
      </rPr>
      <t>Wheels</t>
    </r>
    <r>
      <rPr>
        <rFont val="Calibri"/>
        <color rgb="FF000000"/>
        <sz val="11.0"/>
      </rPr>
      <t>, 20" x 10" (50.8 cm x 25.4 cm) front and 21" x 13" (53.3 cm x 33 cm) rear 10-spoke, Gloss Black forged aluminum</t>
    </r>
  </si>
  <si>
    <r>
      <rPr>
        <rFont val="Calibri"/>
        <b/>
        <color rgb="FF000000"/>
        <sz val="11.0"/>
      </rPr>
      <t>Wheels</t>
    </r>
    <r>
      <rPr>
        <rFont val="Calibri"/>
        <color rgb="FF000000"/>
        <sz val="11.0"/>
      </rPr>
      <t>, 20" x 10" (50.8 cm x 25.4 cm) front and 21" x 13" (53.3 cm x 33 cm) rear 10-spoke, Polished forged aluminum</t>
    </r>
  </si>
  <si>
    <r>
      <rPr>
        <rFont val="Calibri"/>
        <b/>
        <color rgb="FF000000"/>
        <sz val="11.0"/>
      </rPr>
      <t>Wheels</t>
    </r>
    <r>
      <rPr>
        <rFont val="Calibri"/>
        <color rgb="FF000000"/>
        <sz val="11.0"/>
      </rPr>
      <t>, 20" x 10" (50.8 cm x 25.4 cm) front and 21" x 13" (53.3 cm x 33 cm) rear 10-spoke, Bright Polished forged aluminum with Carbon Flash-painted pockets</t>
    </r>
  </si>
  <si>
    <r>
      <rPr>
        <rFont val="Calibri"/>
        <b/>
        <color rgb="FF000000"/>
        <sz val="11.0"/>
      </rPr>
      <t>Wheels</t>
    </r>
    <r>
      <rPr>
        <rFont val="Calibri"/>
        <color rgb="FF000000"/>
        <sz val="11.0"/>
      </rPr>
      <t>, 20" x 10" (50.8 cm x 25.4 cm) front and 21" x 13" (53.3 cm x 33 cm) rear visible carbon fiber with Red stripe</t>
    </r>
  </si>
  <si>
    <r>
      <rPr>
        <rFont val="Calibri"/>
        <b/>
        <color rgb="FF000000"/>
        <sz val="11.0"/>
      </rPr>
      <t>LPO, Suede frunk and trunk compartment liner</t>
    </r>
  </si>
  <si>
    <r>
      <rPr>
        <rFont val="Calibri"/>
        <b/>
        <color rgb="FF000000"/>
        <sz val="11.0"/>
      </rPr>
      <t>LPO, Suede frunk and trunk compartment liner</t>
    </r>
  </si>
  <si>
    <r>
      <rPr>
        <rFont val="Calibri"/>
        <b/>
        <color rgb="FF000000"/>
        <sz val="11.0"/>
      </rPr>
      <t>LPO, Suede frunk and trunk compartment liner</t>
    </r>
  </si>
  <si>
    <r>
      <rPr>
        <rFont val="Calibri"/>
        <b/>
        <color rgb="FF000000"/>
        <sz val="11.0"/>
      </rPr>
      <t>Spoiler</t>
    </r>
    <r>
      <rPr>
        <rFont val="Calibri"/>
        <color rgb="FF000000"/>
        <sz val="11.0"/>
      </rPr>
      <t>, rear</t>
    </r>
  </si>
  <si>
    <r>
      <rPr>
        <rFont val="Calibri"/>
        <b/>
        <color rgb="FF000000"/>
        <sz val="11.0"/>
      </rPr>
      <t>Carbon Fiber Aero Package</t>
    </r>
    <r>
      <rPr>
        <rFont val="Calibri"/>
        <color rgb="FF000000"/>
        <sz val="11.0"/>
      </rPr>
      <t>, Carbon Flash-painted</t>
    </r>
  </si>
  <si>
    <r>
      <rPr>
        <rFont val="Calibri"/>
        <b/>
        <color rgb="FF000000"/>
        <sz val="11.0"/>
      </rPr>
      <t>Carbon Fiber Aero Package</t>
    </r>
    <r>
      <rPr>
        <rFont val="Calibri"/>
        <color rgb="FF000000"/>
        <sz val="11.0"/>
      </rPr>
      <t>, visible</t>
    </r>
  </si>
  <si>
    <r>
      <rPr>
        <rFont val="Calibri"/>
        <b/>
        <color rgb="FF000000"/>
        <sz val="11.0"/>
      </rPr>
      <t>Headlamps</t>
    </r>
    <r>
      <rPr>
        <rFont val="Calibri"/>
        <color rgb="FF000000"/>
        <sz val="11.0"/>
      </rPr>
      <t>, LED</t>
    </r>
  </si>
  <si>
    <r>
      <rPr>
        <rFont val="Calibri"/>
        <b/>
        <color rgb="FF000000"/>
        <sz val="11.0"/>
      </rPr>
      <t>Teen Driver</t>
    </r>
  </si>
  <si>
    <r>
      <rPr>
        <rFont val="Calibri"/>
        <b/>
        <color rgb="FF000000"/>
        <sz val="11.0"/>
      </rPr>
      <t>IntelliBeam</t>
    </r>
  </si>
  <si>
    <r>
      <rPr>
        <rFont val="Calibri"/>
        <b/>
        <color rgb="FF000000"/>
        <sz val="11.0"/>
      </rPr>
      <t>Headlamp control</t>
    </r>
    <r>
      <rPr>
        <rFont val="Calibri"/>
        <color rgb="FF000000"/>
        <sz val="11.0"/>
      </rPr>
      <t>, automatic leveling system</t>
    </r>
  </si>
  <si>
    <r>
      <rPr>
        <rFont val="Calibri"/>
        <b/>
        <color rgb="FF000000"/>
        <sz val="11.0"/>
      </rPr>
      <t>Seats</t>
    </r>
    <r>
      <rPr>
        <rFont val="Calibri"/>
        <color rgb="FF000000"/>
        <sz val="11.0"/>
      </rPr>
      <t>, two-tone</t>
    </r>
  </si>
  <si>
    <r>
      <rPr>
        <rFont val="Calibri"/>
        <b/>
        <color rgb="FF000000"/>
        <sz val="11.0"/>
      </rPr>
      <t>SiriusXM with 360L</t>
    </r>
  </si>
  <si>
    <r>
      <rPr>
        <rFont val="Calibri"/>
        <b/>
        <color rgb="FFFF0000"/>
        <sz val="11.0"/>
      </rPr>
      <t xml:space="preserve">NEW!  </t>
    </r>
    <r>
      <rPr>
        <rFont val="Calibri"/>
        <b/>
        <color rgb="FF000000"/>
        <sz val="11.0"/>
      </rPr>
      <t>5G vehicle connectivity</t>
    </r>
  </si>
  <si>
    <r>
      <rPr>
        <rFont val="Calibri"/>
        <b/>
        <color rgb="FF000000"/>
        <sz val="11.0"/>
      </rPr>
      <t>Compass</t>
    </r>
    <r>
      <rPr>
        <rFont val="Calibri"/>
        <color rgb="FF000000"/>
        <sz val="11.0"/>
      </rPr>
      <t>, digital</t>
    </r>
  </si>
  <si>
    <r>
      <rPr>
        <rFont val="Calibri"/>
        <b/>
        <color rgb="FF000000"/>
        <sz val="11.0"/>
      </rPr>
      <t>Rear Park Assist</t>
    </r>
  </si>
  <si>
    <r>
      <rPr>
        <rFont val="Calibri"/>
        <b/>
        <color rgb="FF000000"/>
        <sz val="11.0"/>
      </rPr>
      <t>OnStar services capable</t>
    </r>
  </si>
  <si>
    <r>
      <rPr>
        <rFont val="Calibri"/>
        <b/>
        <color rgb="FF000000"/>
        <sz val="11.0"/>
      </rPr>
      <t>Forward Collision Alert</t>
    </r>
  </si>
  <si>
    <r>
      <rPr>
        <rFont val="Calibri"/>
        <b/>
        <color rgb="FF000000"/>
        <sz val="11.0"/>
      </rPr>
      <t>Rear Cross Traffic Alert</t>
    </r>
  </si>
  <si>
    <r>
      <rPr>
        <rFont val="Calibri"/>
        <b/>
        <color rgb="FF000000"/>
        <sz val="11.0"/>
      </rPr>
      <t>Side Blind Zone Alert</t>
    </r>
  </si>
  <si>
    <r>
      <rPr>
        <rFont val="Calibri"/>
        <b/>
        <color rgb="FF000000"/>
        <sz val="11.0"/>
      </rPr>
      <t>Universal Home Remote</t>
    </r>
  </si>
  <si>
    <r>
      <rPr>
        <rFont val="Calibri"/>
        <b/>
        <color rgb="FF000000"/>
        <sz val="11.0"/>
      </rPr>
      <t>Lane Keep Assist with Lane Departure Warning</t>
    </r>
  </si>
  <si>
    <r>
      <rPr>
        <rFont val="Calibri"/>
        <b/>
        <color rgb="FF000000"/>
        <sz val="11.0"/>
      </rPr>
      <t>Automatic Emergency Braking</t>
    </r>
  </si>
  <si>
    <r>
      <rPr>
        <rFont val="Calibri"/>
        <b/>
        <color rgb="FF000000"/>
        <sz val="11.0"/>
      </rPr>
      <t>Front Pedestrian and Bicyclist Braking</t>
    </r>
  </si>
  <si>
    <r>
      <rPr>
        <rFont val="Calibri"/>
        <b/>
        <color rgb="FF000000"/>
        <sz val="11.0"/>
      </rPr>
      <t>Audio system feature</t>
    </r>
    <r>
      <rPr>
        <rFont val="Calibri"/>
        <color rgb="FF000000"/>
        <sz val="11.0"/>
      </rPr>
      <t>, Bose Performance Series Sound System</t>
    </r>
  </si>
  <si>
    <r>
      <rPr>
        <rFont val="Calibri"/>
        <b/>
        <color rgb="FF000000"/>
        <sz val="11.0"/>
      </rPr>
      <t>Audio system feature</t>
    </r>
    <r>
      <rPr>
        <rFont val="Calibri"/>
        <color rgb="FF000000"/>
        <sz val="11.0"/>
      </rPr>
      <t>, Bose Premium 10-speaker system</t>
    </r>
  </si>
  <si>
    <r>
      <rPr>
        <rFont val="Calibri"/>
        <b/>
        <color rgb="FF000000"/>
        <sz val="11.0"/>
      </rPr>
      <t>Performance data and video recorder</t>
    </r>
  </si>
  <si>
    <r>
      <rPr>
        <rFont val="Calibri"/>
        <b/>
        <color rgb="FF000000"/>
        <sz val="11.0"/>
      </rPr>
      <t>Theft-deterrent system</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</si>
  <si>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</si>
  <si>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</si>
  <si>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Head-Up Display</t>
    </r>
  </si>
  <si>
    <r>
      <rPr>
        <rFont val="Calibri"/>
        <b/>
        <color rgb="FF000000"/>
        <sz val="11.0"/>
      </rPr>
      <t>HD Front and Rear Vision Cameras</t>
    </r>
  </si>
  <si>
    <r>
      <rPr>
        <rFont val="Calibri"/>
        <b/>
        <color rgb="FF000000"/>
        <sz val="11.0"/>
      </rPr>
      <t>HD Rear Vision Camera</t>
    </r>
  </si>
  <si>
    <r>
      <rPr>
        <rFont val="Calibri"/>
        <b/>
        <color rgb="FF000000"/>
        <sz val="11.0"/>
      </rPr>
      <t>LPO, Visible Carbon Fiber sill plates</t>
    </r>
  </si>
  <si>
    <r>
      <rPr>
        <rFont val="Calibri"/>
        <b/>
        <color rgb="FF000000"/>
        <sz val="11.0"/>
      </rPr>
      <t>Vehicle health management</t>
    </r>
  </si>
  <si>
    <r>
      <rPr>
        <rFont val="Calibri"/>
        <b/>
        <color rgb="FF000000"/>
        <sz val="11.0"/>
      </rPr>
      <t>License plate bracket</t>
    </r>
    <r>
      <rPr>
        <rFont val="Calibri"/>
        <color rgb="FF000000"/>
        <sz val="11.0"/>
      </rPr>
      <t>, front</t>
    </r>
  </si>
  <si>
    <r>
      <rPr>
        <rFont val="Calibri"/>
        <b/>
        <color rgb="FF000000"/>
        <sz val="11.0"/>
      </rPr>
      <t>LPO, Jake C8.R rear hash graphic with Tech Bronze accent</t>
    </r>
  </si>
  <si>
    <r>
      <rPr>
        <rFont val="Calibri"/>
        <b/>
        <color rgb="FF000000"/>
        <sz val="11.0"/>
      </rPr>
      <t>LPO, Jake C8.R rear hash graphic</t>
    </r>
  </si>
  <si>
    <r>
      <rPr>
        <rFont val="Calibri"/>
        <b/>
        <color rgb="FF000000"/>
        <sz val="11.0"/>
      </rPr>
      <t>LPO, Rear fascia/roof storage protector</t>
    </r>
  </si>
  <si>
    <r>
      <rPr>
        <rFont val="Calibri"/>
        <b/>
        <color rgb="FF000000"/>
        <sz val="11.0"/>
      </rPr>
      <t>LPO, Engine Bay closeout graphics</t>
    </r>
  </si>
  <si>
    <r>
      <rPr>
        <rFont val="Calibri"/>
        <b/>
        <color rgb="FF000000"/>
        <sz val="11.0"/>
      </rPr>
      <t>Wi-Fi Hotspot capable</t>
    </r>
  </si>
  <si>
    <r>
      <rPr>
        <rFont val="Calibri"/>
        <b/>
        <color rgb="FF000000"/>
        <sz val="11.0"/>
      </rPr>
      <t>LPO, Front radiator grille screens</t>
    </r>
  </si>
  <si>
    <r>
      <rPr>
        <rFont val="Calibri"/>
        <b/>
        <color rgb="FF000000"/>
        <sz val="11.0"/>
      </rPr>
      <t>LPO, Floor mats</t>
    </r>
    <r>
      <rPr>
        <rFont val="Calibri"/>
        <color rgb="FF000000"/>
        <sz val="11.0"/>
      </rPr>
      <t>, premium carpeted with Z06 badge emblem on Z06 models</t>
    </r>
  </si>
  <si>
    <r>
      <rPr>
        <rFont val="Calibri"/>
        <b/>
        <color rgb="FF000000"/>
        <sz val="11.0"/>
      </rPr>
      <t>LPO, Cargo net set</t>
    </r>
  </si>
  <si>
    <r>
      <rPr>
        <rFont val="Calibri"/>
        <b/>
        <color rgb="FFFF0000"/>
        <sz val="11.0"/>
      </rPr>
      <t xml:space="preserve">NEW!  </t>
    </r>
    <r>
      <rPr>
        <rFont val="Calibri"/>
        <b/>
        <color rgb="FF000000"/>
        <sz val="11.0"/>
      </rPr>
      <t>LPO, Premium indoor car cover</t>
    </r>
    <r>
      <rPr>
        <rFont val="Calibri"/>
        <color rgb="FF000000"/>
        <sz val="11.0"/>
      </rPr>
      <t>, GT3.R, fully rendered</t>
    </r>
  </si>
  <si>
    <r>
      <rPr>
        <rFont val="Calibri"/>
        <b/>
        <color rgb="FF000000"/>
        <sz val="11.0"/>
      </rPr>
      <t>LPO, Premium indoor car cover</t>
    </r>
    <r>
      <rPr>
        <rFont val="Calibri"/>
        <color rgb="FF000000"/>
        <sz val="11.0"/>
      </rPr>
      <t>, Galvanized Cool with Z06 logo</t>
    </r>
  </si>
  <si>
    <r>
      <rPr>
        <rFont val="Calibri"/>
        <b/>
        <color rgb="FF000000"/>
        <sz val="11.0"/>
      </rPr>
      <t>Tires</t>
    </r>
    <r>
      <rPr>
        <rFont val="Calibri"/>
        <color rgb="FF000000"/>
        <sz val="11.0"/>
      </rPr>
      <t>, 275/30ZR20 front and 345/25ZR21 rear, blackwall, high performance</t>
    </r>
  </si>
  <si>
    <t>XFS</t>
  </si>
  <si>
    <r>
      <rPr>
        <rFont val="Calibri"/>
        <b/>
        <color rgb="FF000000"/>
        <sz val="11.0"/>
      </rPr>
      <t>Tires</t>
    </r>
    <r>
      <rPr>
        <rFont val="Calibri"/>
        <color rgb="FF000000"/>
        <sz val="11.0"/>
      </rPr>
      <t>, 275/30ZR20 front and 345/25ZR21 rear, blackwall, Michelin Pilot Sport Cup 2 R ultra performance</t>
    </r>
  </si>
  <si>
    <r>
      <rPr>
        <rFont val="Calibri"/>
        <b/>
        <color rgb="FF000000"/>
        <sz val="11.0"/>
      </rPr>
      <t>Emissions</t>
    </r>
    <r>
      <rPr>
        <rFont val="Calibri"/>
        <color rgb="FF000000"/>
        <sz val="11.0"/>
      </rPr>
      <t>, California state requirements</t>
    </r>
  </si>
  <si>
    <r>
      <rPr>
        <rFont val="Calibri"/>
        <b/>
        <color rgb="FF000000"/>
        <sz val="11.0"/>
      </rPr>
      <t>Z07 Performance Package</t>
    </r>
  </si>
  <si>
    <r>
      <rPr>
        <rFont val="Calibri"/>
        <b/>
        <color rgb="FF000000"/>
        <sz val="11.0"/>
      </rPr>
      <t>Carbon Flash Metallic-painted outside mirrors and spoiler (when equipped)</t>
    </r>
  </si>
  <si>
    <r>
      <rPr>
        <rFont val="Calibri"/>
        <b/>
        <color rgb="FF000000"/>
        <sz val="11.0"/>
      </rPr>
      <t>Convertible Engine Appearance Package</t>
    </r>
  </si>
  <si>
    <t>Dark finish aluminum trim. 3LZ only</t>
  </si>
  <si>
    <t>Replaces aluminum trim around driving mode selector, window controls on doors, and frame around driver info screen with gloss carbon fiber weave.</t>
  </si>
  <si>
    <t>Replaces aluminum trim around driving mode selector, window controls on doors, and frame around driver info screen with gloss carbon fiber weave. Requires 2LZ or 3LZ.</t>
  </si>
  <si>
    <t xml:space="preserve">1LZ: Required and only available with AE4 Competition seat. </t>
  </si>
  <si>
    <t xml:space="preserve">Sueded microfiber wrapped and Carbon Fiber on top and bottom </t>
  </si>
  <si>
    <t>MISSING IN ZR1</t>
  </si>
  <si>
    <r>
      <rPr>
        <rFont val="Calibri"/>
        <b/>
        <color rgb="FF000000"/>
        <sz val="11.0"/>
      </rPr>
      <t>Seat belt color</t>
    </r>
    <r>
      <rPr>
        <rFont val="Calibri"/>
        <color rgb="FF000000"/>
        <sz val="11.0"/>
      </rPr>
      <t>, Orange</t>
    </r>
  </si>
  <si>
    <r>
      <rPr>
        <rFont val="Calibri"/>
        <b/>
        <color rgb="FF000000"/>
        <sz val="11.0"/>
      </rPr>
      <t>Santorini Blue custom leather stitch</t>
    </r>
  </si>
  <si>
    <r>
      <rPr>
        <rFont val="Calibri"/>
        <b/>
        <color rgb="FF000000"/>
        <sz val="11.0"/>
      </rPr>
      <t>Adrenaline Red custom leather stitch</t>
    </r>
  </si>
  <si>
    <r>
      <rPr>
        <rFont val="Calibri"/>
        <b/>
        <color rgb="FF000000"/>
        <sz val="11.0"/>
      </rPr>
      <t>Seat belt color</t>
    </r>
    <r>
      <rPr>
        <rFont val="Calibri"/>
        <color rgb="FF000000"/>
        <sz val="11.0"/>
      </rPr>
      <t>, Santorini Blue</t>
    </r>
  </si>
  <si>
    <r>
      <rPr>
        <rFont val="Calibri"/>
        <b/>
        <color rgb="FF000000"/>
        <sz val="11.0"/>
      </rPr>
      <t>Seat belt color</t>
    </r>
    <r>
      <rPr>
        <rFont val="Calibri"/>
        <color rgb="FF000000"/>
        <sz val="11.0"/>
      </rPr>
      <t>, Torch Red</t>
    </r>
  </si>
  <si>
    <r>
      <rPr>
        <rFont val="Calibri"/>
        <b/>
        <color rgb="FF000000"/>
        <sz val="11.0"/>
      </rPr>
      <t>Seat belt color</t>
    </r>
    <r>
      <rPr>
        <rFont val="Calibri"/>
        <color rgb="FF000000"/>
        <sz val="11.0"/>
      </rPr>
      <t>, Yellow</t>
    </r>
  </si>
  <si>
    <r>
      <rPr>
        <rFont val="Calibri"/>
        <b/>
        <color rgb="FF000000"/>
        <sz val="11.0"/>
      </rPr>
      <t>Seat belt color</t>
    </r>
    <r>
      <rPr>
        <rFont val="Calibri"/>
        <color rgb="FF000000"/>
        <sz val="11.0"/>
      </rPr>
      <t>, Natural</t>
    </r>
  </si>
  <si>
    <r>
      <rPr>
        <rFont val="Calibri"/>
        <b/>
        <color rgb="FF000000"/>
        <sz val="11.0"/>
      </rPr>
      <t>LPO, Outside mirror covers in visible Carbon Fiber</t>
    </r>
  </si>
  <si>
    <r>
      <rPr>
        <rFont val="Calibri"/>
        <b/>
        <color rgb="FF000000"/>
        <sz val="11.0"/>
      </rPr>
      <t>LPO, Jake logo wheel center caps</t>
    </r>
  </si>
  <si>
    <r>
      <rPr>
        <rFont val="Calibri"/>
        <b/>
        <color rgb="FF000000"/>
        <sz val="11.0"/>
      </rPr>
      <t>Seat belt color</t>
    </r>
    <r>
      <rPr>
        <rFont val="Calibri"/>
        <color rgb="FF000000"/>
        <sz val="11.0"/>
      </rPr>
      <t>, Black</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</si>
  <si>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</si>
  <si>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</si>
  <si>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Seats</t>
    </r>
    <r>
      <rPr>
        <rFont val="Calibri"/>
        <color rgb="FF000000"/>
        <sz val="11.0"/>
      </rPr>
      <t>, Competition Sport bucket</t>
    </r>
  </si>
  <si>
    <r>
      <rPr>
        <rFont val="Calibri"/>
        <b/>
        <color rgb="FF000000"/>
        <sz val="11.0"/>
      </rPr>
      <t>Seats</t>
    </r>
    <r>
      <rPr>
        <rFont val="Calibri"/>
        <color rgb="FF000000"/>
        <sz val="11.0"/>
      </rPr>
      <t>, GT2 bucket</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</si>
  <si>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</si>
  <si>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</si>
  <si>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Airbags</t>
    </r>
    <r>
      <rPr>
        <rFont val="Calibri"/>
        <color rgb="FF000000"/>
        <sz val="11.0"/>
      </rPr>
      <t>, frontal and side-impact, driver and passenger</t>
    </r>
  </si>
  <si>
    <r>
      <rPr>
        <rFont val="Calibri"/>
        <b/>
        <color rgb="FF000000"/>
        <sz val="11.0"/>
      </rPr>
      <t>Seat adjuster</t>
    </r>
    <r>
      <rPr>
        <rFont val="Calibri"/>
        <color rgb="FF000000"/>
        <sz val="11.0"/>
      </rPr>
      <t>, power driver lumbar control</t>
    </r>
  </si>
  <si>
    <r>
      <rPr>
        <rFont val="Calibri"/>
        <b/>
        <color rgb="FF000000"/>
        <sz val="11.0"/>
      </rPr>
      <t>Cargo nets</t>
    </r>
  </si>
  <si>
    <r>
      <rPr>
        <rFont val="Calibri"/>
        <b/>
        <color rgb="FF000000"/>
        <sz val="11.0"/>
      </rPr>
      <t>Seats</t>
    </r>
    <r>
      <rPr>
        <rFont val="Calibri"/>
        <color rgb="FF000000"/>
        <sz val="11.0"/>
      </rPr>
      <t>, GT1 bucket</t>
    </r>
  </si>
  <si>
    <r>
      <rPr>
        <rFont val="Calibri"/>
        <b/>
        <color rgb="FF000000"/>
        <sz val="11.0"/>
      </rPr>
      <t>Memory Driver and Passenger Convenience Package</t>
    </r>
  </si>
  <si>
    <r>
      <rPr>
        <rFont val="Calibri"/>
        <b/>
        <color rgb="FF000000"/>
        <sz val="11.0"/>
      </rPr>
      <t>Seat adjuster</t>
    </r>
    <r>
      <rPr>
        <rFont val="Calibri"/>
        <color rgb="FF000000"/>
        <sz val="11.0"/>
      </rPr>
      <t>, power passenger lumbar control</t>
    </r>
  </si>
  <si>
    <r>
      <rPr>
        <rFont val="Calibri"/>
        <b/>
        <color rgb="FFFF0000"/>
        <sz val="11.0"/>
      </rPr>
      <t xml:space="preserve">NEW!  </t>
    </r>
    <r>
      <rPr>
        <rFont val="Calibri"/>
        <b/>
        <color rgb="FF000000"/>
        <sz val="11.0"/>
      </rPr>
      <t>Seats</t>
    </r>
    <r>
      <rPr>
        <rFont val="Calibri"/>
        <color rgb="FF000000"/>
        <sz val="11.0"/>
      </rPr>
      <t>, mixed, driver Competition Sport bucket, passenger GT2 bucket</t>
    </r>
  </si>
  <si>
    <r>
      <rPr>
        <rFont val="Calibri"/>
        <b/>
        <color rgb="FF000000"/>
        <sz val="11.0"/>
      </rPr>
      <t>Performance Traction Management</t>
    </r>
  </si>
  <si>
    <r>
      <rPr>
        <rFont val="Calibri"/>
        <b/>
        <color rgb="FF000000"/>
        <sz val="11.0"/>
      </rPr>
      <t>Coupe Engine Appearance Package</t>
    </r>
    <r>
      <rPr>
        <rFont val="Calibri"/>
        <color rgb="FF000000"/>
        <sz val="11.0"/>
      </rPr>
      <t>, includes carbon fiber trim and (SL9) engine specification plaque, LPO</t>
    </r>
  </si>
  <si>
    <r>
      <rPr>
        <rFont val="Calibri"/>
        <b/>
        <color rgb="FF000000"/>
        <sz val="11.0"/>
      </rPr>
      <t>Stealth Interior Trim Package</t>
    </r>
  </si>
  <si>
    <r>
      <rPr>
        <rFont val="Calibri"/>
        <b/>
        <color rgb="FF000000"/>
        <sz val="11.0"/>
      </rPr>
      <t>Plaque</t>
    </r>
    <r>
      <rPr>
        <rFont val="Calibri"/>
        <color rgb="FF000000"/>
        <sz val="11.0"/>
      </rPr>
      <t>, personalized</t>
    </r>
  </si>
  <si>
    <r>
      <rPr>
        <rFont val="Calibri"/>
        <b/>
        <color rgb="FF000000"/>
        <sz val="11.0"/>
      </rPr>
      <t>Roof panel</t>
    </r>
    <r>
      <rPr>
        <rFont val="Calibri"/>
        <color rgb="FF000000"/>
        <sz val="11.0"/>
      </rPr>
      <t>, visible carbon fiber with body-color surround</t>
    </r>
  </si>
  <si>
    <r>
      <rPr>
        <rFont val="Calibri"/>
        <b/>
        <color rgb="FF000000"/>
        <sz val="11.0"/>
      </rPr>
      <t>LPO, Contoured cargo area liner</t>
    </r>
    <r>
      <rPr>
        <rFont val="Calibri"/>
        <color rgb="FF000000"/>
        <sz val="11.0"/>
      </rPr>
      <t xml:space="preserve"> with Jake logo</t>
    </r>
  </si>
  <si>
    <r>
      <rPr>
        <rFont val="Calibri"/>
        <b/>
        <color rgb="FFFF0000"/>
        <sz val="11.0"/>
      </rPr>
      <t xml:space="preserve">NEW!  </t>
    </r>
    <r>
      <rPr>
        <rFont val="Calibri"/>
        <b/>
        <color rgb="FF000000"/>
        <sz val="11.0"/>
      </rPr>
      <t>Roof panel</t>
    </r>
    <r>
      <rPr>
        <rFont val="Calibri"/>
        <color rgb="FF000000"/>
        <sz val="11.0"/>
      </rPr>
      <t>, electrochromic dimming</t>
    </r>
  </si>
  <si>
    <r>
      <rPr>
        <rFont val="Calibri"/>
        <b/>
        <color rgb="FF000000"/>
        <sz val="11.0"/>
      </rPr>
      <t>Convertible top</t>
    </r>
    <r>
      <rPr>
        <rFont val="Calibri"/>
        <color rgb="FF000000"/>
        <sz val="11.0"/>
      </rPr>
      <t>, retractable, power-folding hard top</t>
    </r>
  </si>
  <si>
    <r>
      <rPr>
        <rFont val="Calibri"/>
        <b/>
        <color rgb="FF000000"/>
        <sz val="11.0"/>
      </rPr>
      <t>Ground effects</t>
    </r>
    <r>
      <rPr>
        <rFont val="Calibri"/>
        <color rgb="FF000000"/>
        <sz val="11.0"/>
      </rPr>
      <t>, visible carbon fiber</t>
    </r>
  </si>
  <si>
    <r>
      <rPr>
        <rFont val="Calibri"/>
        <b/>
        <color rgb="FF000000"/>
        <sz val="11.0"/>
      </rPr>
      <t>Plaque</t>
    </r>
    <r>
      <rPr>
        <rFont val="Calibri"/>
        <color rgb="FF000000"/>
        <sz val="11.0"/>
      </rPr>
      <t>, personalized with Corvette Museum logo</t>
    </r>
  </si>
  <si>
    <r>
      <rPr>
        <rFont val="Calibri"/>
        <b/>
        <color rgb="FF000000"/>
        <sz val="11.0"/>
      </rPr>
      <t>Air conditioning</t>
    </r>
    <r>
      <rPr>
        <rFont val="Calibri"/>
        <color rgb="FF000000"/>
        <sz val="11.0"/>
      </rPr>
      <t>, dual-zone automatic climate control</t>
    </r>
  </si>
  <si>
    <r>
      <rPr>
        <rFont val="Calibri"/>
        <b/>
        <color rgb="FF000000"/>
        <sz val="11.0"/>
      </rPr>
      <t>Color Combination Override</t>
    </r>
  </si>
  <si>
    <r>
      <rPr>
        <rFont val="Calibri"/>
        <b/>
        <color rgb="FF000000"/>
        <sz val="11.0"/>
      </rPr>
      <t>Engine lighting</t>
    </r>
  </si>
  <si>
    <r>
      <rPr>
        <rFont val="Calibri"/>
        <b/>
        <color rgb="FF000000"/>
        <sz val="11.0"/>
      </rPr>
      <t>Carbon Flash with Blue accent Full Length Dual Racing Stripes</t>
    </r>
  </si>
  <si>
    <r>
      <rPr>
        <rFont val="Calibri"/>
        <b/>
        <color rgb="FF000000"/>
        <sz val="11.0"/>
      </rPr>
      <t>Carbon Flash with Yellow accent Full Length Dual Racing Stripes</t>
    </r>
  </si>
  <si>
    <r>
      <rPr>
        <rFont val="Calibri"/>
        <b/>
        <color rgb="FF000000"/>
        <sz val="11.0"/>
      </rPr>
      <t>Carbon Flash with Orange accent Full Length Dual Racing Stripes</t>
    </r>
  </si>
  <si>
    <r>
      <rPr>
        <rFont val="Calibri"/>
        <b/>
        <color rgb="FF000000"/>
        <sz val="11.0"/>
      </rPr>
      <t>Carbon Flash with Red accent Full Length Dual Racing Stripes</t>
    </r>
  </si>
  <si>
    <r>
      <rPr>
        <rFont val="Calibri"/>
        <b/>
        <color rgb="FF000000"/>
        <sz val="11.0"/>
      </rPr>
      <t>Carbon Flash with Silver accent Full Length Dual Racing Stripes</t>
    </r>
  </si>
  <si>
    <r>
      <rPr>
        <rFont val="Calibri"/>
        <b/>
        <color rgb="FF000000"/>
        <sz val="11.0"/>
      </rPr>
      <t>Mirrors</t>
    </r>
    <r>
      <rPr>
        <rFont val="Calibri"/>
        <color rgb="FF000000"/>
        <sz val="11.0"/>
      </rPr>
      <t>, outside, Carbon Flash Metallic-painted</t>
    </r>
  </si>
  <si>
    <r>
      <rPr>
        <rFont val="Calibri"/>
        <b/>
        <color rgb="FF000000"/>
        <sz val="11.0"/>
      </rPr>
      <t>Rear Camera Mirror</t>
    </r>
  </si>
  <si>
    <r>
      <rPr>
        <rFont val="Calibri"/>
        <b/>
        <color rgb="FF000000"/>
        <sz val="11.0"/>
      </rPr>
      <t>Edge Orange Full Length Dual Racing Stripes</t>
    </r>
  </si>
  <si>
    <r>
      <rPr>
        <rFont val="Calibri"/>
        <b/>
        <color rgb="FF000000"/>
        <sz val="11.0"/>
      </rPr>
      <t>Edge Red Full Length Dual Racing Stripes</t>
    </r>
  </si>
  <si>
    <r>
      <rPr>
        <rFont val="Calibri"/>
        <b/>
        <color rgb="FF000000"/>
        <sz val="11.0"/>
      </rPr>
      <t>Competition Yellow Full Length Dual Racing Stripes</t>
    </r>
  </si>
  <si>
    <r>
      <rPr>
        <rFont val="Calibri"/>
        <b/>
        <color rgb="FF000000"/>
        <sz val="11.0"/>
      </rPr>
      <t>Carbon Flash Metallic Full Length Dual Racing Stripes</t>
    </r>
  </si>
  <si>
    <r>
      <rPr>
        <rFont val="Calibri"/>
        <b/>
        <color rgb="FF000000"/>
        <sz val="11.0"/>
      </rPr>
      <t>Sterling Silver Full Length Dual Racing Stripes</t>
    </r>
  </si>
  <si>
    <r>
      <rPr>
        <rFont val="Calibri"/>
        <b/>
        <color rgb="FFFF0000"/>
        <sz val="11.0"/>
      </rPr>
      <t xml:space="preserve">NEW!  </t>
    </r>
    <r>
      <rPr>
        <rFont val="Calibri"/>
        <b/>
        <color rgb="FF000000"/>
        <sz val="11.0"/>
      </rPr>
      <t>Asymmetrical Adrenaline Red/Carbon Flash Full Length Dual Racing Stripes</t>
    </r>
  </si>
  <si>
    <r>
      <rPr>
        <rFont val="Calibri"/>
        <b/>
        <color rgb="FF000000"/>
        <sz val="11.0"/>
      </rPr>
      <t>Edge Blue Full Length Dual Racing Stripes</t>
    </r>
  </si>
  <si>
    <r>
      <rPr>
        <rFont val="Calibri"/>
        <b/>
        <color rgb="FF000000"/>
        <sz val="11.0"/>
      </rPr>
      <t>Mirrors</t>
    </r>
    <r>
      <rPr>
        <rFont val="Calibri"/>
        <color rgb="FF000000"/>
        <sz val="11.0"/>
      </rPr>
      <t>, outside heated, power-adjustable</t>
    </r>
  </si>
  <si>
    <r>
      <rPr>
        <rFont val="Calibri"/>
        <b/>
        <color rgb="FFFF0000"/>
        <sz val="11.0"/>
      </rPr>
      <t xml:space="preserve">NEW!  </t>
    </r>
    <r>
      <rPr>
        <rFont val="Calibri"/>
        <b/>
        <color rgb="FF000000"/>
        <sz val="11.0"/>
      </rPr>
      <t>Display hood</t>
    </r>
    <r>
      <rPr>
        <rFont val="Calibri"/>
        <color rgb="FF000000"/>
        <sz val="11.0"/>
      </rPr>
      <t>, Carbon Fiber</t>
    </r>
  </si>
  <si>
    <r>
      <rPr>
        <rFont val="Calibri"/>
        <b/>
        <color rgb="FF000000"/>
        <sz val="11.0"/>
      </rPr>
      <t>Mirrors</t>
    </r>
    <r>
      <rPr>
        <rFont val="Calibri"/>
        <color rgb="FF000000"/>
        <sz val="11.0"/>
      </rPr>
      <t>, outside heated, power-adjustable</t>
    </r>
  </si>
  <si>
    <r>
      <rPr>
        <rFont val="Calibri"/>
        <b/>
        <color rgb="FF000000"/>
        <sz val="11.0"/>
      </rPr>
      <t>Front lift adjustable height</t>
    </r>
  </si>
  <si>
    <r>
      <rPr>
        <rFont val="Calibri"/>
        <b/>
        <color rgb="FF000000"/>
        <sz val="11.0"/>
      </rPr>
      <t>Exterior accents</t>
    </r>
    <r>
      <rPr>
        <rFont val="Calibri"/>
        <color rgb="FF000000"/>
        <sz val="11.0"/>
      </rPr>
      <t>, Carbon Flash</t>
    </r>
  </si>
  <si>
    <r>
      <rPr>
        <rFont val="Calibri"/>
        <b/>
        <color rgb="FF000000"/>
        <sz val="11.0"/>
      </rPr>
      <t>Battery Protection Package</t>
    </r>
  </si>
  <si>
    <r>
      <rPr>
        <rFont val="Calibri"/>
        <b/>
        <color rgb="FF000000"/>
        <sz val="11.0"/>
      </rPr>
      <t>Exterior trim</t>
    </r>
    <r>
      <rPr>
        <rFont val="Calibri"/>
        <color rgb="FF000000"/>
        <sz val="11.0"/>
      </rPr>
      <t>, carbon fiber split window trim, painted body-color</t>
    </r>
  </si>
  <si>
    <r>
      <rPr>
        <rFont val="Calibri"/>
        <b/>
        <color rgb="FF000000"/>
        <sz val="11.0"/>
      </rPr>
      <t>Chrome Exterior Badge Package</t>
    </r>
  </si>
  <si>
    <r>
      <rPr>
        <rFont val="Calibri"/>
        <b/>
        <color rgb="FF000000"/>
        <sz val="11.0"/>
      </rPr>
      <t>Carbon Flash Exterior Badge Package</t>
    </r>
  </si>
  <si>
    <r>
      <rPr>
        <rFont val="Calibri"/>
        <b/>
        <color rgb="FF000000"/>
        <sz val="11.0"/>
      </rPr>
      <t>Trim</t>
    </r>
    <r>
      <rPr>
        <rFont val="Calibri"/>
        <color rgb="FF000000"/>
        <sz val="11.0"/>
      </rPr>
      <t>, interior</t>
    </r>
  </si>
  <si>
    <r>
      <rPr>
        <rFont val="Calibri"/>
        <b/>
        <color rgb="FF000000"/>
        <sz val="11.0"/>
      </rPr>
      <t>Trim</t>
    </r>
    <r>
      <rPr>
        <rFont val="Calibri"/>
        <color rgb="FF000000"/>
        <sz val="11.0"/>
      </rPr>
      <t>, interior</t>
    </r>
  </si>
  <si>
    <t>FE8</t>
  </si>
  <si>
    <r>
      <rPr>
        <rFont val="Calibri"/>
        <b/>
        <color rgb="FF000000"/>
        <sz val="11.0"/>
      </rPr>
      <t>Suspension</t>
    </r>
    <r>
      <rPr>
        <rFont val="Calibri"/>
        <color rgb="FF000000"/>
        <sz val="11.0"/>
      </rPr>
      <t>, performance with Magnetic Selective Ride Control</t>
    </r>
  </si>
  <si>
    <r>
      <rPr>
        <rFont val="Calibri"/>
        <b/>
        <color rgb="FF000000"/>
        <sz val="11.0"/>
      </rPr>
      <t>Emissions</t>
    </r>
    <r>
      <rPr>
        <rFont val="Calibri"/>
        <color rgb="FF000000"/>
        <sz val="11.0"/>
      </rPr>
      <t>, Federal requirements</t>
    </r>
  </si>
  <si>
    <t>FEJ</t>
  </si>
  <si>
    <r>
      <rPr>
        <rFont val="Calibri"/>
        <b/>
        <color rgb="FF000000"/>
        <sz val="11.0"/>
      </rPr>
      <t>Suspension</t>
    </r>
    <r>
      <rPr>
        <rFont val="Calibri"/>
        <color rgb="FF000000"/>
        <sz val="11.0"/>
      </rPr>
      <t>, ZTK with Magnetic Selective Ride Control</t>
    </r>
  </si>
  <si>
    <r>
      <rPr>
        <rFont val="Calibri"/>
        <b/>
        <color rgb="FF000000"/>
        <sz val="11.0"/>
      </rPr>
      <t>Rear axle</t>
    </r>
    <r>
      <rPr>
        <rFont val="Calibri"/>
        <color rgb="FF000000"/>
        <sz val="11.0"/>
      </rPr>
      <t>, 5.56 ratio</t>
    </r>
  </si>
  <si>
    <r>
      <rPr>
        <rFont val="Calibri"/>
        <b/>
        <color rgb="FFFF0000"/>
        <sz val="11.0"/>
      </rPr>
      <t xml:space="preserve">NEW!  </t>
    </r>
    <r>
      <rPr>
        <rFont val="Calibri"/>
        <b/>
        <color rgb="FF000000"/>
        <sz val="11.0"/>
      </rPr>
      <t>Infotainment system</t>
    </r>
    <r>
      <rPr>
        <rFont val="Calibri"/>
        <color rgb="FF000000"/>
        <sz val="11.0"/>
      </rPr>
      <t xml:space="preserve"> with Google Built-In</t>
    </r>
  </si>
  <si>
    <r>
      <rPr>
        <rFont val="Calibri"/>
        <b/>
        <color rgb="FF000000"/>
        <sz val="11.0"/>
      </rPr>
      <t>Sueded Microfiber-Wrapped Upper Interior Trim Package</t>
    </r>
  </si>
  <si>
    <t>J58</t>
  </si>
  <si>
    <r>
      <rPr>
        <rFont val="Calibri"/>
        <b/>
        <color rgb="FF000000"/>
        <sz val="11.0"/>
      </rPr>
      <t>Brakes</t>
    </r>
    <r>
      <rPr>
        <rFont val="Calibri"/>
        <color rgb="FF000000"/>
        <sz val="11.0"/>
      </rPr>
      <t>, 4-wheel antilock, 4-wheel disc</t>
    </r>
  </si>
  <si>
    <t>J59</t>
  </si>
  <si>
    <r>
      <rPr>
        <rFont val="Calibri"/>
        <b/>
        <color rgb="FFFF0000"/>
        <sz val="11.0"/>
      </rPr>
      <t xml:space="preserve">NEW!  </t>
    </r>
    <r>
      <rPr>
        <rFont val="Calibri"/>
        <b/>
        <color rgb="FF000000"/>
        <sz val="11.0"/>
      </rPr>
      <t>Brakes</t>
    </r>
    <r>
      <rPr>
        <rFont val="Calibri"/>
        <color rgb="FF000000"/>
        <sz val="11.0"/>
      </rPr>
      <t>, 4-wheel antilock, 4-wheel disc, carbon ceramic, 10-piston front, 6-piston rear</t>
    </r>
  </si>
  <si>
    <r>
      <rPr>
        <rFont val="Calibri"/>
        <b/>
        <color rgb="FF000000"/>
        <sz val="11.0"/>
      </rPr>
      <t>Calipers</t>
    </r>
    <r>
      <rPr>
        <rFont val="Calibri"/>
        <color rgb="FF000000"/>
        <sz val="11.0"/>
      </rPr>
      <t>, Blue</t>
    </r>
  </si>
  <si>
    <r>
      <rPr>
        <rFont val="Calibri"/>
        <b/>
        <color rgb="FF000000"/>
        <sz val="11.0"/>
      </rPr>
      <t>Calipers</t>
    </r>
    <r>
      <rPr>
        <rFont val="Calibri"/>
        <color rgb="FF000000"/>
        <sz val="11.0"/>
      </rPr>
      <t>, Dark Gray Metallic</t>
    </r>
  </si>
  <si>
    <r>
      <rPr>
        <rFont val="Calibri"/>
        <b/>
        <color rgb="FF000000"/>
        <sz val="11.0"/>
      </rPr>
      <t>Calipers</t>
    </r>
    <r>
      <rPr>
        <rFont val="Calibri"/>
        <color rgb="FF000000"/>
        <sz val="11.0"/>
      </rPr>
      <t>, Velocity Yellow</t>
    </r>
  </si>
  <si>
    <r>
      <rPr>
        <rFont val="Calibri"/>
        <b/>
        <color rgb="FF000000"/>
        <sz val="11.0"/>
      </rPr>
      <t>Calipers</t>
    </r>
    <r>
      <rPr>
        <rFont val="Calibri"/>
        <color rgb="FF000000"/>
        <sz val="11.0"/>
      </rPr>
      <t>, Bright Red</t>
    </r>
  </si>
  <si>
    <r>
      <rPr>
        <rFont val="Calibri"/>
        <b/>
        <color rgb="FF000000"/>
        <sz val="11.0"/>
      </rPr>
      <t>Calipers</t>
    </r>
    <r>
      <rPr>
        <rFont val="Calibri"/>
        <color rgb="FF000000"/>
        <sz val="11.0"/>
      </rPr>
      <t>, Orange</t>
    </r>
  </si>
  <si>
    <r>
      <rPr>
        <rFont val="Calibri"/>
        <b/>
        <color rgb="FF000000"/>
        <sz val="11.0"/>
      </rPr>
      <t>Calipers</t>
    </r>
    <r>
      <rPr>
        <rFont val="Calibri"/>
        <color rgb="FF000000"/>
        <sz val="11.0"/>
      </rPr>
      <t>, Edge Red</t>
    </r>
  </si>
  <si>
    <r>
      <rPr>
        <rFont val="Calibri"/>
        <b/>
        <color rgb="FF000000"/>
        <sz val="11.0"/>
      </rPr>
      <t>Calipers</t>
    </r>
    <r>
      <rPr>
        <rFont val="Calibri"/>
        <color rgb="FF000000"/>
        <sz val="11.0"/>
      </rPr>
      <t>, Bronze-painted</t>
    </r>
  </si>
  <si>
    <r>
      <rPr>
        <rFont val="Calibri"/>
        <b/>
        <color rgb="FFFF0000"/>
        <sz val="11.0"/>
      </rPr>
      <t xml:space="preserve">NEW!  </t>
    </r>
    <r>
      <rPr>
        <rFont val="Calibri"/>
        <b/>
        <color rgb="FF000000"/>
        <sz val="11.0"/>
      </rPr>
      <t>Wireless Phone Charging</t>
    </r>
  </si>
  <si>
    <r>
      <rPr>
        <rFont val="Calibri"/>
        <b/>
        <color rgb="FFFF0000"/>
        <sz val="11.0"/>
      </rPr>
      <t xml:space="preserve">NEW!  </t>
    </r>
    <r>
      <rPr>
        <rFont val="Calibri"/>
        <b/>
        <color rgb="FF000000"/>
        <sz val="11.0"/>
      </rPr>
      <t>Wireless Phone Charging</t>
    </r>
  </si>
  <si>
    <r>
      <rPr>
        <rFont val="Calibri"/>
        <b/>
        <color rgb="FF000000"/>
        <sz val="11.0"/>
      </rPr>
      <t>Steering wheel</t>
    </r>
    <r>
      <rPr>
        <rFont val="Calibri"/>
        <color rgb="FF000000"/>
        <sz val="11.0"/>
      </rPr>
      <t>, heated</t>
    </r>
  </si>
  <si>
    <r>
      <rPr>
        <rFont val="Calibri"/>
        <b/>
        <color rgb="FF000000"/>
        <sz val="11.0"/>
      </rPr>
      <t>Seats</t>
    </r>
    <r>
      <rPr>
        <rFont val="Calibri"/>
        <color rgb="FF000000"/>
        <sz val="11.0"/>
      </rPr>
      <t>, heated and vented driver and passenger</t>
    </r>
  </si>
  <si>
    <t>LT7</t>
  </si>
  <si>
    <r>
      <rPr>
        <rFont val="Calibri"/>
        <b/>
        <color rgb="FF000000"/>
        <sz val="11.0"/>
      </rPr>
      <t>Engine</t>
    </r>
    <r>
      <rPr>
        <rFont val="Calibri"/>
        <color rgb="FF000000"/>
        <sz val="11.0"/>
      </rPr>
      <t>, 5.5L V8 Twin Turbo</t>
    </r>
  </si>
  <si>
    <t>M1K</t>
  </si>
  <si>
    <r>
      <rPr>
        <rFont val="Calibri"/>
        <b/>
        <color rgb="FF000000"/>
        <sz val="11.0"/>
      </rPr>
      <t>Transmission</t>
    </r>
    <r>
      <rPr>
        <rFont val="Calibri"/>
        <color rgb="FF000000"/>
        <sz val="11.0"/>
      </rPr>
      <t>, 8-speed dual clutch</t>
    </r>
  </si>
  <si>
    <r>
      <rPr>
        <rFont val="Calibri"/>
        <b/>
        <color rgb="FF000000"/>
        <sz val="11.0"/>
      </rPr>
      <t>Steering wheel</t>
    </r>
    <r>
      <rPr>
        <rFont val="Calibri"/>
        <color rgb="FF000000"/>
        <sz val="11.0"/>
      </rPr>
      <t>, sueded microfiber-wrapped</t>
    </r>
  </si>
  <si>
    <r>
      <rPr>
        <rFont val="Calibri"/>
        <b/>
        <color rgb="FF000000"/>
        <sz val="11.0"/>
      </rPr>
      <t>Steering wheel</t>
    </r>
    <r>
      <rPr>
        <rFont val="Calibri"/>
        <color rgb="FF000000"/>
        <sz val="11.0"/>
      </rPr>
      <t>, carbon fiber and sueded microfiber-wrapped</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</si>
  <si>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</si>
  <si>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carbon fiber and leather-wrapped</t>
    </r>
  </si>
  <si>
    <r>
      <rPr>
        <rFont val="Calibri"/>
        <b/>
        <color rgb="FF000000"/>
        <sz val="11.0"/>
      </rPr>
      <t>Emissions override</t>
    </r>
    <r>
      <rPr>
        <rFont val="Calibri"/>
        <color rgb="FF000000"/>
        <sz val="11.0"/>
      </rPr>
      <t xml:space="preserve">, California </t>
    </r>
  </si>
  <si>
    <r>
      <rPr>
        <rFont val="Calibri"/>
        <b/>
        <color rgb="FF000000"/>
        <sz val="11.0"/>
      </rPr>
      <t>Emissions override</t>
    </r>
    <r>
      <rPr>
        <rFont val="Calibri"/>
        <color rgb="FF000000"/>
        <sz val="11.0"/>
      </rPr>
      <t>, state-specific</t>
    </r>
  </si>
  <si>
    <r>
      <rPr>
        <rFont val="Calibri"/>
        <b/>
        <color rgb="FF000000"/>
        <sz val="11.0"/>
      </rPr>
      <t>Emissions override</t>
    </r>
    <r>
      <rPr>
        <rFont val="Calibri"/>
        <color rgb="FF000000"/>
        <sz val="11.0"/>
      </rPr>
      <t>, Federal</t>
    </r>
  </si>
  <si>
    <r>
      <rPr>
        <rFont val="Calibri"/>
        <b/>
        <color rgb="FF000000"/>
        <sz val="11.0"/>
      </rPr>
      <t>Emissions</t>
    </r>
  </si>
  <si>
    <r>
      <rPr>
        <rFont val="Calibri"/>
        <b/>
        <color rgb="FF000000"/>
        <sz val="11.0"/>
      </rPr>
      <t>Exhaust tips</t>
    </r>
    <r>
      <rPr>
        <rFont val="Calibri"/>
        <color rgb="FF000000"/>
        <sz val="11.0"/>
      </rPr>
      <t>, Black</t>
    </r>
  </si>
  <si>
    <r>
      <rPr>
        <rFont val="Calibri"/>
        <b/>
        <color rgb="FF000000"/>
        <sz val="11.0"/>
      </rPr>
      <t>Steering wheel</t>
    </r>
    <r>
      <rPr>
        <rFont val="Calibri"/>
        <color rgb="FF000000"/>
        <sz val="11.0"/>
      </rPr>
      <t>, leather-wrapped</t>
    </r>
  </si>
  <si>
    <r>
      <rPr>
        <rFont val="Calibri"/>
        <b/>
        <color rgb="FF000000"/>
        <sz val="11.0"/>
      </rPr>
      <t>Exhaust</t>
    </r>
    <r>
      <rPr>
        <rFont val="Calibri"/>
        <color rgb="FF000000"/>
        <sz val="11.0"/>
      </rPr>
      <t>, performance</t>
    </r>
  </si>
  <si>
    <r>
      <rPr>
        <rFont val="Calibri"/>
        <b/>
        <color rgb="FF000000"/>
        <sz val="11.0"/>
      </rPr>
      <t>12 Months OnStar Connect Plus</t>
    </r>
  </si>
  <si>
    <r>
      <rPr>
        <rFont val="Calibri"/>
        <b/>
        <color rgb="FF000000"/>
        <sz val="11.0"/>
      </rPr>
      <t>24 Months OnStar Connect Plus</t>
    </r>
  </si>
  <si>
    <r>
      <rPr>
        <rFont val="Calibri"/>
        <b/>
        <color rgb="FF000000"/>
        <sz val="11.0"/>
      </rPr>
      <t>24 Months OnStar Protect</t>
    </r>
  </si>
  <si>
    <r>
      <rPr>
        <rFont val="Calibri"/>
        <b/>
        <color rgb="FF000000"/>
        <sz val="11.0"/>
      </rPr>
      <t>36 Months OnStar Protect</t>
    </r>
  </si>
  <si>
    <r>
      <rPr>
        <rFont val="Calibri"/>
        <b/>
        <color rgb="FF000000"/>
        <sz val="11.0"/>
      </rPr>
      <t>48 Months OnStar Protect</t>
    </r>
  </si>
  <si>
    <r>
      <rPr>
        <rFont val="Calibri"/>
        <b/>
        <color rgb="FF000000"/>
        <sz val="11.0"/>
      </rPr>
      <t>60 Months OnStar Protect</t>
    </r>
  </si>
  <si>
    <r>
      <rPr>
        <rFont val="Calibri"/>
        <b/>
        <color rgb="FF000000"/>
        <sz val="11.0"/>
      </rPr>
      <t>12 Months OnStar Protect</t>
    </r>
  </si>
  <si>
    <r>
      <rPr>
        <rFont val="Calibri"/>
        <b/>
        <color rgb="FF000000"/>
        <sz val="11.0"/>
      </rPr>
      <t>12 Months OnStar Telematics</t>
    </r>
  </si>
  <si>
    <r>
      <rPr>
        <rFont val="Calibri"/>
        <b/>
        <color rgb="FF000000"/>
        <sz val="11.0"/>
      </rPr>
      <t xml:space="preserve">24 Months OnStar Telematics </t>
    </r>
  </si>
  <si>
    <r>
      <rPr>
        <rFont val="Calibri"/>
        <b/>
        <color rgb="FF000000"/>
        <sz val="11.0"/>
      </rPr>
      <t>36 Months OnStar Telematics</t>
    </r>
  </si>
  <si>
    <r>
      <rPr>
        <rFont val="Calibri"/>
        <b/>
        <color rgb="FF000000"/>
        <sz val="11.0"/>
      </rPr>
      <t>48 Months OnStar Telematics</t>
    </r>
  </si>
  <si>
    <r>
      <rPr>
        <rFont val="Calibri"/>
        <b/>
        <color rgb="FF000000"/>
        <sz val="11.0"/>
      </rPr>
      <t>60 Months OnStar Telematics</t>
    </r>
  </si>
  <si>
    <r>
      <rPr>
        <rFont val="Calibri"/>
        <b/>
        <color rgb="FF000000"/>
        <sz val="11.0"/>
      </rPr>
      <t>LPO, Roadside Safety Package</t>
    </r>
  </si>
  <si>
    <r>
      <rPr>
        <rFont val="Calibri"/>
        <b/>
        <color rgb="FF000000"/>
        <sz val="11.0"/>
      </rPr>
      <t>LPO, Contoured Liner Protection Package</t>
    </r>
  </si>
  <si>
    <r>
      <rPr>
        <rFont val="Calibri"/>
        <b/>
        <color rgb="FF000000"/>
        <sz val="11.0"/>
      </rPr>
      <t>Customer VIN ending reservation</t>
    </r>
  </si>
  <si>
    <r>
      <rPr>
        <rFont val="Calibri"/>
        <b/>
        <color rgb="FF000000"/>
        <sz val="11.0"/>
      </rPr>
      <t>Wireless Apple CarPlay/Wireless Android Auto</t>
    </r>
  </si>
  <si>
    <r>
      <rPr>
        <rFont val="Calibri"/>
        <b/>
        <color rgb="FF000000"/>
        <sz val="11.0"/>
      </rPr>
      <t>36 Months OnStar Connect Plus</t>
    </r>
  </si>
  <si>
    <r>
      <rPr>
        <rFont val="Calibri"/>
        <b/>
        <color rgb="FF000000"/>
        <sz val="11.0"/>
      </rPr>
      <t>48 Months OnStar Connect Plus</t>
    </r>
  </si>
  <si>
    <r>
      <rPr>
        <rFont val="Calibri"/>
        <b/>
        <color rgb="FF000000"/>
        <sz val="11.0"/>
      </rPr>
      <t>60 Months OnStar Connect Plus</t>
    </r>
  </si>
  <si>
    <r>
      <rPr>
        <rFont val="Calibri"/>
        <b/>
        <color rgb="FF000000"/>
        <sz val="11.0"/>
      </rPr>
      <t>3 Years OnStar One</t>
    </r>
  </si>
  <si>
    <r>
      <rPr>
        <rFont val="Calibri"/>
        <b/>
        <color rgb="FF000000"/>
        <sz val="11.0"/>
      </rPr>
      <t>3 Years SiriusXM</t>
    </r>
  </si>
  <si>
    <r>
      <rPr>
        <rFont val="Calibri"/>
        <b/>
        <color rgb="FF000000"/>
        <sz val="11.0"/>
      </rPr>
      <t>Custom Interior Trim and Seat Combination</t>
    </r>
  </si>
  <si>
    <r>
      <rPr>
        <rFont val="Calibri"/>
        <b/>
        <color rgb="FFFF0000"/>
        <sz val="11.0"/>
      </rPr>
      <t xml:space="preserve">NEW!  </t>
    </r>
    <r>
      <rPr>
        <rFont val="Calibri"/>
        <b/>
        <color rgb="FF000000"/>
        <sz val="11.0"/>
      </rPr>
      <t>LPO, Illuminated crossed flags emblem</t>
    </r>
  </si>
  <si>
    <r>
      <rPr>
        <rFont val="Calibri"/>
        <b/>
        <color rgb="FF000000"/>
        <sz val="11.0"/>
      </rPr>
      <t>Corvette Museum Delivery</t>
    </r>
  </si>
  <si>
    <r>
      <rPr>
        <rFont val="Calibri"/>
        <b/>
        <color rgb="FF000000"/>
        <sz val="11.0"/>
      </rPr>
      <t>Gas guzzler tax</t>
    </r>
  </si>
  <si>
    <r>
      <rPr>
        <rFont val="Calibri"/>
        <b/>
        <color rgb="FF000000"/>
        <sz val="11.0"/>
      </rPr>
      <t>12 Months OnStar One Fleet</t>
    </r>
  </si>
  <si>
    <r>
      <rPr>
        <rFont val="Calibri"/>
        <b/>
        <color rgb="FF000000"/>
        <sz val="11.0"/>
      </rPr>
      <t>36 Months OnStar One Fleet</t>
    </r>
  </si>
  <si>
    <r>
      <rPr>
        <rFont val="Calibri"/>
        <b/>
        <color rgb="FF000000"/>
        <sz val="11.0"/>
      </rPr>
      <t>60 Months OnStar One Fleet</t>
    </r>
  </si>
  <si>
    <r>
      <rPr>
        <rFont val="Calibri"/>
        <b/>
        <color rgb="FF000000"/>
        <sz val="11.0"/>
      </rPr>
      <t>48 Months OnStar One Fleet</t>
    </r>
  </si>
  <si>
    <r>
      <rPr>
        <rFont val="Calibri"/>
        <b/>
        <color rgb="FF000000"/>
        <sz val="11.0"/>
      </rPr>
      <t>Removes OnStar Basics (OnStar Fleet Basics for Fleet)</t>
    </r>
  </si>
  <si>
    <r>
      <rPr>
        <rFont val="Calibri"/>
        <b/>
        <color rgb="FF000000"/>
        <sz val="11.0"/>
      </rPr>
      <t>Mobile Service Plus</t>
    </r>
  </si>
  <si>
    <r>
      <rPr>
        <rFont val="Calibri"/>
        <b/>
        <color rgb="FF000000"/>
        <sz val="11.0"/>
      </rPr>
      <t>Deleted Mobile Service Plus</t>
    </r>
  </si>
  <si>
    <r>
      <rPr>
        <rFont val="Calibri"/>
        <b/>
        <color rgb="FF000000"/>
        <sz val="11.0"/>
      </rPr>
      <t>Mobile Service Plus</t>
    </r>
  </si>
  <si>
    <r>
      <rPr>
        <rFont val="Calibri"/>
        <b/>
        <color rgb="FF000000"/>
        <sz val="11.0"/>
      </rPr>
      <t>24 Months OnStar One Fleet</t>
    </r>
  </si>
  <si>
    <r>
      <rPr>
        <rFont val="Calibri"/>
        <b/>
        <color rgb="FF000000"/>
        <sz val="11.0"/>
      </rPr>
      <t>LPO, All-weather floor liners</t>
    </r>
  </si>
  <si>
    <r>
      <rPr>
        <rFont val="Calibri"/>
        <b/>
        <color rgb="FF000000"/>
        <sz val="11.0"/>
      </rPr>
      <t>LPO, Rear Corvette script badge in Torch Red</t>
    </r>
  </si>
  <si>
    <r>
      <rPr>
        <rFont val="Calibri"/>
        <b/>
        <color rgb="FF000000"/>
        <sz val="11.0"/>
      </rPr>
      <t>LPO, Rear Corvette script badge in Arctic White</t>
    </r>
  </si>
  <si>
    <r>
      <rPr>
        <rFont val="Calibri"/>
        <b/>
        <color rgb="FF000000"/>
        <sz val="11.0"/>
      </rPr>
      <t>LPO, Premium indoor car cover</t>
    </r>
    <r>
      <rPr>
        <rFont val="Calibri"/>
        <color rgb="FF000000"/>
        <sz val="11.0"/>
      </rPr>
      <t>, Black with crossed flags logo</t>
    </r>
  </si>
  <si>
    <r>
      <rPr>
        <rFont val="Calibri"/>
        <b/>
        <color rgb="FF000000"/>
        <sz val="11.0"/>
      </rPr>
      <t>LPO, Premium outdoor car cover</t>
    </r>
    <r>
      <rPr>
        <rFont val="Calibri"/>
        <color rgb="FF000000"/>
        <sz val="11.0"/>
      </rPr>
      <t>, Gray with crossed flags logo and Corvette silhouette</t>
    </r>
  </si>
  <si>
    <r>
      <rPr>
        <rFont val="Calibri"/>
        <b/>
        <color rgb="FF000000"/>
        <sz val="11.0"/>
      </rPr>
      <t>LPO, Cargo area organizer</t>
    </r>
    <r>
      <rPr>
        <rFont val="Calibri"/>
        <color rgb="FF000000"/>
        <sz val="11.0"/>
      </rPr>
      <t>, collapsible</t>
    </r>
  </si>
  <si>
    <r>
      <rPr>
        <rFont val="Calibri"/>
        <b/>
        <color rgb="FF000000"/>
        <sz val="11.0"/>
      </rPr>
      <t>LPO, First Aid Kit</t>
    </r>
  </si>
  <si>
    <r>
      <rPr>
        <rFont val="Calibri"/>
        <b/>
        <color rgb="FF000000"/>
        <sz val="11.0"/>
      </rPr>
      <t>LPO, Highway Safety Kit</t>
    </r>
  </si>
  <si>
    <r>
      <rPr>
        <rFont val="Calibri"/>
        <b/>
        <color rgb="FF000000"/>
        <sz val="11.0"/>
      </rPr>
      <t>LPO, Set of premium leather weekend/travel bags</t>
    </r>
  </si>
  <si>
    <r>
      <rPr>
        <rFont val="Calibri"/>
        <b/>
        <color rgb="FF000000"/>
        <sz val="11.0"/>
      </rPr>
      <t>LPO, Chrome lug nuts</t>
    </r>
  </si>
  <si>
    <r>
      <rPr>
        <rFont val="Calibri"/>
        <b/>
        <color rgb="FF000000"/>
        <sz val="11.0"/>
      </rPr>
      <t>LPO, Dual roof</t>
    </r>
  </si>
  <si>
    <r>
      <rPr>
        <rFont val="Calibri"/>
        <b/>
        <color rgb="FF000000"/>
        <sz val="11.0"/>
      </rPr>
      <t>LPO, Roof panel storage pouch</t>
    </r>
  </si>
  <si>
    <r>
      <rPr>
        <rFont val="Calibri"/>
        <b/>
        <color rgb="FF000000"/>
        <sz val="11.0"/>
      </rPr>
      <t>LPO, Black tow hook</t>
    </r>
  </si>
  <si>
    <r>
      <rPr>
        <rFont val="Calibri"/>
        <b/>
        <color rgb="FF000000"/>
        <sz val="11.0"/>
      </rPr>
      <t>LPO, Chrome wheel locks</t>
    </r>
  </si>
  <si>
    <r>
      <rPr>
        <rFont val="Calibri"/>
        <b/>
        <color rgb="FF000000"/>
        <sz val="11.0"/>
      </rPr>
      <t>LPO, Dark Stealth crossed flags emblems</t>
    </r>
    <r>
      <rPr>
        <rFont val="Calibri"/>
        <color rgb="FF000000"/>
        <sz val="11.0"/>
      </rPr>
      <t>, front and rear on Z06 models</t>
    </r>
  </si>
  <si>
    <r>
      <rPr>
        <rFont val="Calibri"/>
        <b/>
        <color rgb="FF000000"/>
        <sz val="11.0"/>
      </rPr>
      <t>LPO, Spoiler extension</t>
    </r>
  </si>
  <si>
    <r>
      <rPr>
        <rFont val="Calibri"/>
        <b/>
        <color rgb="FF000000"/>
        <sz val="11.0"/>
      </rPr>
      <t>LPO, Rear Corvette script badge in Edge Red</t>
    </r>
  </si>
  <si>
    <r>
      <rPr>
        <rFont val="Calibri"/>
        <b/>
        <color rgb="FF000000"/>
        <sz val="11.0"/>
      </rPr>
      <t>LPO, Engine specification plaque</t>
    </r>
  </si>
  <si>
    <r>
      <rPr>
        <rFont val="Calibri"/>
        <b/>
        <color rgb="FF000000"/>
        <sz val="11.0"/>
      </rPr>
      <t>LPO, Rear hatch strut bracket</t>
    </r>
    <r>
      <rPr>
        <rFont val="Calibri"/>
        <color rgb="FF000000"/>
        <sz val="11.0"/>
      </rPr>
      <t>, Edge Red</t>
    </r>
  </si>
  <si>
    <r>
      <rPr>
        <rFont val="Calibri"/>
        <b/>
        <color rgb="FF000000"/>
        <sz val="11.0"/>
      </rPr>
      <t>LPO, Visible carbon fiber engine cross brace</t>
    </r>
  </si>
  <si>
    <r>
      <rPr>
        <rFont val="Calibri"/>
        <b/>
        <color rgb="FF000000"/>
        <sz val="11.0"/>
      </rPr>
      <t>Wheels</t>
    </r>
    <r>
      <rPr>
        <rFont val="Calibri"/>
        <color rgb="FF000000"/>
        <sz val="11.0"/>
      </rPr>
      <t>, 20" x 10" (50.8 cm x 25.4 cm) front and 21" x 13" (53.3 cm x 33 cm) rear 20-spoke, Edge Blue-painted forged aluminum</t>
    </r>
  </si>
  <si>
    <r>
      <rPr>
        <rFont val="Calibri"/>
        <b/>
        <color rgb="FF000000"/>
        <sz val="11.0"/>
      </rPr>
      <t>Wheels</t>
    </r>
    <r>
      <rPr>
        <rFont val="Calibri"/>
        <color rgb="FF000000"/>
        <sz val="11.0"/>
      </rPr>
      <t>, 20" x 10" (50.8 cm x 25.4 cm) front and 21" x 13" (53.3 cm x 33 cm) rear 20-spoke, Carbon Flash-painted forged aluminum</t>
    </r>
  </si>
  <si>
    <r>
      <rPr>
        <rFont val="Calibri"/>
        <b/>
        <color rgb="FF000000"/>
        <sz val="11.0"/>
      </rPr>
      <t>Wheels</t>
    </r>
    <r>
      <rPr>
        <rFont val="Calibri"/>
        <color rgb="FF000000"/>
        <sz val="11.0"/>
      </rPr>
      <t>, 20" x 10" (50.8 cm x 25.4 cm) front and 21" x 13" (53.3 cm x 33 cm) rear 20-spoke, Bright machined forged aluminum</t>
    </r>
  </si>
  <si>
    <r>
      <rPr>
        <rFont val="Calibri"/>
        <b/>
        <color rgb="FF000000"/>
        <sz val="11.0"/>
      </rPr>
      <t>Wheels</t>
    </r>
    <r>
      <rPr>
        <rFont val="Calibri"/>
        <color rgb="FF000000"/>
        <sz val="11.0"/>
      </rPr>
      <t>, 20" x 10" (50.8 cm x 25.4 cm) front and 21" x 13" (53.3 cm x 33 cm) rear 20-spoke, Sterling Silver-painted forged aluminum</t>
    </r>
  </si>
  <si>
    <r>
      <rPr>
        <rFont val="Calibri"/>
        <b/>
        <color rgb="FF000000"/>
        <sz val="11.0"/>
      </rPr>
      <t>LPO, Black lug nuts</t>
    </r>
  </si>
  <si>
    <r>
      <rPr>
        <rFont val="Calibri"/>
        <b/>
        <color rgb="FF000000"/>
        <sz val="11.0"/>
      </rPr>
      <t>LPO, Black wheel locks</t>
    </r>
  </si>
  <si>
    <r>
      <rPr>
        <rFont val="Calibri"/>
        <b/>
        <color rgb="FF000000"/>
        <sz val="11.0"/>
      </rPr>
      <t>Wheels</t>
    </r>
    <r>
      <rPr>
        <rFont val="Calibri"/>
        <color rgb="FF000000"/>
        <sz val="11.0"/>
      </rPr>
      <t>, 20" x 10" (50.8 cm x 25.4 cm) front and 21" x 13" (53.3 cm x 33 cm) rear 10-spoke, visible carbon fiber</t>
    </r>
  </si>
  <si>
    <r>
      <rPr>
        <rFont val="Calibri"/>
        <b/>
        <color rgb="FF000000"/>
        <sz val="11.0"/>
      </rPr>
      <t>LPO, Suede trunk compartment liner</t>
    </r>
    <r>
      <rPr>
        <rFont val="Calibri"/>
        <color rgb="FF000000"/>
        <sz val="11.0"/>
      </rPr>
      <t>, Black</t>
    </r>
  </si>
  <si>
    <r>
      <rPr>
        <rFont val="Calibri"/>
        <b/>
        <color rgb="FF000000"/>
        <sz val="11.0"/>
      </rPr>
      <t>LPO, Suede trunk compartment liner</t>
    </r>
    <r>
      <rPr>
        <rFont val="Calibri"/>
        <color rgb="FF000000"/>
        <sz val="11.0"/>
      </rPr>
      <t>, Adrenaline Red</t>
    </r>
  </si>
  <si>
    <r>
      <rPr>
        <rFont val="Calibri"/>
        <b/>
        <color rgb="FF000000"/>
        <sz val="11.0"/>
      </rPr>
      <t>LPO, Suede trunk compartment liner</t>
    </r>
    <r>
      <rPr>
        <rFont val="Calibri"/>
        <color rgb="FF000000"/>
        <sz val="11.0"/>
      </rPr>
      <t>, Natural</t>
    </r>
  </si>
  <si>
    <r>
      <rPr>
        <rFont val="Calibri"/>
        <b/>
        <color rgb="FF000000"/>
        <sz val="11.0"/>
      </rPr>
      <t>Spoiler</t>
    </r>
    <r>
      <rPr>
        <rFont val="Calibri"/>
        <color rgb="FF000000"/>
        <sz val="11.0"/>
      </rPr>
      <t>, rear</t>
    </r>
  </si>
  <si>
    <r>
      <rPr>
        <rFont val="Calibri"/>
        <b/>
        <color rgb="FF000000"/>
        <sz val="11.0"/>
      </rPr>
      <t>Headlamps</t>
    </r>
    <r>
      <rPr>
        <rFont val="Calibri"/>
        <color rgb="FF000000"/>
        <sz val="11.0"/>
      </rPr>
      <t>, LED</t>
    </r>
  </si>
  <si>
    <r>
      <rPr>
        <rFont val="Calibri"/>
        <b/>
        <color rgb="FF000000"/>
        <sz val="11.0"/>
      </rPr>
      <t>Teen Driver</t>
    </r>
  </si>
  <si>
    <r>
      <rPr>
        <rFont val="Calibri"/>
        <b/>
        <color rgb="FF000000"/>
        <sz val="11.0"/>
      </rPr>
      <t>ZR1 Carbon Fiber Aero Package</t>
    </r>
    <r>
      <rPr>
        <rFont val="Calibri"/>
        <color rgb="FF000000"/>
        <sz val="11.0"/>
      </rPr>
      <t>, visible carbon fiber</t>
    </r>
  </si>
  <si>
    <r>
      <rPr>
        <rFont val="Calibri"/>
        <b/>
        <color rgb="FF000000"/>
        <sz val="11.0"/>
      </rPr>
      <t>IntelliBeam</t>
    </r>
  </si>
  <si>
    <r>
      <rPr>
        <rFont val="Calibri"/>
        <b/>
        <color rgb="FF000000"/>
        <sz val="11.0"/>
      </rPr>
      <t>Headlamp control</t>
    </r>
    <r>
      <rPr>
        <rFont val="Calibri"/>
        <color rgb="FF000000"/>
        <sz val="11.0"/>
      </rPr>
      <t>, automatic leveling system</t>
    </r>
  </si>
  <si>
    <r>
      <rPr>
        <rFont val="Calibri"/>
        <b/>
        <color rgb="FF000000"/>
        <sz val="11.0"/>
      </rPr>
      <t>Seats</t>
    </r>
    <r>
      <rPr>
        <rFont val="Calibri"/>
        <color rgb="FF000000"/>
        <sz val="11.0"/>
      </rPr>
      <t>, two-tone</t>
    </r>
  </si>
  <si>
    <r>
      <rPr>
        <rFont val="Calibri"/>
        <b/>
        <color rgb="FF000000"/>
        <sz val="11.0"/>
      </rPr>
      <t>SiriusXM with 360L</t>
    </r>
  </si>
  <si>
    <r>
      <rPr>
        <rFont val="Calibri"/>
        <b/>
        <color rgb="FFFF0000"/>
        <sz val="11.0"/>
      </rPr>
      <t xml:space="preserve">NEW!  </t>
    </r>
    <r>
      <rPr>
        <rFont val="Calibri"/>
        <b/>
        <color rgb="FF000000"/>
        <sz val="11.0"/>
      </rPr>
      <t>5G vehicle connectivity</t>
    </r>
  </si>
  <si>
    <r>
      <rPr>
        <rFont val="Calibri"/>
        <b/>
        <color rgb="FF000000"/>
        <sz val="11.0"/>
      </rPr>
      <t>Compass</t>
    </r>
    <r>
      <rPr>
        <rFont val="Calibri"/>
        <color rgb="FF000000"/>
        <sz val="11.0"/>
      </rPr>
      <t>, digital</t>
    </r>
  </si>
  <si>
    <r>
      <rPr>
        <rFont val="Calibri"/>
        <b/>
        <color rgb="FF000000"/>
        <sz val="11.0"/>
      </rPr>
      <t>Rear Park Assist</t>
    </r>
  </si>
  <si>
    <r>
      <rPr>
        <rFont val="Calibri"/>
        <b/>
        <color rgb="FF000000"/>
        <sz val="11.0"/>
      </rPr>
      <t>OnStar services capable</t>
    </r>
  </si>
  <si>
    <r>
      <rPr>
        <rFont val="Calibri"/>
        <b/>
        <color rgb="FF000000"/>
        <sz val="11.0"/>
      </rPr>
      <t>Forward Collision Alert</t>
    </r>
  </si>
  <si>
    <r>
      <rPr>
        <rFont val="Calibri"/>
        <b/>
        <color rgb="FF000000"/>
        <sz val="11.0"/>
      </rPr>
      <t>Rear Cross Traffic Alert</t>
    </r>
  </si>
  <si>
    <r>
      <rPr>
        <rFont val="Calibri"/>
        <b/>
        <color rgb="FF000000"/>
        <sz val="11.0"/>
      </rPr>
      <t>Side Blind Zone Alert</t>
    </r>
  </si>
  <si>
    <r>
      <rPr>
        <rFont val="Calibri"/>
        <b/>
        <color rgb="FF000000"/>
        <sz val="11.0"/>
      </rPr>
      <t>Universal Home Remote</t>
    </r>
  </si>
  <si>
    <r>
      <rPr>
        <rFont val="Calibri"/>
        <b/>
        <color rgb="FF000000"/>
        <sz val="11.0"/>
      </rPr>
      <t>Lane Keep Assist with Lane Departure Warning</t>
    </r>
  </si>
  <si>
    <r>
      <rPr>
        <rFont val="Calibri"/>
        <b/>
        <color rgb="FF000000"/>
        <sz val="11.0"/>
      </rPr>
      <t>Automatic Emergency Braking</t>
    </r>
  </si>
  <si>
    <r>
      <rPr>
        <rFont val="Calibri"/>
        <b/>
        <color rgb="FF000000"/>
        <sz val="11.0"/>
      </rPr>
      <t>Front Pedestrian and Bicyclist Braking</t>
    </r>
  </si>
  <si>
    <r>
      <rPr>
        <rFont val="Calibri"/>
        <b/>
        <color rgb="FF000000"/>
        <sz val="11.0"/>
      </rPr>
      <t>Audio system feature</t>
    </r>
    <r>
      <rPr>
        <rFont val="Calibri"/>
        <color rgb="FF000000"/>
        <sz val="11.0"/>
      </rPr>
      <t>, Bose Performance Series Sound System</t>
    </r>
  </si>
  <si>
    <r>
      <rPr>
        <rFont val="Calibri"/>
        <b/>
        <color rgb="FF000000"/>
        <sz val="11.0"/>
      </rPr>
      <t>Audio system feature</t>
    </r>
    <r>
      <rPr>
        <rFont val="Calibri"/>
        <color rgb="FF000000"/>
        <sz val="11.0"/>
      </rPr>
      <t>, Bose Premium 10-speaker system</t>
    </r>
  </si>
  <si>
    <r>
      <rPr>
        <rFont val="Calibri"/>
        <b/>
        <color rgb="FF000000"/>
        <sz val="11.0"/>
      </rPr>
      <t>Performance data and video recorder</t>
    </r>
  </si>
  <si>
    <r>
      <rPr>
        <rFont val="Calibri"/>
        <b/>
        <color rgb="FF000000"/>
        <sz val="11.0"/>
      </rPr>
      <t>Theft-deterrent system</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</si>
  <si>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</si>
  <si>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</si>
  <si>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Head-Up Display</t>
    </r>
  </si>
  <si>
    <r>
      <rPr>
        <rFont val="Calibri"/>
        <b/>
        <color rgb="FF000000"/>
        <sz val="11.0"/>
      </rPr>
      <t>HD Front and Rear Vision Cameras</t>
    </r>
  </si>
  <si>
    <r>
      <rPr>
        <rFont val="Calibri"/>
        <b/>
        <color rgb="FF000000"/>
        <sz val="11.0"/>
      </rPr>
      <t>HD Rear Vision Camera</t>
    </r>
  </si>
  <si>
    <r>
      <rPr>
        <rFont val="Calibri"/>
        <b/>
        <color rgb="FF000000"/>
        <sz val="11.0"/>
      </rPr>
      <t>LPO, Visible Carbon Fiber sill plates</t>
    </r>
    <r>
      <rPr>
        <rFont val="Calibri"/>
        <color rgb="FF000000"/>
        <sz val="11.0"/>
      </rPr>
      <t>, with car silhouette logo</t>
    </r>
  </si>
  <si>
    <r>
      <rPr>
        <rFont val="Calibri"/>
        <b/>
        <color rgb="FF000000"/>
        <sz val="11.0"/>
      </rPr>
      <t>Vehicle health management</t>
    </r>
  </si>
  <si>
    <r>
      <rPr>
        <rFont val="Calibri"/>
        <b/>
        <color rgb="FF000000"/>
        <sz val="11.0"/>
      </rPr>
      <t>License plate bracket</t>
    </r>
    <r>
      <rPr>
        <rFont val="Calibri"/>
        <color rgb="FF000000"/>
        <sz val="11.0"/>
      </rPr>
      <t>, front</t>
    </r>
  </si>
  <si>
    <r>
      <rPr>
        <rFont val="Calibri"/>
        <b/>
        <color rgb="FF000000"/>
        <sz val="11.0"/>
      </rPr>
      <t>LPO, Rear fascia/roof storage protector</t>
    </r>
  </si>
  <si>
    <r>
      <rPr>
        <rFont val="Calibri"/>
        <b/>
        <color rgb="FF000000"/>
        <sz val="11.0"/>
      </rPr>
      <t>Wi-Fi Hotspot capable</t>
    </r>
  </si>
  <si>
    <r>
      <rPr>
        <rFont val="Calibri"/>
        <b/>
        <color rgb="FF000000"/>
        <sz val="11.0"/>
      </rPr>
      <t>LPO, Floor mats</t>
    </r>
    <r>
      <rPr>
        <rFont val="Calibri"/>
        <color rgb="FF000000"/>
        <sz val="11.0"/>
      </rPr>
      <t>, premium carpeted</t>
    </r>
  </si>
  <si>
    <r>
      <rPr>
        <rFont val="Calibri"/>
        <b/>
        <color rgb="FF000000"/>
        <sz val="11.0"/>
      </rPr>
      <t>LPO, Cargo net set</t>
    </r>
  </si>
  <si>
    <r>
      <rPr>
        <rFont val="Calibri"/>
        <b/>
        <color rgb="FFFF0000"/>
        <sz val="11.0"/>
      </rPr>
      <t xml:space="preserve">NEW!  </t>
    </r>
    <r>
      <rPr>
        <rFont val="Calibri"/>
        <b/>
        <color rgb="FF000000"/>
        <sz val="11.0"/>
      </rPr>
      <t>LPO, Premium indoor car cover</t>
    </r>
    <r>
      <rPr>
        <rFont val="Calibri"/>
        <color rgb="FF000000"/>
        <sz val="11.0"/>
      </rPr>
      <t>, GT3.R, fully rendered</t>
    </r>
  </si>
  <si>
    <r>
      <rPr>
        <rFont val="Calibri"/>
        <b/>
        <color rgb="FF000000"/>
        <sz val="11.0"/>
      </rPr>
      <t>Tires</t>
    </r>
    <r>
      <rPr>
        <rFont val="Calibri"/>
        <color rgb="FF000000"/>
        <sz val="11.0"/>
      </rPr>
      <t>, 275/30ZR20 front and 345/25ZR21 rear, blackwall, high performance</t>
    </r>
  </si>
  <si>
    <r>
      <rPr>
        <rFont val="Calibri"/>
        <b/>
        <color rgb="FF000000"/>
        <sz val="11.0"/>
      </rPr>
      <t>Tires</t>
    </r>
    <r>
      <rPr>
        <rFont val="Calibri"/>
        <color rgb="FF000000"/>
        <sz val="11.0"/>
      </rPr>
      <t>, 275/30ZR20 front and 345/25ZR21 rear, blackwall, Michelin Pilot Sport Cup 2 R ultra performance</t>
    </r>
  </si>
  <si>
    <r>
      <rPr>
        <rFont val="Calibri"/>
        <b/>
        <color rgb="FF000000"/>
        <sz val="11.0"/>
      </rPr>
      <t>Emissions</t>
    </r>
    <r>
      <rPr>
        <rFont val="Calibri"/>
        <color rgb="FF000000"/>
        <sz val="11.0"/>
      </rPr>
      <t>, California state requirements</t>
    </r>
  </si>
  <si>
    <r>
      <rPr>
        <rFont val="Calibri"/>
        <b/>
        <color rgb="FF000000"/>
        <sz val="11.0"/>
      </rPr>
      <t>ZTK Track Performance Package</t>
    </r>
  </si>
  <si>
    <r>
      <rPr>
        <rFont val="Calibri"/>
        <b/>
        <color rgb="FF000000"/>
        <sz val="11.0"/>
      </rPr>
      <t>Carbon Flash Metallic-painted outside mirrors and spoiler (when equipped with T0E standard spoiler)</t>
    </r>
  </si>
  <si>
    <r>
      <rPr>
        <rFont val="Calibri"/>
        <b/>
        <color rgb="FF000000"/>
        <sz val="11.0"/>
      </rPr>
      <t>Convertible Engine Appearance Package</t>
    </r>
  </si>
  <si>
    <t>OptionType</t>
  </si>
  <si>
    <t>Code</t>
  </si>
  <si>
    <t>TwoTone</t>
  </si>
  <si>
    <t>2026 CORVETTE ZR1X</t>
  </si>
  <si>
    <t>2026 MODEL YEAR VEHICLE PRICE SCHEDULE</t>
  </si>
  <si>
    <t>EFFECTIVE WITH START OF 2026 MODEL YEAR PRODUCTION</t>
  </si>
  <si>
    <t>Base Model Prices</t>
  </si>
  <si>
    <t>MSRP incl DFC</t>
  </si>
  <si>
    <t>Dealer
Invoice
Price(a)&amp;(c)</t>
  </si>
  <si>
    <t>Dealer
Price(c)</t>
  </si>
  <si>
    <t>Employee
Price(c)</t>
  </si>
  <si>
    <t>DFC</t>
  </si>
  <si>
    <t>Corvette ZR1X Coupe 1LZ</t>
  </si>
  <si>
    <t>Corvette ZR1X Convertible 1LZ</t>
  </si>
  <si>
    <t>Corvette ZR1X Coupe 3LZ</t>
  </si>
  <si>
    <t>Corvette ZR1X Convertible 3LZ</t>
  </si>
  <si>
    <t>Additional Options</t>
  </si>
  <si>
    <t>Option Code</t>
  </si>
  <si>
    <t>Factory
D/H(b)</t>
  </si>
  <si>
    <t>Dealer
Invoice
Price(a)</t>
  </si>
  <si>
    <t>Additional Options:</t>
  </si>
  <si>
    <t>Personalized Plaque w/Name and VIN</t>
  </si>
  <si>
    <t>Front Lift Adjustable Height with Memory</t>
  </si>
  <si>
    <t>2LT/LZ or 3LT/LZ</t>
  </si>
  <si>
    <t>Customer Selectable VIN</t>
  </si>
  <si>
    <t>Custom Interior Trim and Seat Combination Override</t>
  </si>
  <si>
    <t>3LT/LZ Only</t>
  </si>
  <si>
    <t>Battery:</t>
  </si>
  <si>
    <t>Brakes:</t>
  </si>
  <si>
    <t>Blue Painted Brake Calipers</t>
  </si>
  <si>
    <t>Yellow Painted Brake Calipers</t>
  </si>
  <si>
    <t>Bright Red Painted Brake Calipers</t>
  </si>
  <si>
    <t>Orange Painted Brake Calipers</t>
  </si>
  <si>
    <t>Edge Red Painted Brake Calipers</t>
  </si>
  <si>
    <t>Bronze Painted Brake Calipers</t>
  </si>
  <si>
    <t>Convenience:</t>
  </si>
  <si>
    <t>3 Years Onstar One</t>
  </si>
  <si>
    <t>3 Years, SIRIUSXM (Non-Transferable)</t>
  </si>
  <si>
    <t>3 Years of Mobile Service Plus</t>
  </si>
  <si>
    <t>1 Year of Mobile Service Plus</t>
  </si>
  <si>
    <t>Dealer Installed:</t>
  </si>
  <si>
    <t>Outside Mirror Covers in Visible Carbon Fiber</t>
  </si>
  <si>
    <t>Jake Logo Wheel Center Caps</t>
  </si>
  <si>
    <t>Contoured Cargo Area Liners with Jake Logo</t>
  </si>
  <si>
    <t>Includes First Aid Kit and Highway Safety Kit</t>
  </si>
  <si>
    <t>Illuminated crossed flags emblem</t>
  </si>
  <si>
    <t>All-weather floor liners with Jake logo</t>
  </si>
  <si>
    <t>Rear Corvette Script, Painted in Torch Red</t>
  </si>
  <si>
    <t>Rear Corvette Script, Painted in Arctic White</t>
  </si>
  <si>
    <t>Premium Indoor Car Cover in Black with Crossed Flags Logo</t>
  </si>
  <si>
    <t>Premium Outdoor Car Cover in Gray with Crossed Flags Logo and Corvette Silhouette</t>
  </si>
  <si>
    <t>Collapsible Cargo Area Organizer</t>
  </si>
  <si>
    <t>First Aid Kit</t>
  </si>
  <si>
    <t>Highway Safety Kit</t>
  </si>
  <si>
    <t>Set of Premium Leather Weekend Travel Bags</t>
  </si>
  <si>
    <t>Chrome Lug Nuts</t>
  </si>
  <si>
    <t>Dual Roof Package</t>
  </si>
  <si>
    <t>Roof Panel Storage Pouch</t>
  </si>
  <si>
    <t>Recovery Hook, Black</t>
  </si>
  <si>
    <t>Chrome Wheel Locks</t>
  </si>
  <si>
    <t>Rear Corvette Script, Painted in Edge Red</t>
  </si>
  <si>
    <t>Rear Hatch Brace - Edge Red</t>
  </si>
  <si>
    <t>Visible Carbon Fiber Engine Cross Brace</t>
  </si>
  <si>
    <t>Black Lug Nuts</t>
  </si>
  <si>
    <t>Black Wheel Locks</t>
  </si>
  <si>
    <t>Suede Front and Rear Luggage Compartment Trim, Black</t>
  </si>
  <si>
    <t>Suede Front and Rear Luggage Compartment Trim, Red</t>
  </si>
  <si>
    <t>Suede Front and Rear Luggage Compartment Trim, Tan</t>
  </si>
  <si>
    <t>Visible Carbon Fiber sill plates</t>
  </si>
  <si>
    <t>Rear Fascia/Roof Storage Protector in Black with Crossed Flag Logo</t>
  </si>
  <si>
    <t>Premium Carpeted Floor Mats</t>
  </si>
  <si>
    <t>Cargo Net Set</t>
  </si>
  <si>
    <t>Exhaust Systems:</t>
  </si>
  <si>
    <t>Exterior Appearance:</t>
  </si>
  <si>
    <t>Exterior Trim; carbon fiber split window trim, painted body-color</t>
  </si>
  <si>
    <t>ZR1X Carbon Fiber Aero Package</t>
  </si>
  <si>
    <t>Carbon Flash Metallic Painted Outside Mirrors</t>
  </si>
  <si>
    <t>Includes spoiler as well when the vehicle is equipped with painted spoiler</t>
  </si>
  <si>
    <t>Front License Plate Bracket:</t>
  </si>
  <si>
    <t>Front License Plate Bracket</t>
  </si>
  <si>
    <t>&amp;R7E</t>
  </si>
  <si>
    <t>ZR1X Amount TBD upon completion of Testing</t>
  </si>
  <si>
    <t>Interior Trim:</t>
  </si>
  <si>
    <t>Yellow Custom Leather Stitch</t>
  </si>
  <si>
    <t>3LT/3LZ only. Requires Jet Black Interior</t>
  </si>
  <si>
    <t>Orange Seat Belts</t>
  </si>
  <si>
    <t>Custom Blue Leather Stitching</t>
  </si>
  <si>
    <t>3LT/3LZ only; requires Jet Black Interior</t>
  </si>
  <si>
    <t>Adrenaline Red Custom Leather Stitch</t>
  </si>
  <si>
    <t>Santorini Blue Seat Belts</t>
  </si>
  <si>
    <t>Std with HT8 Interior</t>
  </si>
  <si>
    <t>Torch Red Seat Belts</t>
  </si>
  <si>
    <t>Std with HNK Interior</t>
  </si>
  <si>
    <t>Yellow Seat Belts</t>
  </si>
  <si>
    <t>Tan Seat Belts</t>
  </si>
  <si>
    <t>Std with HZN and HUF</t>
  </si>
  <si>
    <t>Stealth Interior Trim Package; Dark finish aluminum trim</t>
  </si>
  <si>
    <t>2LT/LZ or 3LT/3LZ</t>
  </si>
  <si>
    <t>Carbon Fiber Cluster-Surround and Console, Door Switch Plates</t>
  </si>
  <si>
    <t>Carbon fiber instrument panel trim, Cluster -surround and Console/door inserts</t>
  </si>
  <si>
    <t>3LZ only</t>
  </si>
  <si>
    <t>Sueded Microfiber-Wrapped Steering Wheel</t>
  </si>
  <si>
    <t>N/A on 3LZ</t>
  </si>
  <si>
    <t>Carbon fiber and sueded microfiber-wrapped Steering Wheel</t>
  </si>
  <si>
    <t>Two-Tone Seats</t>
  </si>
  <si>
    <t>2LT/LZ or 3LT/lZ</t>
  </si>
  <si>
    <t>Paint:</t>
  </si>
  <si>
    <t>Roswell Green Metallic</t>
  </si>
  <si>
    <t>Competition Yellow Tintcoat</t>
  </si>
  <si>
    <t>Performance Package:</t>
  </si>
  <si>
    <t>ZTK Performance Package</t>
  </si>
  <si>
    <t>Requires TOM</t>
  </si>
  <si>
    <t>Roof Panels:</t>
  </si>
  <si>
    <t>Roof panel, electrochromic dimming, removable</t>
  </si>
  <si>
    <t>2LT/2LZ/3LT/3LZ Coupes</t>
  </si>
  <si>
    <t>Seats:</t>
  </si>
  <si>
    <t>Competition Sport Bucket Seats</t>
  </si>
  <si>
    <t>1LT/LZ Only</t>
  </si>
  <si>
    <t>Seats, mixed, driver Competition Sport Bucket, passenger GT2 Bucket</t>
  </si>
  <si>
    <t>Requires HVZ; Asymmetrical Adrenaline Red/Jet Black Interior</t>
  </si>
  <si>
    <t>Select Edition Package:</t>
  </si>
  <si>
    <t>ZRA</t>
  </si>
  <si>
    <t>ZR1X Quail Silver Limited Edition Package</t>
  </si>
  <si>
    <t>Available on 3LZ Convertible Only</t>
  </si>
  <si>
    <t>Stripe Packages:</t>
  </si>
  <si>
    <t>Carbon Flash with Blue Accent Full Length Dual Racing Stripes</t>
  </si>
  <si>
    <t>Carbon Flash Yellow accent Full Length Dual Racing Stripes</t>
  </si>
  <si>
    <t>Orange Full Length Dual Racing Stripe Package</t>
  </si>
  <si>
    <t>Red Full Length Dual Racing Stripe Package</t>
  </si>
  <si>
    <t>Yellow Full Length Dual Racing Stripe Package</t>
  </si>
  <si>
    <t>Carbon Flash Metallic Full Length Dual Racing Stripe Package</t>
  </si>
  <si>
    <t>Sterling Silver Full Length Dual Racing Stripe Package</t>
  </si>
  <si>
    <t>Blue Full Length Dual Racing Stripe Package</t>
  </si>
  <si>
    <t>Wheels:</t>
  </si>
  <si>
    <t>20-Spoke, Edge Blue-painted forged aluminum wheels</t>
  </si>
  <si>
    <t>20-Spoke, Carbon Flash-painted forged aluminum wheels</t>
  </si>
  <si>
    <t>20-Spoke, Bright machined forged aluminum wheels</t>
  </si>
  <si>
    <t>10-Spoke, Visible Carbon Fiber wheels</t>
  </si>
  <si>
    <t>LY Option Code</t>
  </si>
  <si>
    <t>Compat</t>
  </si>
  <si>
    <t>LAST YEAR $$$</t>
  </si>
  <si>
    <t>NA</t>
  </si>
  <si>
    <t>20-spoke Tech Bronze forged aluminum wheels</t>
  </si>
  <si>
    <t>Stingray</t>
  </si>
  <si>
    <t>Spider design, Satin Graphite forged aluminum with Red stripe wheels</t>
  </si>
  <si>
    <t>Z06</t>
  </si>
  <si>
    <t>Spider design, Tech Bronze forged aluminum wheels</t>
  </si>
  <si>
    <t>15-spoke Bright Polished machined aluminum wheels</t>
  </si>
  <si>
    <t>Exposed Carbon Fiber spoiler</t>
  </si>
  <si>
    <t>Z06 &amp; E-Ray</t>
  </si>
  <si>
    <t>Ground Effects, Black</t>
  </si>
  <si>
    <t>Carbon Flash Center Caps</t>
  </si>
  <si>
    <t>High Wing Spoiler, Body Color</t>
  </si>
  <si>
    <t>Visible Carbon Fiber Two-Stanchion spoiler</t>
  </si>
  <si>
    <t>Carbon Flash-painted High Wing Spoiler</t>
  </si>
  <si>
    <t>AE4-1</t>
  </si>
  <si>
    <t>AE4-2</t>
  </si>
  <si>
    <t>2LT/LZ Only</t>
  </si>
  <si>
    <t>GT2 Bucket Seats</t>
  </si>
  <si>
    <t>2LT/LZ Only; Std on 3LT/LZ</t>
  </si>
  <si>
    <t>Red LT2 Engine Cover</t>
  </si>
  <si>
    <t>Stingray &amp; E-Ray; Convertible requires ZZ3; Coupes with B6P</t>
  </si>
  <si>
    <t>Stingray &amp; E-Ray; Coupes without B6P</t>
  </si>
  <si>
    <t>Silver LT2 Engine Cover</t>
  </si>
  <si>
    <t>Engine Intake Cover - Red</t>
  </si>
  <si>
    <t>Z06 w/ZZ3 / Z06 Coupe w/B6P</t>
  </si>
  <si>
    <t>Coupe w/o B6P</t>
  </si>
  <si>
    <t>Visible Carbon Fiber Removable Roof Panel with Body Color Surround</t>
  </si>
  <si>
    <t>Body-color Rockers and Splitter</t>
  </si>
  <si>
    <t>Z06 Only, Not Available with CFV/CFZ or GBA</t>
  </si>
  <si>
    <t>Transparent Removable Roof Panel</t>
  </si>
  <si>
    <t>Carbon Fiber Visible Ground Effects</t>
  </si>
  <si>
    <t>Carbon Fiber, Carbon Flash Painted Ground Effects</t>
  </si>
  <si>
    <t>Engine Lighting</t>
  </si>
  <si>
    <t>Carbon Flash Painted Nacelles and Roof</t>
  </si>
  <si>
    <t>Convertible Only</t>
  </si>
  <si>
    <t>Carbon Flash Painted Nacelles and Body-Color Roof</t>
  </si>
  <si>
    <t>E-Ray</t>
  </si>
  <si>
    <t>located above Driver Information Center Display, 3LZ; Std on ZR1</t>
  </si>
  <si>
    <t>Carbon Flash/Edge Yellow Stinger Stripe</t>
  </si>
  <si>
    <t>Carbon Flash/Midnight Silver Stinger Stripe</t>
  </si>
  <si>
    <t>Carbon Flash/Edge Red Stinger Stripe</t>
  </si>
  <si>
    <t>Carbon Flash Exterior Accents</t>
  </si>
  <si>
    <t>Body Color Exterior Accents</t>
  </si>
  <si>
    <t>Included as standard on E-Ray</t>
  </si>
  <si>
    <t>Magnetic Selective Ride Control Suspension</t>
  </si>
  <si>
    <t>Stingray; W/O Z51</t>
  </si>
  <si>
    <t>Z51 Performance Suspension with Magnetic Ride Control</t>
  </si>
  <si>
    <t>Stingray; Requires Z51</t>
  </si>
  <si>
    <t>GMO</t>
  </si>
  <si>
    <t>Included in Z07 Performance Package</t>
  </si>
  <si>
    <t>Z06 requires J57, available on E-Ray &amp; ZR1</t>
  </si>
  <si>
    <t>Requires J57</t>
  </si>
  <si>
    <t>Requires NPP on Stingray</t>
  </si>
  <si>
    <t>Std in Z51, Z06, &amp; E-Ray</t>
  </si>
  <si>
    <t>PDB</t>
  </si>
  <si>
    <t>Carbon Fiber Wheel and Brake Package</t>
  </si>
  <si>
    <t>Z06 with ROY Carbon Fiber Wheel</t>
  </si>
  <si>
    <t>Z06 with ROZ Carbon Fiber Wheel</t>
  </si>
  <si>
    <t>Z06 with STZ Carbon Fiber Wheel</t>
  </si>
  <si>
    <t>PDD</t>
  </si>
  <si>
    <t>Z07 Carbon Flash Aero and Wheel Package</t>
  </si>
  <si>
    <t>PDF</t>
  </si>
  <si>
    <t>Z07 Visible Carbon Aero and Wheel Package</t>
  </si>
  <si>
    <t>20-spoke Bright Machined-faced Forged Aluminum Wheels</t>
  </si>
  <si>
    <t>20-Spoke Midnight Gray Forged Aluminum with Red Stripe Wheels</t>
  </si>
  <si>
    <t>20-Spoke Gloss Black Forged Aluminum Wheels</t>
  </si>
  <si>
    <t>5-split-spoke Satin Graphite, Machined Edge, Forged Aluminum Wheels</t>
  </si>
  <si>
    <t>5-split-spoke Machined-faced Sterling Silver-Painted Forged Aluminum Wheels</t>
  </si>
  <si>
    <t>5-split-spoke Black-Painted, Forged Aluminum Wheels</t>
  </si>
  <si>
    <t>R8E High</t>
  </si>
  <si>
    <t>R8E High Wing</t>
  </si>
  <si>
    <t>High Wing</t>
  </si>
  <si>
    <t>Premium Outdoor Car Cover in Gray with Stingray Logo and Access Panels</t>
  </si>
  <si>
    <t>Carbon Flash with Machined Edge Forged Aluminum Wheels</t>
  </si>
  <si>
    <t>Carbon Flash - Painted Carbon Fiber Wheels</t>
  </si>
  <si>
    <t>Visible Carbon Fiber Wheels</t>
  </si>
  <si>
    <t>Wheel Center Caps in Silver with Stingray Logo and Red Outline</t>
  </si>
  <si>
    <t>LT6 Visible Carbon Fiber Engine Cover</t>
  </si>
  <si>
    <t>Wheel Center Caps in Black with Gray Stingray Logo</t>
  </si>
  <si>
    <t>Stingray/Z06</t>
  </si>
  <si>
    <t>Corvette Racing Themed Graphics</t>
  </si>
  <si>
    <t>Fender Hash Stripes, Silver with Carbon Flash Metallic Accent</t>
  </si>
  <si>
    <t>Jake Hood Graphic with Tech Bronze Accent</t>
  </si>
  <si>
    <t>Fender Hash Stripes, Carbon Flash Metallic with Edge Red Accent</t>
  </si>
  <si>
    <t>Clear Spoiler Bridge</t>
  </si>
  <si>
    <t>Premium Indoor Car Cover in Red with Stingray Logo</t>
  </si>
  <si>
    <t>Fender Hash Stripes, Carbon Flash with Tech Bronze Accent</t>
  </si>
  <si>
    <t>Spider design, Black Forged Aluminum Wheels</t>
  </si>
  <si>
    <t>Bright polished Forged Aluminum Wheels</t>
  </si>
  <si>
    <t>Satin/Gloss Black Forged Aluminum Wheels</t>
  </si>
  <si>
    <t>10-spoke Pearl Nickel Aluminum Wheels</t>
  </si>
  <si>
    <t>10-spoke Gloss Black Aluminum Wheels</t>
  </si>
  <si>
    <t>10-spoke Bright Polished Aluminum Wheels</t>
  </si>
  <si>
    <t>Rocker Panel Extensions - Black</t>
  </si>
  <si>
    <t>10-spoke Bright Polished with Carbon Flash Pockets Aluminum Wheels</t>
  </si>
  <si>
    <t>Visible Carbon Fiber Wheels with Red Stripe</t>
  </si>
  <si>
    <t>E-Ray Badge in Blue</t>
  </si>
  <si>
    <t>Stingray &amp; Z06</t>
  </si>
  <si>
    <t>Carbon Aero Package - Carbon Fiber, Carbon Flash-Painted</t>
  </si>
  <si>
    <t>Includes CFZ Ground Effects; Z06</t>
  </si>
  <si>
    <t>Carbon Aero Package - Visible Carbon Fiber</t>
  </si>
  <si>
    <t>Includes CFV Ground Effects; Z06</t>
  </si>
  <si>
    <t>Low-profile rear spoiler and front splitter</t>
  </si>
  <si>
    <t>1LT/LZ</t>
  </si>
  <si>
    <t>Tech Bronze Rear Hash Graphic</t>
  </si>
  <si>
    <t>Splash Guards in Black</t>
  </si>
  <si>
    <t>Stingray R Themed Center Caps</t>
  </si>
  <si>
    <t>Front Grille Protection Screens</t>
  </si>
  <si>
    <t>Premium Indoor Car Cover in Black with Crossed Flags Logo and Access Panels</t>
  </si>
  <si>
    <t>Premium Indoor Car Cover, Galvanized Cool with Z06 Logo</t>
  </si>
  <si>
    <t>Z06 Ultimate Performance Package</t>
  </si>
  <si>
    <t>Requires T0F or T0G</t>
  </si>
  <si>
    <t>Requires TOM; Includes J59 Ceramic Brakes</t>
  </si>
  <si>
    <t>Convertible Top:</t>
  </si>
  <si>
    <t>Suspension Packages:</t>
  </si>
  <si>
    <t>Orderable RPO Code</t>
  </si>
  <si>
    <t>CATEGORY</t>
  </si>
  <si>
    <t>Ref. Only RPO Code</t>
  </si>
  <si>
    <t>Coupe
1YC07
1LT</t>
  </si>
  <si>
    <t>Coupe
1YC07
2LT</t>
  </si>
  <si>
    <t>Coupe
1YC07
3LT</t>
  </si>
  <si>
    <t>Convertible
1YC67
1LT</t>
  </si>
  <si>
    <t>Convertible
1YC67
2LT</t>
  </si>
  <si>
    <t>Convertible
1YC67
3LT</t>
  </si>
  <si>
    <t xml:space="preserve">S = Standard Equipment  
A = Available  
-- (dashes) = Not Available  
D = ADI Available  
■ = Included in Equipment Group  
□ = Included in Equipment Group but upgradeable  
* = Indicates availability of feature on multiple models.  </t>
  </si>
  <si>
    <r>
      <rPr>
        <rFont val="Calibri"/>
        <b/>
        <color rgb="FF000000"/>
        <sz val="11.0"/>
      </rPr>
      <t>Seat belt color</t>
    </r>
    <r>
      <rPr>
        <rFont val="Calibri"/>
        <color rgb="FF000000"/>
        <sz val="11.0"/>
      </rPr>
      <t>, Black</t>
    </r>
    <r>
      <rPr>
        <rFont val="Calibri"/>
        <color rgb="FF000000"/>
        <sz val="11.0"/>
      </rPr>
      <t xml:space="preserve">
</t>
    </r>
    <r>
      <rPr>
        <rFont val="Calibri"/>
        <b/>
        <color rgb="FF000000"/>
        <sz val="9.0"/>
      </rPr>
      <t>1. (HZN/HUF) Natural Dipped interior comes with (3N9) Natural seat belt color; (H8T) Santorini Blue interior comes with (3A9) Santorini Blue seat belt color; (HNK) Adrenaline Red Dipped comes with (3F9) Torch Red seat belt color; (HUW/HUX) Habanero interior and (EMT) Sky Cool/Medium Ash Gray interior comes with (379) Orange seat belt color.</t>
    </r>
  </si>
  <si>
    <t>S</t>
  </si>
  <si>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</si>
  <si>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</si>
  <si>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</si>
  <si>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</si>
  <si>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Seat adjuster</t>
    </r>
    <r>
      <rPr>
        <rFont val="Calibri"/>
        <color rgb="FF000000"/>
        <sz val="11.0"/>
      </rPr>
      <t>, driver power bolster</t>
    </r>
  </si>
  <si>
    <t>--</t>
  </si>
  <si>
    <t>■</t>
  </si>
  <si>
    <r>
      <rPr>
        <rFont val="Calibri"/>
        <b/>
        <color rgb="FF000000"/>
        <sz val="11.0"/>
      </rPr>
      <t>Seat adjuster</t>
    </r>
    <r>
      <rPr>
        <rFont val="Calibri"/>
        <color rgb="FF000000"/>
        <sz val="11.0"/>
      </rPr>
      <t>, passenger power bolster</t>
    </r>
  </si>
  <si>
    <r>
      <rPr>
        <rFont val="Calibri"/>
        <b/>
        <color rgb="FF000000"/>
        <sz val="11.0"/>
      </rPr>
      <t>Airbags</t>
    </r>
    <r>
      <rPr>
        <rFont val="Calibri"/>
        <color rgb="FF000000"/>
        <sz val="11.0"/>
      </rPr>
      <t>, frontal and side-impact, driver and passenger</t>
    </r>
    <r>
      <rPr>
        <rFont val="Calibri"/>
        <color rgb="FF000000"/>
        <sz val="11.0"/>
      </rPr>
      <t xml:space="preserve"> with Passenger Sensing System</t>
    </r>
    <r>
      <rPr>
        <rFont val="Calibri"/>
        <color rgb="FF000000"/>
        <sz val="11.0"/>
      </rPr>
      <t xml:space="preserve">
</t>
    </r>
    <r>
      <rPr>
        <rFont val="Calibri"/>
        <b/>
        <color rgb="FF000000"/>
        <sz val="9.0"/>
      </rPr>
      <t>1. Always use seat belts and child restraints. Never place an infant or child restraint seat in the front seat, even if the airbag is off. See the Owner's Manual for more information.</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</si>
  <si>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</si>
  <si>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</si>
  <si>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</si>
  <si>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</si>
  <si>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</si>
  <si>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</si>
  <si>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 adjuster</t>
    </r>
    <r>
      <rPr>
        <rFont val="Calibri"/>
        <color rgb="FF000000"/>
        <sz val="11.0"/>
      </rPr>
      <t>, power driver lumbar control</t>
    </r>
  </si>
  <si>
    <r>
      <rPr>
        <rFont val="Calibri"/>
        <b/>
        <color rgb="FF000000"/>
        <sz val="11.0"/>
      </rPr>
      <t>Cargo nets</t>
    </r>
    <r>
      <rPr>
        <rFont val="Calibri"/>
        <color rgb="FF000000"/>
        <sz val="11.0"/>
      </rPr>
      <t>, 2</t>
    </r>
  </si>
  <si>
    <r>
      <rPr>
        <rFont val="Calibri"/>
        <b/>
        <color rgb="FF000000"/>
        <sz val="11.0"/>
      </rPr>
      <t>Seats</t>
    </r>
    <r>
      <rPr>
        <rFont val="Calibri"/>
        <color rgb="FF000000"/>
        <sz val="11.0"/>
      </rPr>
      <t>, GT1 bucket</t>
    </r>
  </si>
  <si>
    <r>
      <rPr>
        <rFont val="Calibri"/>
        <b/>
        <color rgb="FF000000"/>
        <sz val="11.0"/>
      </rPr>
      <t>Memory Driver and Passenger Convenience Package</t>
    </r>
    <r>
      <rPr>
        <rFont val="Calibri"/>
        <color rgb="FF000000"/>
        <sz val="11.0"/>
      </rPr>
      <t>, includes steering wheel and outside mirrors plus seat memory for both driver and passenger; key fob or door button activated</t>
    </r>
  </si>
  <si>
    <r>
      <rPr>
        <rFont val="Calibri"/>
        <b/>
        <color rgb="FF000000"/>
        <sz val="11.0"/>
      </rPr>
      <t>Seat adjuster</t>
    </r>
    <r>
      <rPr>
        <rFont val="Calibri"/>
        <color rgb="FF000000"/>
        <sz val="11.0"/>
      </rPr>
      <t>, power passenger lumbar control</t>
    </r>
  </si>
  <si>
    <r>
      <rPr>
        <rFont val="Calibri"/>
        <b/>
        <color rgb="FF000000"/>
        <sz val="11.0"/>
      </rPr>
      <t>Performance Traction Management</t>
    </r>
    <r>
      <rPr>
        <rFont val="Calibri"/>
        <color rgb="FF000000"/>
        <sz val="11.0"/>
      </rPr>
      <t xml:space="preserve">
</t>
    </r>
    <r>
      <rPr>
        <rFont val="Calibri"/>
        <b/>
        <color rgb="FF000000"/>
        <sz val="9.0"/>
      </rPr>
      <t>1. Included and only available with (FE4) Z51 performance suspension with Magnetic Selective Ride Control.</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</si>
  <si>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</si>
  <si>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</si>
  <si>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</si>
  <si>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</si>
  <si>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</si>
  <si>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</si>
  <si>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LT2 engine cover</t>
    </r>
    <r>
      <rPr>
        <rFont val="Calibri"/>
        <color rgb="FF000000"/>
        <sz val="11.0"/>
      </rPr>
      <t>, Black</t>
    </r>
    <r>
      <rPr>
        <rFont val="Calibri"/>
        <color rgb="FF000000"/>
        <sz val="11.0"/>
      </rPr>
      <t xml:space="preserve">
</t>
    </r>
    <r>
      <rPr>
        <rFont val="Calibri"/>
        <b/>
        <color rgb="FF000000"/>
        <sz val="9.0"/>
      </rPr>
      <t>1. Included and only available with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</si>
  <si>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</si>
  <si>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</si>
  <si>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</si>
  <si>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Roof panel</t>
    </r>
    <r>
      <rPr>
        <rFont val="Calibri"/>
        <color rgb="FF000000"/>
        <sz val="11.0"/>
      </rPr>
      <t>, body-color, removable</t>
    </r>
  </si>
  <si>
    <r>
      <rPr>
        <rFont val="Calibri"/>
        <b/>
        <color rgb="FF000000"/>
        <sz val="11.0"/>
      </rPr>
      <t>Plaque</t>
    </r>
    <r>
      <rPr>
        <rFont val="Calibri"/>
        <color rgb="FF000000"/>
        <sz val="11.0"/>
      </rPr>
      <t>, personalized with Corvette Museum logo</t>
    </r>
    <r>
      <rPr>
        <rFont val="Calibri"/>
        <color rgb="FF000000"/>
        <sz val="11.0"/>
      </rPr>
      <t>, your name and VIN</t>
    </r>
    <r>
      <rPr>
        <rFont val="Calibri"/>
        <color rgb="FF000000"/>
        <sz val="11.0"/>
      </rPr>
      <t xml:space="preserve">
</t>
    </r>
    <r>
      <rPr>
        <rFont val="Calibri"/>
        <b/>
        <color rgb="FF000000"/>
        <sz val="9.0"/>
      </rPr>
      <t>1. Included and only available with (R8C) Corvette Museum Delivery.</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</si>
  <si>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</si>
  <si>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</si>
  <si>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</si>
  <si>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</si>
  <si>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</si>
  <si>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</si>
  <si>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Air conditioning</t>
    </r>
    <r>
      <rPr>
        <rFont val="Calibri"/>
        <color rgb="FF000000"/>
        <sz val="11.0"/>
      </rPr>
      <t>, dual-zone automatic climate control</t>
    </r>
    <r>
      <rPr>
        <rFont val="Calibri"/>
        <color rgb="FF000000"/>
        <sz val="11.0"/>
      </rPr>
      <t>, individual climate settings for driver and passenger, with outside temperature display</t>
    </r>
  </si>
  <si>
    <r>
      <rPr>
        <rFont val="Calibri"/>
        <b/>
        <color rgb="FF000000"/>
        <sz val="11.0"/>
      </rPr>
      <t>Convertible top</t>
    </r>
    <r>
      <rPr>
        <rFont val="Calibri"/>
        <color rgb="FF000000"/>
        <sz val="11.0"/>
      </rPr>
      <t>, retractable</t>
    </r>
    <r>
      <rPr>
        <rFont val="Calibri"/>
        <color rgb="FF000000"/>
        <sz val="11.0"/>
      </rPr>
      <t>, power-folding hard top, painted body-color roof, remote control (down only), includes power glass rear window with integral defogger</t>
    </r>
  </si>
  <si>
    <r>
      <rPr>
        <rFont val="Calibri"/>
        <b/>
        <color rgb="FF000000"/>
        <sz val="11.0"/>
      </rPr>
      <t>Mirrors</t>
    </r>
    <r>
      <rPr>
        <rFont val="Calibri"/>
        <color rgb="FF000000"/>
        <sz val="11.0"/>
      </rPr>
      <t>, outside, Carbon Flash Metallic-painted</t>
    </r>
    <r>
      <rPr>
        <rFont val="Calibri"/>
        <color rgb="FF000000"/>
        <sz val="11.0"/>
      </rPr>
      <t xml:space="preserve">
</t>
    </r>
    <r>
      <rPr>
        <rFont val="Calibri"/>
        <b/>
        <color rgb="FF000000"/>
        <sz val="9.0"/>
      </rPr>
      <t>1. Included and only available with (ZYC) Carbon Flash Metallic-painted outside mirrors and spoiler (when equipped) or (5JR) outside mirror covers in visible Carbon Fiber, LPO.</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</si>
  <si>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</si>
  <si>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</si>
  <si>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</si>
  <si>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</si>
  <si>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</si>
  <si>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</si>
  <si>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Rear Camera Mirror</t>
    </r>
    <r>
      <rPr>
        <rFont val="Calibri"/>
        <color rgb="FF000000"/>
        <sz val="11.0"/>
      </rPr>
      <t>, inside rearview auto-dimming with full camera display</t>
    </r>
  </si>
  <si>
    <r>
      <rPr>
        <rFont val="Calibri"/>
        <b/>
        <color rgb="FF000000"/>
        <sz val="11.0"/>
      </rPr>
      <t>Mirrors</t>
    </r>
    <r>
      <rPr>
        <rFont val="Calibri"/>
        <color rgb="FF000000"/>
        <sz val="11.0"/>
      </rPr>
      <t>, outside heated, power-adjustable</t>
    </r>
    <r>
      <rPr>
        <rFont val="Calibri"/>
        <color rgb="FF000000"/>
        <sz val="11.0"/>
      </rPr>
      <t>, manual-folding with turn signal indicators</t>
    </r>
  </si>
  <si>
    <r>
      <rPr>
        <rFont val="Calibri"/>
        <b/>
        <color rgb="FF000000"/>
        <sz val="11.0"/>
      </rPr>
      <t>Mirrors</t>
    </r>
    <r>
      <rPr>
        <rFont val="Calibri"/>
        <color rgb="FF000000"/>
        <sz val="11.0"/>
      </rPr>
      <t>, outside heated, power-adjustable</t>
    </r>
    <r>
      <rPr>
        <rFont val="Calibri"/>
        <color rgb="FF000000"/>
        <sz val="11.0"/>
      </rPr>
      <t>, power-folding, driver-side auto-dimming with turn signal indicators</t>
    </r>
  </si>
  <si>
    <r>
      <rPr>
        <rFont val="Calibri"/>
        <b/>
        <color rgb="FF000000"/>
        <sz val="11.0"/>
      </rPr>
      <t>Exterior accents</t>
    </r>
    <r>
      <rPr>
        <rFont val="Calibri"/>
        <color rgb="FF000000"/>
        <sz val="11.0"/>
      </rPr>
      <t>, Carbon Flash</t>
    </r>
    <r>
      <rPr>
        <rFont val="Calibri"/>
        <color rgb="FF000000"/>
        <sz val="11.0"/>
      </rPr>
      <t>, side vents and front/rear grille accents</t>
    </r>
    <r>
      <rPr>
        <rFont val="Calibri"/>
        <color rgb="FF000000"/>
        <sz val="11.0"/>
      </rPr>
      <t xml:space="preserve">
</t>
    </r>
    <r>
      <rPr>
        <rFont val="Calibri"/>
        <b/>
        <color rgb="FF000000"/>
        <sz val="9.0"/>
      </rPr>
      <t>1. Also includes tonneau grille.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</si>
  <si>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</si>
  <si>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</si>
  <si>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</si>
  <si>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Carbon Flash Exterior Badge Package</t>
    </r>
  </si>
  <si>
    <r>
      <rPr>
        <rFont val="Calibri"/>
        <b/>
        <color rgb="FF000000"/>
        <sz val="11.0"/>
      </rPr>
      <t>Suspension</t>
    </r>
    <r>
      <rPr>
        <rFont val="Calibri"/>
        <color rgb="FF000000"/>
        <sz val="11.0"/>
      </rPr>
      <t>, Corvette standard</t>
    </r>
  </si>
  <si>
    <r>
      <rPr>
        <rFont val="Calibri"/>
        <b/>
        <color rgb="FF000000"/>
        <sz val="11.0"/>
      </rPr>
      <t>Suspension</t>
    </r>
    <r>
      <rPr>
        <rFont val="Calibri"/>
        <color rgb="FF000000"/>
        <sz val="11.0"/>
      </rPr>
      <t>, Z51 performance</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</si>
  <si>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</si>
  <si>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</si>
  <si>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</si>
  <si>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</si>
  <si>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</si>
  <si>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</si>
  <si>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Differential</t>
    </r>
    <r>
      <rPr>
        <rFont val="Calibri"/>
        <color rgb="FF000000"/>
        <sz val="11.0"/>
      </rPr>
      <t>, mechanical limited-slip</t>
    </r>
  </si>
  <si>
    <r>
      <rPr>
        <rFont val="Calibri"/>
        <b/>
        <color rgb="FF000000"/>
        <sz val="11.0"/>
      </rPr>
      <t>Differential</t>
    </r>
    <r>
      <rPr>
        <rFont val="Calibri"/>
        <color rgb="FF000000"/>
        <sz val="11.0"/>
      </rPr>
      <t>, electronic limited-slip</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</si>
  <si>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</si>
  <si>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</si>
  <si>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</si>
  <si>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</si>
  <si>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</si>
  <si>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</si>
  <si>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Rear axle</t>
    </r>
    <r>
      <rPr>
        <rFont val="Calibri"/>
        <color rgb="FF000000"/>
        <sz val="11.0"/>
      </rPr>
      <t>, performance ratio</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</si>
  <si>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</si>
  <si>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</si>
  <si>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</si>
  <si>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</si>
  <si>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</si>
  <si>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</si>
  <si>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Infotainment system</t>
    </r>
    <r>
      <rPr>
        <rFont val="Calibri"/>
        <color rgb="FF000000"/>
        <sz val="11.0"/>
      </rPr>
      <t xml:space="preserve"> with Google Built-In</t>
    </r>
    <r>
      <rPr>
        <rFont val="Calibri"/>
        <color rgb="FF000000"/>
        <sz val="11.0"/>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</si>
  <si>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r>
      <rPr>
        <rFont val="Calibri"/>
        <b/>
        <color rgb="FF000000"/>
        <sz val="11.0"/>
      </rPr>
      <t>Sueded Microfiber-Wrapped Upper Interior Trim Package</t>
    </r>
    <r>
      <rPr>
        <rFont val="Calibri"/>
        <color rgb="FF000000"/>
        <sz val="11.0"/>
      </rPr>
      <t>, includes headliner, visors, trim above windshield and rear window, and A-pillar trim</t>
    </r>
  </si>
  <si>
    <r>
      <rPr>
        <rFont val="Calibri"/>
        <b/>
        <color rgb="FF000000"/>
        <sz val="11.0"/>
      </rPr>
      <t>Brakes</t>
    </r>
    <r>
      <rPr>
        <rFont val="Calibri"/>
        <color rgb="FF000000"/>
        <sz val="11.0"/>
      </rPr>
      <t>, Z51 performance</t>
    </r>
    <r>
      <rPr>
        <rFont val="Calibri"/>
        <color rgb="FF000000"/>
        <sz val="11.0"/>
      </rPr>
      <t>, larger brake rotors with Z51 logo on calipers; 13.6" (345 mm) front and 13.8" (350 mm) rear</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</si>
  <si>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</si>
  <si>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</si>
  <si>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</si>
  <si>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</si>
  <si>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</si>
  <si>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</si>
  <si>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Calipers</t>
    </r>
    <r>
      <rPr>
        <rFont val="Calibri"/>
        <color rgb="FF000000"/>
        <sz val="11.0"/>
      </rPr>
      <t>, Black</t>
    </r>
    <r>
      <rPr>
        <rFont val="Calibri"/>
        <color rgb="FF000000"/>
        <sz val="11.0"/>
      </rPr>
      <t xml:space="preserve"> painted</t>
    </r>
  </si>
  <si>
    <r>
      <rPr>
        <rFont val="Calibri"/>
        <b/>
        <color rgb="FF000000"/>
        <sz val="11.0"/>
      </rPr>
      <t>Brakes</t>
    </r>
    <r>
      <rPr>
        <rFont val="Calibri"/>
        <color rgb="FF000000"/>
        <sz val="11.0"/>
      </rPr>
      <t>, 4-wheel antilock, 4-wheel disc</t>
    </r>
    <r>
      <rPr>
        <rFont val="Calibri"/>
        <color rgb="FF000000"/>
        <sz val="11.0"/>
      </rPr>
      <t>, 12.6" (321 mm) front and 13.3" (339 mm) rear brake rotors</t>
    </r>
  </si>
  <si>
    <r>
      <rPr>
        <rFont val="Calibri"/>
        <b/>
        <color rgb="FFFF0000"/>
        <sz val="11.0"/>
      </rPr>
      <t xml:space="preserve">NEW!  </t>
    </r>
    <r>
      <rPr>
        <rFont val="Calibri"/>
        <b/>
        <color rgb="FF000000"/>
        <sz val="11.0"/>
      </rPr>
      <t>Wireless Phone Charging</t>
    </r>
    <r>
      <rPr>
        <rFont val="Calibri"/>
        <color rgb="FF000000"/>
        <sz val="11.0"/>
      </rPr>
      <t>, wireless charging pad for phone or portable devices, located on center console</t>
    </r>
  </si>
  <si>
    <r>
      <rPr>
        <rFont val="Calibri"/>
        <b/>
        <color rgb="FFFF0000"/>
        <sz val="11.0"/>
      </rPr>
      <t xml:space="preserve">NEW!  </t>
    </r>
    <r>
      <rPr>
        <rFont val="Calibri"/>
        <b/>
        <color rgb="FF000000"/>
        <sz val="11.0"/>
      </rPr>
      <t>Wireless Phone Charging</t>
    </r>
    <r>
      <rPr>
        <rFont val="Calibri"/>
        <color rgb="FF000000"/>
        <sz val="11.0"/>
      </rPr>
      <t>, 2 wireless charging pads for phone or portable devices, located on center console and between seatbacks</t>
    </r>
  </si>
  <si>
    <r>
      <rPr>
        <rFont val="Calibri"/>
        <b/>
        <color rgb="FF000000"/>
        <sz val="11.0"/>
      </rPr>
      <t>Steering wheel</t>
    </r>
    <r>
      <rPr>
        <rFont val="Calibri"/>
        <color rgb="FF000000"/>
        <sz val="11.0"/>
      </rPr>
      <t>, heated</t>
    </r>
  </si>
  <si>
    <r>
      <rPr>
        <rFont val="Calibri"/>
        <b/>
        <color rgb="FF000000"/>
        <sz val="11.0"/>
      </rPr>
      <t>Seats</t>
    </r>
    <r>
      <rPr>
        <rFont val="Calibri"/>
        <color rgb="FF000000"/>
        <sz val="11.0"/>
      </rPr>
      <t>, heated and vented driver and passenger</t>
    </r>
  </si>
  <si>
    <r>
      <rPr>
        <rFont val="Calibri"/>
        <b/>
        <color rgb="FF000000"/>
        <sz val="11.0"/>
      </rPr>
      <t>Engine</t>
    </r>
    <r>
      <rPr>
        <rFont val="Calibri"/>
        <color rgb="FF000000"/>
        <sz val="11.0"/>
      </rPr>
      <t>, 6.2L V8 DI</t>
    </r>
    <r>
      <rPr>
        <rFont val="Calibri"/>
        <color rgb="FF000000"/>
        <sz val="11.0"/>
      </rPr>
      <t>, high-output, Variable Valve Timing (VVT), Active Fuel Management (AFM) (490 hp [365.4 kW] @ 6450 rpm, 465 lb-ft of torque [627.8 N-m] @ 5150 rpm)</t>
    </r>
  </si>
  <si>
    <r>
      <rPr>
        <rFont val="Calibri"/>
        <b/>
        <color rgb="FF000000"/>
        <sz val="11.0"/>
      </rPr>
      <t>Transmission</t>
    </r>
    <r>
      <rPr>
        <rFont val="Calibri"/>
        <color rgb="FF000000"/>
        <sz val="11.0"/>
      </rPr>
      <t>, 8-speed dual clutch</t>
    </r>
    <r>
      <rPr>
        <rFont val="Calibri"/>
        <color rgb="FF000000"/>
        <sz val="11.0"/>
      </rPr>
      <t>, includes manual and auto modes</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</si>
  <si>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</si>
  <si>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leather-wrapped</t>
    </r>
  </si>
  <si>
    <r>
      <rPr>
        <rFont val="Calibri"/>
        <b/>
        <color rgb="FF000000"/>
        <sz val="11.0"/>
      </rPr>
      <t>Wireless Apple CarPlay/Wireless Android Auto</t>
    </r>
  </si>
  <si>
    <t>Q8P</t>
  </si>
  <si>
    <r>
      <rPr>
        <rFont val="Calibri"/>
        <b/>
        <color rgb="FF000000"/>
        <sz val="11.0"/>
      </rPr>
      <t>Wheels</t>
    </r>
    <r>
      <rPr>
        <rFont val="Calibri"/>
        <color rgb="FF000000"/>
        <sz val="11.0"/>
      </rPr>
      <t>, 19" x 8.5" (48.3 cm x 21.6 cm) front and 20" x 11" (50.8 cm x 27.9 cm) rear 5-open-spoke Bright Silver-painted aluminum</t>
    </r>
  </si>
  <si>
    <r>
      <rPr>
        <rFont val="Calibri"/>
        <b/>
        <color rgb="FFFF0000"/>
        <sz val="11.0"/>
      </rPr>
      <t xml:space="preserve">NEW!  </t>
    </r>
    <r>
      <rPr>
        <rFont val="Calibri"/>
        <b/>
        <color rgb="FF000000"/>
        <sz val="11.0"/>
      </rPr>
      <t>Wheels</t>
    </r>
    <r>
      <rPr>
        <rFont val="Calibri"/>
        <color rgb="FF000000"/>
        <sz val="11.0"/>
      </rPr>
      <t>, 19" x 8.5" (48.3 cm x 21.6 cm) front and 20" x 11" (50.8 cm x 27.9 cm) rear 5-split-spoke Pearl Nickel forged aluminum</t>
    </r>
  </si>
  <si>
    <r>
      <rPr>
        <rFont val="Calibri"/>
        <b/>
        <color rgb="FF000000"/>
        <sz val="11.0"/>
      </rPr>
      <t>Tires</t>
    </r>
    <r>
      <rPr>
        <rFont val="Calibri"/>
        <color rgb="FF000000"/>
        <sz val="11.0"/>
      </rPr>
      <t>, 245/35ZR19 front and 305/30ZR20 rear, blackwall, high performance</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</si>
  <si>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</si>
  <si>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</si>
  <si>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</si>
  <si>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</si>
  <si>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</si>
  <si>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</si>
  <si>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Removes OnStar Basics (OnStar Fleet Basics for Fleet)</t>
    </r>
    <r>
      <rPr>
        <rFont val="Calibri"/>
        <color rgb="FF000000"/>
        <sz val="11.0"/>
      </rPr>
      <t xml:space="preserve">
</t>
    </r>
    <r>
      <rPr>
        <rFont val="Calibri"/>
        <b/>
        <color rgb="FF000000"/>
        <sz val="9.0"/>
      </rPr>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</si>
  <si>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</si>
  <si>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</si>
  <si>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</si>
  <si>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</si>
  <si>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</si>
  <si>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</si>
  <si>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Spoiler</t>
    </r>
    <r>
      <rPr>
        <rFont val="Calibri"/>
        <color rgb="FF000000"/>
        <sz val="11.0"/>
      </rPr>
      <t>, rear, Z51</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</si>
  <si>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</si>
  <si>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</si>
  <si>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</si>
  <si>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</si>
  <si>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</si>
  <si>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</si>
  <si>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Headlamps</t>
    </r>
    <r>
      <rPr>
        <rFont val="Calibri"/>
        <color rgb="FF000000"/>
        <sz val="11.0"/>
      </rPr>
      <t>, LED</t>
    </r>
  </si>
  <si>
    <r>
      <rPr>
        <rFont val="Calibri"/>
        <b/>
        <color rgb="FF000000"/>
        <sz val="11.0"/>
      </rPr>
      <t>Teen Driver</t>
    </r>
    <r>
      <rPr>
        <rFont val="Calibri"/>
        <color rgb="FF000000"/>
        <sz val="11.0"/>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</si>
  <si>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rFont val="Calibri"/>
        <b/>
        <color rgb="FF000000"/>
        <sz val="11.0"/>
      </rPr>
      <t>IntelliBeam</t>
    </r>
    <r>
      <rPr>
        <rFont val="Calibri"/>
        <color rgb="FF000000"/>
        <sz val="11.0"/>
      </rPr>
      <t>, auto high beam</t>
    </r>
  </si>
  <si>
    <r>
      <rPr>
        <rFont val="Calibri"/>
        <b/>
        <color rgb="FF000000"/>
        <sz val="11.0"/>
      </rPr>
      <t>Headlamp control</t>
    </r>
    <r>
      <rPr>
        <rFont val="Calibri"/>
        <color rgb="FF000000"/>
        <sz val="11.0"/>
      </rPr>
      <t>, automatic leveling system</t>
    </r>
    <r>
      <rPr>
        <rFont val="Calibri"/>
        <color rgb="FF000000"/>
        <sz val="11.0"/>
      </rPr>
      <t xml:space="preserve">
</t>
    </r>
    <r>
      <rPr>
        <rFont val="Calibri"/>
        <b/>
        <color rgb="FF000000"/>
        <sz val="9.0"/>
      </rPr>
      <t>1. Included and only available with (E60) front lift adjustable height.</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</si>
  <si>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</si>
  <si>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</si>
  <si>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</si>
  <si>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</si>
  <si>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SiriusXM with 360L</t>
    </r>
    <r>
      <rPr>
        <rFont val="Calibri"/>
        <color rgb="FF000000"/>
        <sz val="11.0"/>
      </rPr>
      <t xml:space="preserve"> Trial Subscription. SiriusXM with 360L transforms your customers' ride with our most extensive and personalized radio experience on the road.</t>
    </r>
    <r>
      <rPr>
        <rFont val="Calibri"/>
        <color rgb="FF000000"/>
        <sz val="11.0"/>
      </rPr>
      <t xml:space="preserve">
</t>
    </r>
    <r>
      <rPr>
        <rFont val="Calibri"/>
        <b/>
        <color rgb="FF000000"/>
        <sz val="9.0"/>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 Some features require GM connected vehicle services.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</si>
  <si>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</si>
  <si>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</si>
  <si>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</si>
  <si>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</si>
  <si>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</si>
  <si>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</si>
  <si>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FF0000"/>
        <sz val="11.0"/>
      </rPr>
      <t xml:space="preserve">NEW!  </t>
    </r>
    <r>
      <rPr>
        <rFont val="Calibri"/>
        <b/>
        <color rgb="FF000000"/>
        <sz val="11.0"/>
      </rPr>
      <t>5G vehicle connectivity</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</si>
  <si>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</si>
  <si>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</si>
  <si>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</si>
  <si>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</si>
  <si>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</si>
  <si>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</si>
  <si>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Compass</t>
    </r>
    <r>
      <rPr>
        <rFont val="Calibri"/>
        <color rgb="FF000000"/>
        <sz val="11.0"/>
      </rPr>
      <t>, digital</t>
    </r>
  </si>
  <si>
    <r>
      <rPr>
        <rFont val="Calibri"/>
        <b/>
        <color rgb="FF000000"/>
        <sz val="11.0"/>
      </rPr>
      <t>Rear Park Assist</t>
    </r>
  </si>
  <si>
    <r>
      <rPr>
        <rFont val="Calibri"/>
        <b/>
        <color rgb="FF000000"/>
        <sz val="11.0"/>
      </rPr>
      <t>OnStar services capable</t>
    </r>
    <r>
      <rPr>
        <rFont val="Calibri"/>
        <color rgb="FF000000"/>
        <sz val="11.0"/>
      </rPr>
      <t xml:space="preserve">
</t>
    </r>
    <r>
      <rPr>
        <rFont val="Calibri"/>
        <b/>
        <color rgb="FF000000"/>
        <sz val="9.0"/>
      </rPr>
      <t>1. See onstar.com for details and limitations. Services vary by model. Service plan required.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</si>
  <si>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</si>
  <si>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</si>
  <si>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</si>
  <si>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</si>
  <si>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</si>
  <si>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</si>
  <si>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Forward Collision Alert</t>
    </r>
  </si>
  <si>
    <r>
      <rPr>
        <rFont val="Calibri"/>
        <b/>
        <color rgb="FF000000"/>
        <sz val="11.0"/>
      </rPr>
      <t>Rear Cross Traffic Alert</t>
    </r>
  </si>
  <si>
    <r>
      <rPr>
        <rFont val="Calibri"/>
        <b/>
        <color rgb="FF000000"/>
        <sz val="11.0"/>
      </rPr>
      <t>Side Blind Zone Alert</t>
    </r>
  </si>
  <si>
    <r>
      <rPr>
        <rFont val="Calibri"/>
        <b/>
        <color rgb="FF000000"/>
        <sz val="11.0"/>
      </rPr>
      <t>Universal Home Remote</t>
    </r>
    <r>
      <rPr>
        <rFont val="Calibri"/>
        <color rgb="FF000000"/>
        <sz val="11.0"/>
      </rPr>
      <t xml:space="preserve">, includes garage door opener, 3-channel programmable, located on driver visor </t>
    </r>
  </si>
  <si>
    <r>
      <rPr>
        <rFont val="Calibri"/>
        <b/>
        <color rgb="FF000000"/>
        <sz val="11.0"/>
      </rPr>
      <t>Lane Keep Assist with Lane Departure Warning</t>
    </r>
  </si>
  <si>
    <r>
      <rPr>
        <rFont val="Calibri"/>
        <b/>
        <color rgb="FF000000"/>
        <sz val="11.0"/>
      </rPr>
      <t>Automatic Emergency Braking</t>
    </r>
  </si>
  <si>
    <r>
      <rPr>
        <rFont val="Calibri"/>
        <b/>
        <color rgb="FF000000"/>
        <sz val="11.0"/>
      </rPr>
      <t>Front Pedestrian and Bicyclist Braking</t>
    </r>
  </si>
  <si>
    <r>
      <rPr>
        <rFont val="Calibri"/>
        <b/>
        <color rgb="FF000000"/>
        <sz val="11.0"/>
      </rPr>
      <t>Audio system feature</t>
    </r>
    <r>
      <rPr>
        <rFont val="Calibri"/>
        <color rgb="FF000000"/>
        <sz val="11.0"/>
      </rPr>
      <t>, Bose Performance Series Sound System</t>
    </r>
    <r>
      <rPr>
        <rFont val="Calibri"/>
        <color rgb="FF000000"/>
        <sz val="11.0"/>
      </rPr>
      <t xml:space="preserve"> with 14 speakers</t>
    </r>
  </si>
  <si>
    <r>
      <rPr>
        <rFont val="Calibri"/>
        <b/>
        <color rgb="FF000000"/>
        <sz val="11.0"/>
      </rPr>
      <t>Audio system feature</t>
    </r>
    <r>
      <rPr>
        <rFont val="Calibri"/>
        <color rgb="FF000000"/>
        <sz val="11.0"/>
      </rPr>
      <t>, Bose Premium 10-speaker system</t>
    </r>
  </si>
  <si>
    <r>
      <rPr>
        <rFont val="Calibri"/>
        <b/>
        <color rgb="FF000000"/>
        <sz val="11.0"/>
      </rPr>
      <t>Theft-deterrent system</t>
    </r>
    <r>
      <rPr>
        <rFont val="Calibri"/>
        <color rgb="FF000000"/>
        <sz val="11.0"/>
      </rPr>
      <t>, electrical, unauthorized entry, activates the horn</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</si>
  <si>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</si>
  <si>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</si>
  <si>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Head-Up Display</t>
    </r>
    <r>
      <rPr>
        <rFont val="Calibri"/>
        <color rgb="FF000000"/>
        <sz val="11.0"/>
      </rPr>
      <t>, color display with 3 modes: tour, sport, track; can display speed, gear, tach, turn signals, bright headlamps, turn-by-turn navigation, g-meter, speed limit</t>
    </r>
  </si>
  <si>
    <r>
      <rPr>
        <rFont val="Calibri"/>
        <b/>
        <color rgb="FF000000"/>
        <sz val="11.0"/>
      </rPr>
      <t>HD Front and Rear Vision Cameras</t>
    </r>
    <r>
      <rPr>
        <rFont val="Calibri"/>
        <color rgb="FF000000"/>
        <sz val="11.0"/>
      </rPr>
      <t>, front camera is curb view</t>
    </r>
  </si>
  <si>
    <r>
      <rPr>
        <rFont val="Calibri"/>
        <b/>
        <color rgb="FF000000"/>
        <sz val="11.0"/>
      </rPr>
      <t>HD Rear Vision Camera</t>
    </r>
  </si>
  <si>
    <r>
      <rPr>
        <rFont val="Calibri"/>
        <b/>
        <color rgb="FF000000"/>
        <sz val="11.0"/>
      </rPr>
      <t>Cooling system</t>
    </r>
    <r>
      <rPr>
        <rFont val="Calibri"/>
        <color rgb="FF000000"/>
        <sz val="11.0"/>
      </rPr>
      <t>, heavy-duty</t>
    </r>
    <r>
      <rPr>
        <rFont val="Calibri"/>
        <color rgb="FF000000"/>
        <sz val="11.0"/>
      </rPr>
      <t xml:space="preserve">
</t>
    </r>
    <r>
      <rPr>
        <rFont val="Calibri"/>
        <b/>
        <color rgb="FF000000"/>
        <sz val="9.0"/>
      </rPr>
      <t>1. Included and only available with (Z51) Z51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</si>
  <si>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</si>
  <si>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</si>
  <si>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</si>
  <si>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</si>
  <si>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</si>
  <si>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</si>
  <si>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Vehicle health management</t>
    </r>
    <r>
      <rPr>
        <rFont val="Calibri"/>
        <color rgb="FF000000"/>
        <sz val="11.0"/>
      </rPr>
      <t>, provides advanced warning of vehicle issues</t>
    </r>
  </si>
  <si>
    <r>
      <rPr>
        <rFont val="Calibri"/>
        <b/>
        <color rgb="FF000000"/>
        <sz val="11.0"/>
      </rPr>
      <t>Wi-Fi Hotspot capable</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</si>
  <si>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</si>
  <si>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</si>
  <si>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</si>
  <si>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</si>
  <si>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</si>
  <si>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</si>
  <si>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Tires</t>
    </r>
    <r>
      <rPr>
        <rFont val="Calibri"/>
        <color rgb="FF000000"/>
        <sz val="11.0"/>
      </rPr>
      <t>, 245/35ZR19 front and 305/30ZR20 rear, blackwall, all-season, performance</t>
    </r>
  </si>
  <si>
    <r>
      <rPr>
        <rFont val="Calibri"/>
        <b/>
        <color rgb="FF000000"/>
        <sz val="11.0"/>
      </rPr>
      <t>Active handling stability control</t>
    </r>
    <r>
      <rPr>
        <rFont val="Calibri"/>
        <color rgb="FF000000"/>
        <sz val="11.0"/>
      </rPr>
      <t>, improves traction and enhances vehicle stability</t>
    </r>
  </si>
  <si>
    <r>
      <rPr>
        <rFont val="Calibri"/>
        <b/>
        <color rgb="FF000000"/>
        <sz val="11.0"/>
      </rPr>
      <t>Air filtration system</t>
    </r>
    <r>
      <rPr>
        <rFont val="Calibri"/>
        <color rgb="FF000000"/>
        <sz val="11.0"/>
      </rPr>
      <t xml:space="preserve"> with pollen filter</t>
    </r>
  </si>
  <si>
    <r>
      <rPr>
        <rFont val="Calibri"/>
        <b/>
        <color rgb="FF000000"/>
        <sz val="11.0"/>
      </rPr>
      <t>Antenna</t>
    </r>
    <r>
      <rPr>
        <rFont val="Calibri"/>
        <color rgb="FF000000"/>
        <sz val="11.0"/>
      </rPr>
      <t>, integral front and rear</t>
    </r>
  </si>
  <si>
    <r>
      <rPr>
        <rFont val="Calibri"/>
        <b/>
        <color rgb="FF000000"/>
        <sz val="11.0"/>
      </rPr>
      <t>Console</t>
    </r>
    <r>
      <rPr>
        <rFont val="Calibri"/>
        <color rgb="FF000000"/>
        <sz val="11.0"/>
      </rPr>
      <t>, floor</t>
    </r>
    <r>
      <rPr>
        <rFont val="Calibri"/>
        <color rgb="FF000000"/>
        <sz val="11.0"/>
      </rPr>
      <t>, 2 cup holders, auxiliary power outlet, 3 USB ports (2 type-C, 1 type-A), passenger grab handle and lockable storage</t>
    </r>
  </si>
  <si>
    <r>
      <rPr>
        <rFont val="Calibri"/>
        <b/>
        <color rgb="FF000000"/>
        <sz val="11.0"/>
      </rPr>
      <t>Cruise control</t>
    </r>
    <r>
      <rPr>
        <rFont val="Calibri"/>
        <color rgb="FF000000"/>
        <sz val="11.0"/>
      </rPr>
      <t>, electronic with set and resume speed</t>
    </r>
  </si>
  <si>
    <r>
      <rPr>
        <rFont val="Calibri"/>
        <b/>
        <color rgb="FF000000"/>
        <sz val="11.0"/>
      </rPr>
      <t>Custom Leather Wrapped Interior Package</t>
    </r>
    <r>
      <rPr>
        <rFont val="Calibri"/>
        <color rgb="FF000000"/>
        <sz val="11.0"/>
      </rPr>
      <t>, features leather-wrapped upper instrument panel, door trim panels and console</t>
    </r>
    <r>
      <rPr>
        <rFont val="Calibri"/>
        <color rgb="FF000000"/>
        <sz val="11.0"/>
      </rPr>
      <t xml:space="preserve">
</t>
    </r>
    <r>
      <rPr>
        <rFont val="Calibri"/>
        <b/>
        <color rgb="FF000000"/>
        <sz val="9.0"/>
      </rPr>
      <t>1. When (HUB/HUC) Ultimate Suede Jet Black is ordered, the instrument panel, door trim panels and console will be suede.</t>
    </r>
  </si>
  <si>
    <t/>
  </si>
  <si>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</si>
  <si>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</si>
  <si>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b/>
        <color rgb="FF000000"/>
        <sz val="11.0"/>
      </rPr>
      <t>Daytime running lamps</t>
    </r>
  </si>
  <si>
    <r>
      <rPr>
        <rFont val="Calibri"/>
        <b/>
        <color rgb="FF000000"/>
        <sz val="11.0"/>
      </rPr>
      <t>Door locks</t>
    </r>
    <r>
      <rPr>
        <rFont val="Calibri"/>
        <color rgb="FF000000"/>
        <sz val="11.0"/>
      </rPr>
      <t>, power programmable</t>
    </r>
    <r>
      <rPr>
        <rFont val="Calibri"/>
        <color rgb="FF000000"/>
        <sz val="11.0"/>
      </rPr>
      <t xml:space="preserve"> with lockout protection</t>
    </r>
  </si>
  <si>
    <r>
      <rPr>
        <rFont val="Calibri"/>
        <b/>
        <color rgb="FF000000"/>
        <sz val="11.0"/>
      </rPr>
      <t>Exhaust</t>
    </r>
    <r>
      <rPr>
        <rFont val="Calibri"/>
        <color rgb="FF000000"/>
        <sz val="11.0"/>
      </rPr>
      <t>, aluminized stainless-steel</t>
    </r>
    <r>
      <rPr>
        <rFont val="Calibri"/>
        <color rgb="FF000000"/>
        <sz val="11.0"/>
      </rPr>
      <t xml:space="preserve"> with stainless-steel tips</t>
    </r>
  </si>
  <si>
    <r>
      <rPr>
        <rFont val="Calibri"/>
        <b/>
        <color rgb="FF000000"/>
        <sz val="11.0"/>
      </rPr>
      <t>Floor mats</t>
    </r>
    <r>
      <rPr>
        <rFont val="Calibri"/>
        <color rgb="FF000000"/>
        <sz val="11.0"/>
      </rPr>
      <t>, carpeted</t>
    </r>
  </si>
  <si>
    <r>
      <rPr>
        <rFont val="Calibri"/>
        <b/>
        <color rgb="FF000000"/>
        <sz val="11.0"/>
      </rPr>
      <t>Frame</t>
    </r>
    <r>
      <rPr>
        <rFont val="Calibri"/>
        <color rgb="FF000000"/>
        <sz val="11.0"/>
      </rPr>
      <t>, aluminum</t>
    </r>
    <r>
      <rPr>
        <rFont val="Calibri"/>
        <color rgb="FF000000"/>
        <sz val="11.0"/>
      </rPr>
      <t xml:space="preserve"> structure</t>
    </r>
  </si>
  <si>
    <r>
      <rPr>
        <rFont val="Calibri"/>
        <b/>
        <color rgb="FF000000"/>
        <sz val="11.0"/>
      </rPr>
      <t>Glass</t>
    </r>
    <r>
      <rPr>
        <rFont val="Calibri"/>
        <color rgb="FF000000"/>
        <sz val="11.0"/>
      </rPr>
      <t>, Solar-Ray light-tinted</t>
    </r>
  </si>
  <si>
    <r>
      <rPr>
        <rFont val="Calibri"/>
        <b/>
        <color rgb="FF000000"/>
        <sz val="11.0"/>
      </rPr>
      <t>Hatch release</t>
    </r>
    <r>
      <rPr>
        <rFont val="Calibri"/>
        <color rgb="FF000000"/>
        <sz val="11.0"/>
      </rPr>
      <t>, push button open</t>
    </r>
  </si>
  <si>
    <r>
      <rPr>
        <rFont val="Calibri"/>
        <b/>
        <color rgb="FF000000"/>
        <sz val="11.0"/>
      </rPr>
      <t>Keyless Open and Start</t>
    </r>
    <r>
      <rPr>
        <rFont val="Calibri"/>
        <color rgb="FF000000"/>
        <sz val="11.0"/>
      </rPr>
      <t>, includes 2 remote transmitters that enable automatic door unlock and open by touching door switch</t>
    </r>
  </si>
  <si>
    <r>
      <rPr>
        <rFont val="Calibri"/>
        <b/>
        <color rgb="FF000000"/>
        <sz val="11.0"/>
      </rPr>
      <t>Lighting</t>
    </r>
    <r>
      <rPr>
        <rFont val="Calibri"/>
        <color rgb="FF000000"/>
        <sz val="11.0"/>
      </rPr>
      <t>, interior</t>
    </r>
    <r>
      <rPr>
        <rFont val="Calibri"/>
        <color rgb="FF000000"/>
        <sz val="11.0"/>
      </rPr>
      <t>, theater dimming</t>
    </r>
  </si>
  <si>
    <r>
      <rPr>
        <rFont val="Calibri"/>
        <b/>
        <color rgb="FF000000"/>
        <sz val="11.0"/>
      </rPr>
      <t>Oil life monitoring system</t>
    </r>
  </si>
  <si>
    <r>
      <rPr>
        <rFont val="Calibri"/>
        <b/>
        <color rgb="FF000000"/>
        <sz val="11.0"/>
      </rPr>
      <t>OnStar Basics (OnStar Fleet Basics for Fleet)</t>
    </r>
    <r>
      <rPr>
        <rFont val="Calibri"/>
        <color rgb="FF000000"/>
        <sz val="11.0"/>
      </rPr>
      <t xml:space="preserve"> Drive confidently with core OnStar services including remote commands, built-in voice assistance, real-time traffic and navigation, and Automatic Crash Response to help if you're in need.</t>
    </r>
    <r>
      <rPr>
        <rFont val="Calibri"/>
        <color rgb="FF000000"/>
        <sz val="11.0"/>
      </rPr>
      <t xml:space="preserve">
</t>
    </r>
    <r>
      <rPr>
        <rFont val="Calibri"/>
        <b/>
        <color rgb="FF000000"/>
        <sz val="9.0"/>
      </rPr>
      <t>1. Requires (UE1) OnStar. OnStar Basics includes remote commands, Navigation, Voice Assistance, and Automatic Crash Response, for eligible vehicles with compatible software. OnStar Basics is standard for 8 years; OnStar plan, working electrical system, cell reception and GPS signal required. OnStar links to emergency services. Service coverage varies with conditions and location. Service availability, features and functionality vary by device and software version. See onstar.com for details and limitations.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</si>
  <si>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</si>
  <si>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</si>
  <si>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</si>
  <si>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</si>
  <si>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</si>
  <si>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</si>
  <si>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Performance data and video recorder</t>
    </r>
  </si>
  <si>
    <t>A</t>
  </si>
  <si>
    <r>
      <rPr>
        <rFont val="Calibri"/>
        <b/>
        <color rgb="FF000000"/>
        <sz val="11.0"/>
      </rPr>
      <t>Remote vehicle starter system</t>
    </r>
  </si>
  <si>
    <r>
      <rPr>
        <rFont val="Calibri"/>
        <b/>
        <color rgb="FF000000"/>
        <sz val="11.0"/>
      </rPr>
      <t>Seats</t>
    </r>
    <r>
      <rPr>
        <rFont val="Calibri"/>
        <color rgb="FF000000"/>
        <sz val="11.0"/>
      </rPr>
      <t>, GT2 bucket</t>
    </r>
  </si>
  <si>
    <r>
      <rPr>
        <rFont val="Calibri"/>
        <b/>
        <color rgb="FF000000"/>
        <sz val="11.0"/>
      </rPr>
      <t>Steering wheel controls</t>
    </r>
    <r>
      <rPr>
        <rFont val="Calibri"/>
        <color rgb="FF000000"/>
        <sz val="11.0"/>
      </rPr>
      <t>, audio, voice recognition, cruise and Driver Information Center</t>
    </r>
  </si>
  <si>
    <r>
      <rPr>
        <rFont val="Calibri"/>
        <b/>
        <color rgb="FF000000"/>
        <sz val="11.0"/>
      </rPr>
      <t>Steering</t>
    </r>
    <r>
      <rPr>
        <rFont val="Calibri"/>
        <color rgb="FF000000"/>
        <sz val="11.0"/>
      </rPr>
      <t>, power</t>
    </r>
    <r>
      <rPr>
        <rFont val="Calibri"/>
        <color rgb="FF000000"/>
        <sz val="11.0"/>
      </rPr>
      <t>, electric, speed-sensitive, rack-and-pinion, variable ratio</t>
    </r>
  </si>
  <si>
    <r>
      <rPr>
        <rFont val="Calibri"/>
        <b/>
        <color rgb="FF000000"/>
        <sz val="11.0"/>
      </rPr>
      <t>Theft-deterrent system</t>
    </r>
    <r>
      <rPr>
        <rFont val="Calibri"/>
        <color rgb="FF000000"/>
        <sz val="11.0"/>
      </rPr>
      <t>, vehicle, push button start, immobilizer and audible visual alarm</t>
    </r>
  </si>
  <si>
    <r>
      <rPr>
        <rFont val="Calibri"/>
        <b/>
        <color rgb="FF000000"/>
        <sz val="11.0"/>
      </rPr>
      <t>Traction control</t>
    </r>
    <r>
      <rPr>
        <rFont val="Calibri"/>
        <color rgb="FF000000"/>
        <sz val="11.0"/>
      </rPr>
      <t>, all-speed</t>
    </r>
  </si>
  <si>
    <r>
      <rPr>
        <rFont val="Calibri"/>
        <b/>
        <color rgb="FF000000"/>
        <sz val="11.0"/>
      </rPr>
      <t>Trunk release</t>
    </r>
    <r>
      <rPr>
        <rFont val="Calibri"/>
        <color rgb="FF000000"/>
        <sz val="11.0"/>
      </rPr>
      <t>, push button open</t>
    </r>
  </si>
  <si>
    <r>
      <rPr>
        <rFont val="Calibri"/>
        <b/>
        <color rgb="FF000000"/>
        <sz val="11.0"/>
      </rPr>
      <t>Visors</t>
    </r>
    <r>
      <rPr>
        <rFont val="Calibri"/>
        <color rgb="FF000000"/>
        <sz val="11.0"/>
      </rPr>
      <t>, driver and passenger illuminated vanity mirrors</t>
    </r>
    <r>
      <rPr>
        <rFont val="Calibri"/>
        <color rgb="FF000000"/>
        <sz val="11.0"/>
      </rPr>
      <t>, covered</t>
    </r>
  </si>
  <si>
    <r>
      <rPr>
        <rFont val="Calibri"/>
        <b/>
        <color rgb="FF000000"/>
        <sz val="11.0"/>
      </rPr>
      <t>Windows</t>
    </r>
    <r>
      <rPr>
        <rFont val="Calibri"/>
        <color rgb="FF000000"/>
        <sz val="11.0"/>
      </rPr>
      <t>, power</t>
    </r>
    <r>
      <rPr>
        <rFont val="Calibri"/>
        <color rgb="FF000000"/>
        <sz val="11.0"/>
      </rPr>
      <t xml:space="preserve"> with driver and passenger Express-Down/Up</t>
    </r>
  </si>
  <si>
    <r>
      <rPr>
        <rFont val="Calibri"/>
        <b/>
        <color rgb="FF000000"/>
        <sz val="11.0"/>
      </rPr>
      <t>Wipers</t>
    </r>
    <r>
      <rPr>
        <rFont val="Calibri"/>
        <color rgb="FF000000"/>
        <sz val="11.0"/>
      </rPr>
      <t>, front intermittent</t>
    </r>
  </si>
  <si>
    <t>Z06 Coupe
1YH07
1LZ</t>
  </si>
  <si>
    <t>Z06 Coupe
1YH07
2LZ</t>
  </si>
  <si>
    <t>Z06 Coupe
1YH07
3LZ</t>
  </si>
  <si>
    <t>Z06 Convertible
1YH67
1LZ</t>
  </si>
  <si>
    <t>Z06 Convertible
1YH67
2LZ</t>
  </si>
  <si>
    <t>Z06 Convertible
1YH67
3LZ</t>
  </si>
  <si>
    <r>
      <rPr>
        <rFont val="Calibri"/>
        <b/>
        <color rgb="FF000000"/>
        <sz val="11.0"/>
      </rPr>
      <t>Seat belt color</t>
    </r>
    <r>
      <rPr>
        <rFont val="Calibri"/>
        <color rgb="FF000000"/>
        <sz val="11.0"/>
      </rPr>
      <t>, Black</t>
    </r>
    <r>
      <rPr>
        <rFont val="Calibri"/>
        <color rgb="FF000000"/>
        <sz val="11.0"/>
      </rPr>
      <t xml:space="preserve">
</t>
    </r>
    <r>
      <rPr>
        <rFont val="Calibri"/>
        <b/>
        <color rgb="FF000000"/>
        <sz val="9.0"/>
      </rPr>
      <t>1. (HZN/HUF) Natural Dipped interior comes with (3N9) Natural seat belt color; (H8T) Santorini Blue interior comes with (3A9) Santorini Blue seat belt color; (HNK) Adrenaline Red Dipped comes with (3F9) Torch Red seat belt color; (HUW/HUX) Habanero interior and (EMT) Sky Cool/Medium Ash Gray interior comes with (379) Orange seat belt color.</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</si>
  <si>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</si>
  <si>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</si>
  <si>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</si>
  <si>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</si>
  <si>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Airbags</t>
    </r>
    <r>
      <rPr>
        <rFont val="Calibri"/>
        <color rgb="FF000000"/>
        <sz val="11.0"/>
      </rPr>
      <t>, frontal and side-impact, driver and passenger</t>
    </r>
    <r>
      <rPr>
        <rFont val="Calibri"/>
        <color rgb="FF000000"/>
        <sz val="11.0"/>
      </rPr>
      <t xml:space="preserve"> with Passenger Sensing System</t>
    </r>
    <r>
      <rPr>
        <rFont val="Calibri"/>
        <color rgb="FF000000"/>
        <sz val="11.0"/>
      </rPr>
      <t xml:space="preserve">
</t>
    </r>
    <r>
      <rPr>
        <rFont val="Calibri"/>
        <b/>
        <color rgb="FF000000"/>
        <sz val="9.0"/>
      </rPr>
      <t>1. Always use seat belts and child restraints. Never place an infant or child restraint seat in the front seat, even if the airbag is off. See the Owner's Manual for more information.</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</si>
  <si>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</si>
  <si>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</si>
  <si>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</si>
  <si>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</si>
  <si>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</si>
  <si>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</si>
  <si>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Seats</t>
    </r>
    <r>
      <rPr>
        <rFont val="Calibri"/>
        <color rgb="FF000000"/>
        <sz val="11.0"/>
      </rPr>
      <t>, GT1 bucket</t>
    </r>
  </si>
  <si>
    <r>
      <rPr>
        <rFont val="Calibri"/>
        <b/>
        <color rgb="FF000000"/>
        <sz val="11.0"/>
      </rPr>
      <t>Performance Traction Management</t>
    </r>
  </si>
  <si>
    <r>
      <rPr>
        <rFont val="Calibri"/>
        <b/>
        <color rgb="FF000000"/>
        <sz val="11.0"/>
      </rPr>
      <t>Roof panel</t>
    </r>
    <r>
      <rPr>
        <rFont val="Calibri"/>
        <color rgb="FF000000"/>
        <sz val="11.0"/>
      </rPr>
      <t>, body-color, removable</t>
    </r>
  </si>
  <si>
    <r>
      <rPr>
        <rFont val="Calibri"/>
        <b/>
        <color rgb="FF000000"/>
        <sz val="11.0"/>
      </rPr>
      <t>Air conditioning</t>
    </r>
    <r>
      <rPr>
        <rFont val="Calibri"/>
        <color rgb="FF000000"/>
        <sz val="11.0"/>
      </rPr>
      <t>, dual-zone automatic climate control</t>
    </r>
    <r>
      <rPr>
        <rFont val="Calibri"/>
        <color rgb="FF000000"/>
        <sz val="11.0"/>
      </rPr>
      <t>, individual climate settings for driver and passenger, with outside temperature display</t>
    </r>
  </si>
  <si>
    <r>
      <rPr>
        <rFont val="Calibri"/>
        <b/>
        <color rgb="FF000000"/>
        <sz val="11.0"/>
      </rPr>
      <t>Convertible top</t>
    </r>
    <r>
      <rPr>
        <rFont val="Calibri"/>
        <color rgb="FF000000"/>
        <sz val="11.0"/>
      </rPr>
      <t>, retractable</t>
    </r>
    <r>
      <rPr>
        <rFont val="Calibri"/>
        <color rgb="FF000000"/>
        <sz val="11.0"/>
      </rPr>
      <t>, power-folding hard top, painted body-color roof, remote control (down only), includes power glass rear window with integral defogger</t>
    </r>
  </si>
  <si>
    <r>
      <rPr>
        <rFont val="Calibri"/>
        <b/>
        <color rgb="FF000000"/>
        <sz val="11.0"/>
      </rPr>
      <t>Rear Camera Mirror</t>
    </r>
    <r>
      <rPr>
        <rFont val="Calibri"/>
        <color rgb="FF000000"/>
        <sz val="11.0"/>
      </rPr>
      <t>, inside rearview auto-dimming with full camera display</t>
    </r>
  </si>
  <si>
    <r>
      <rPr>
        <rFont val="Calibri"/>
        <b/>
        <color rgb="FF000000"/>
        <sz val="11.0"/>
      </rPr>
      <t>Mirrors</t>
    </r>
    <r>
      <rPr>
        <rFont val="Calibri"/>
        <color rgb="FF000000"/>
        <sz val="11.0"/>
      </rPr>
      <t>, outside heated, power-adjustable</t>
    </r>
    <r>
      <rPr>
        <rFont val="Calibri"/>
        <color rgb="FF000000"/>
        <sz val="11.0"/>
      </rPr>
      <t>, manual-folding with turn signal indicators</t>
    </r>
  </si>
  <si>
    <r>
      <rPr>
        <rFont val="Calibri"/>
        <b/>
        <color rgb="FF000000"/>
        <sz val="11.0"/>
      </rPr>
      <t>Exterior accents</t>
    </r>
    <r>
      <rPr>
        <rFont val="Calibri"/>
        <color rgb="FF000000"/>
        <sz val="11.0"/>
      </rPr>
      <t>, Carbon Flash</t>
    </r>
    <r>
      <rPr>
        <rFont val="Calibri"/>
        <color rgb="FF000000"/>
        <sz val="11.0"/>
      </rPr>
      <t>, side vents and front/rear grille accents</t>
    </r>
    <r>
      <rPr>
        <rFont val="Calibri"/>
        <color rgb="FF000000"/>
        <sz val="11.0"/>
      </rPr>
      <t xml:space="preserve">
</t>
    </r>
    <r>
      <rPr>
        <rFont val="Calibri"/>
        <b/>
        <color rgb="FF000000"/>
        <sz val="9.0"/>
      </rPr>
      <t>1. Also includes tonneau grille.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</si>
  <si>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</si>
  <si>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</si>
  <si>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</si>
  <si>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Carbon Flash Exterior Badge Package</t>
    </r>
  </si>
  <si>
    <r>
      <rPr>
        <rFont val="Calibri"/>
        <b/>
        <color rgb="FF000000"/>
        <sz val="11.0"/>
      </rPr>
      <t>Suspension</t>
    </r>
    <r>
      <rPr>
        <rFont val="Calibri"/>
        <color rgb="FF000000"/>
        <sz val="11.0"/>
      </rPr>
      <t>, performance</t>
    </r>
    <r>
      <rPr>
        <rFont val="Calibri"/>
        <color rgb="FF000000"/>
        <sz val="11.0"/>
      </rPr>
      <t xml:space="preserve"> with Magnetic Selective Ride Control</t>
    </r>
  </si>
  <si>
    <r>
      <rPr>
        <rFont val="Calibri"/>
        <b/>
        <color rgb="FF000000"/>
        <sz val="11.0"/>
      </rPr>
      <t>Rear axle</t>
    </r>
    <r>
      <rPr>
        <rFont val="Calibri"/>
        <color rgb="FF000000"/>
        <sz val="11.0"/>
      </rPr>
      <t>, 5.56 ratio</t>
    </r>
  </si>
  <si>
    <r>
      <rPr>
        <rFont val="Calibri"/>
        <b/>
        <color rgb="FFFF0000"/>
        <sz val="11.0"/>
      </rPr>
      <t xml:space="preserve">NEW!  </t>
    </r>
    <r>
      <rPr>
        <rFont val="Calibri"/>
        <b/>
        <color rgb="FF000000"/>
        <sz val="11.0"/>
      </rPr>
      <t>Infotainment system</t>
    </r>
    <r>
      <rPr>
        <rFont val="Calibri"/>
        <color rgb="FF000000"/>
        <sz val="11.0"/>
      </rPr>
      <t xml:space="preserve"> with Google Built-In</t>
    </r>
    <r>
      <rPr>
        <rFont val="Calibri"/>
        <color rgb="FF000000"/>
        <sz val="11.0"/>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</si>
  <si>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r>
      <rPr>
        <rFont val="Calibri"/>
        <b/>
        <color rgb="FF000000"/>
        <sz val="11.0"/>
      </rPr>
      <t>Brakes</t>
    </r>
    <r>
      <rPr>
        <rFont val="Calibri"/>
        <color rgb="FF000000"/>
        <sz val="11.0"/>
      </rPr>
      <t>, 4-wheel antilock, 4-wheel disc</t>
    </r>
    <r>
      <rPr>
        <rFont val="Calibri"/>
        <color rgb="FF000000"/>
        <sz val="11.0"/>
      </rPr>
      <t>, performance 6-piston front and 4-piston rear</t>
    </r>
  </si>
  <si>
    <r>
      <rPr>
        <rFont val="Calibri"/>
        <b/>
        <color rgb="FF000000"/>
        <sz val="11.0"/>
      </rPr>
      <t>Calipers</t>
    </r>
    <r>
      <rPr>
        <rFont val="Calibri"/>
        <color rgb="FF000000"/>
        <sz val="11.0"/>
      </rPr>
      <t>, Black</t>
    </r>
    <r>
      <rPr>
        <rFont val="Calibri"/>
        <color rgb="FF000000"/>
        <sz val="11.0"/>
      </rPr>
      <t xml:space="preserve"> painted</t>
    </r>
  </si>
  <si>
    <r>
      <rPr>
        <rFont val="Calibri"/>
        <b/>
        <color rgb="FF000000"/>
        <sz val="11.0"/>
      </rPr>
      <t>Calipers</t>
    </r>
    <r>
      <rPr>
        <rFont val="Calibri"/>
        <color rgb="FF000000"/>
        <sz val="11.0"/>
      </rPr>
      <t>, Dark Gray Metallic</t>
    </r>
    <r>
      <rPr>
        <rFont val="Calibri"/>
        <color rgb="FF000000"/>
        <sz val="11.0"/>
      </rPr>
      <t>-painted</t>
    </r>
    <r>
      <rPr>
        <rFont val="Calibri"/>
        <color rgb="FF000000"/>
        <sz val="11.0"/>
      </rPr>
      <t xml:space="preserve">
</t>
    </r>
    <r>
      <rPr>
        <rFont val="Calibri"/>
        <b/>
        <color rgb="FF000000"/>
        <sz val="9.0"/>
      </rPr>
      <t>1. Included and only available with (J57) carbon ceramic brakes.</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</si>
  <si>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</si>
  <si>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</si>
  <si>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</si>
  <si>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</si>
  <si>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</si>
  <si>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</si>
  <si>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FF0000"/>
        <sz val="11.0"/>
      </rPr>
      <t xml:space="preserve">NEW!  </t>
    </r>
    <r>
      <rPr>
        <rFont val="Calibri"/>
        <b/>
        <color rgb="FF000000"/>
        <sz val="11.0"/>
      </rPr>
      <t>Wireless Phone Charging</t>
    </r>
    <r>
      <rPr>
        <rFont val="Calibri"/>
        <color rgb="FF000000"/>
        <sz val="11.0"/>
      </rPr>
      <t>, wireless charging pad for phone or portable devices, located on center console</t>
    </r>
  </si>
  <si>
    <r>
      <rPr>
        <rFont val="Calibri"/>
        <b/>
        <color rgb="FF000000"/>
        <sz val="11.0"/>
      </rPr>
      <t>Engine</t>
    </r>
    <r>
      <rPr>
        <rFont val="Calibri"/>
        <color rgb="FF000000"/>
        <sz val="11.0"/>
      </rPr>
      <t>, 5.5L V8 DI</t>
    </r>
    <r>
      <rPr>
        <rFont val="Calibri"/>
        <color rgb="FF000000"/>
        <sz val="11.0"/>
      </rPr>
      <t>, high-output, Variable Valve Timing (VVT), (670 hp [499.6 kW] @ 8400 rpm, 460 lb-ft of torque [623.8 N-m] @ 6300 rpm)</t>
    </r>
  </si>
  <si>
    <r>
      <rPr>
        <rFont val="Calibri"/>
        <b/>
        <color rgb="FF000000"/>
        <sz val="11.0"/>
      </rPr>
      <t>Transmission</t>
    </r>
    <r>
      <rPr>
        <rFont val="Calibri"/>
        <color rgb="FF000000"/>
        <sz val="11.0"/>
      </rPr>
      <t>, 8-speed dual clutch, includes manual and auto modes</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</si>
  <si>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</si>
  <si>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carbon fiber and leather-wrapped</t>
    </r>
  </si>
  <si>
    <r>
      <rPr>
        <rFont val="Calibri"/>
        <b/>
        <color rgb="FF000000"/>
        <sz val="11.0"/>
      </rPr>
      <t>Steering wheel</t>
    </r>
    <r>
      <rPr>
        <rFont val="Calibri"/>
        <color rgb="FF000000"/>
        <sz val="11.0"/>
      </rPr>
      <t>, leather-wrapped</t>
    </r>
  </si>
  <si>
    <r>
      <rPr>
        <rFont val="Calibri"/>
        <b/>
        <color rgb="FF000000"/>
        <sz val="11.0"/>
      </rPr>
      <t>Exhaust</t>
    </r>
    <r>
      <rPr>
        <rFont val="Calibri"/>
        <color rgb="FF000000"/>
        <sz val="11.0"/>
      </rPr>
      <t>, performance</t>
    </r>
    <r>
      <rPr>
        <rFont val="Calibri"/>
        <color rgb="FF000000"/>
        <sz val="11.0"/>
      </rPr>
      <t>, aggressive exhaust sound varies with driver mode selected, with stainless-steel tips</t>
    </r>
  </si>
  <si>
    <r>
      <rPr>
        <rFont val="Calibri"/>
        <b/>
        <color rgb="FF000000"/>
        <sz val="11.0"/>
      </rPr>
      <t>Wireless Apple CarPlay/Wireless Android Auto</t>
    </r>
  </si>
  <si>
    <r>
      <rPr>
        <rFont val="Calibri"/>
        <b/>
        <color rgb="FF000000"/>
        <sz val="11.0"/>
      </rPr>
      <t>Gas guzzler tax</t>
    </r>
    <r>
      <rPr>
        <rFont val="Calibri"/>
        <color rgb="FF000000"/>
        <sz val="11.0"/>
      </rPr>
      <t>, mandatory federal tax added to price of vehicle</t>
    </r>
  </si>
  <si>
    <r>
      <rPr>
        <rFont val="Calibri"/>
        <b/>
        <color rgb="FF000000"/>
        <sz val="11.0"/>
      </rPr>
      <t>Wheels</t>
    </r>
    <r>
      <rPr>
        <rFont val="Calibri"/>
        <color rgb="FF000000"/>
        <sz val="11.0"/>
      </rPr>
      <t>, 20" x 10" (50.8 cm x 25.4 cm) front and 21" x 13" (53.3 cm x 33 cm) rear Spider design, Titanium Satin forged aluminum</t>
    </r>
  </si>
  <si>
    <r>
      <rPr>
        <rFont val="Calibri"/>
        <b/>
        <color rgb="FF000000"/>
        <sz val="11.0"/>
      </rPr>
      <t>Spoiler</t>
    </r>
    <r>
      <rPr>
        <rFont val="Calibri"/>
        <color rgb="FF000000"/>
        <sz val="11.0"/>
      </rPr>
      <t>, rear</t>
    </r>
  </si>
  <si>
    <r>
      <rPr>
        <rFont val="Calibri"/>
        <b/>
        <color rgb="FF000000"/>
        <sz val="11.0"/>
      </rPr>
      <t>Headlamps</t>
    </r>
    <r>
      <rPr>
        <rFont val="Calibri"/>
        <color rgb="FF000000"/>
        <sz val="11.0"/>
      </rPr>
      <t>, LED</t>
    </r>
  </si>
  <si>
    <r>
      <rPr>
        <rFont val="Calibri"/>
        <b/>
        <color rgb="FF000000"/>
        <sz val="11.0"/>
      </rPr>
      <t>Teen Driver</t>
    </r>
    <r>
      <rPr>
        <rFont val="Calibri"/>
        <color rgb="FF000000"/>
        <sz val="11.0"/>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</si>
  <si>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rFont val="Calibri"/>
        <b/>
        <color rgb="FF000000"/>
        <sz val="11.0"/>
      </rPr>
      <t>IntelliBeam</t>
    </r>
    <r>
      <rPr>
        <rFont val="Calibri"/>
        <color rgb="FF000000"/>
        <sz val="11.0"/>
      </rPr>
      <t>, auto high beam</t>
    </r>
  </si>
  <si>
    <r>
      <rPr>
        <rFont val="Calibri"/>
        <b/>
        <color rgb="FF000000"/>
        <sz val="11.0"/>
      </rPr>
      <t>SiriusXM with 360L</t>
    </r>
    <r>
      <rPr>
        <rFont val="Calibri"/>
        <color rgb="FF000000"/>
        <sz val="11.0"/>
      </rPr>
      <t xml:space="preserve"> Trial Subscription. SiriusXM with 360L transforms your customers' ride with our most extensive and personalized radio experience on the road.</t>
    </r>
    <r>
      <rPr>
        <rFont val="Calibri"/>
        <color rgb="FF000000"/>
        <sz val="11.0"/>
      </rPr>
      <t xml:space="preserve">
</t>
    </r>
    <r>
      <rPr>
        <rFont val="Calibri"/>
        <b/>
        <color rgb="FF000000"/>
        <sz val="9.0"/>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 Some features require GM connected vehicle services.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</si>
  <si>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</si>
  <si>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</si>
  <si>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</si>
  <si>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</si>
  <si>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</si>
  <si>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</si>
  <si>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FF0000"/>
        <sz val="11.0"/>
      </rPr>
      <t xml:space="preserve">NEW!  </t>
    </r>
    <r>
      <rPr>
        <rFont val="Calibri"/>
        <b/>
        <color rgb="FF000000"/>
        <sz val="11.0"/>
      </rPr>
      <t>5G vehicle connectivity</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</si>
  <si>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</si>
  <si>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</si>
  <si>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</si>
  <si>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</si>
  <si>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</si>
  <si>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</si>
  <si>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Compass</t>
    </r>
    <r>
      <rPr>
        <rFont val="Calibri"/>
        <color rgb="FF000000"/>
        <sz val="11.0"/>
      </rPr>
      <t>, digital</t>
    </r>
  </si>
  <si>
    <r>
      <rPr>
        <rFont val="Calibri"/>
        <b/>
        <color rgb="FF000000"/>
        <sz val="11.0"/>
      </rPr>
      <t>Rear Park Assist</t>
    </r>
  </si>
  <si>
    <r>
      <rPr>
        <rFont val="Calibri"/>
        <b/>
        <color rgb="FF000000"/>
        <sz val="11.0"/>
      </rPr>
      <t>OnStar services capable</t>
    </r>
    <r>
      <rPr>
        <rFont val="Calibri"/>
        <color rgb="FF000000"/>
        <sz val="11.0"/>
      </rPr>
      <t xml:space="preserve">
</t>
    </r>
    <r>
      <rPr>
        <rFont val="Calibri"/>
        <b/>
        <color rgb="FF000000"/>
        <sz val="9.0"/>
      </rPr>
      <t>1. See onstar.com for details and limitations. Services vary by model. Service plan required.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</si>
  <si>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</si>
  <si>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</si>
  <si>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</si>
  <si>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</si>
  <si>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</si>
  <si>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</si>
  <si>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Forward Collision Alert</t>
    </r>
  </si>
  <si>
    <r>
      <rPr>
        <rFont val="Calibri"/>
        <b/>
        <color rgb="FF000000"/>
        <sz val="11.0"/>
      </rPr>
      <t>Lane Keep Assist with Lane Departure Warning</t>
    </r>
  </si>
  <si>
    <r>
      <rPr>
        <rFont val="Calibri"/>
        <b/>
        <color rgb="FF000000"/>
        <sz val="11.0"/>
      </rPr>
      <t>Automatic Emergency Braking</t>
    </r>
  </si>
  <si>
    <r>
      <rPr>
        <rFont val="Calibri"/>
        <b/>
        <color rgb="FF000000"/>
        <sz val="11.0"/>
      </rPr>
      <t>Front Pedestrian and Bicyclist Braking</t>
    </r>
  </si>
  <si>
    <r>
      <rPr>
        <rFont val="Calibri"/>
        <b/>
        <color rgb="FF000000"/>
        <sz val="11.0"/>
      </rPr>
      <t>Audio system feature</t>
    </r>
    <r>
      <rPr>
        <rFont val="Calibri"/>
        <color rgb="FF000000"/>
        <sz val="11.0"/>
      </rPr>
      <t>, Bose Premium 10-speaker system</t>
    </r>
  </si>
  <si>
    <r>
      <rPr>
        <rFont val="Calibri"/>
        <b/>
        <color rgb="FF000000"/>
        <sz val="11.0"/>
      </rPr>
      <t>Head-Up Display</t>
    </r>
    <r>
      <rPr>
        <rFont val="Calibri"/>
        <color rgb="FF000000"/>
        <sz val="11.0"/>
      </rPr>
      <t>, color display with 3 modes: tour, sport, track; can display speed, gear, tach, turn signals, bright headlamps, turn-by-turn navigation, g-meter, speed limit</t>
    </r>
  </si>
  <si>
    <r>
      <rPr>
        <rFont val="Calibri"/>
        <b/>
        <color rgb="FF000000"/>
        <sz val="11.0"/>
      </rPr>
      <t>HD Rear Vision Camera</t>
    </r>
  </si>
  <si>
    <r>
      <rPr>
        <rFont val="Calibri"/>
        <b/>
        <color rgb="FF000000"/>
        <sz val="11.0"/>
      </rPr>
      <t>Vehicle health management</t>
    </r>
    <r>
      <rPr>
        <rFont val="Calibri"/>
        <color rgb="FF000000"/>
        <sz val="11.0"/>
      </rPr>
      <t>, provides advanced warning of vehicle issues</t>
    </r>
  </si>
  <si>
    <r>
      <rPr>
        <rFont val="Calibri"/>
        <b/>
        <color rgb="FF000000"/>
        <sz val="11.0"/>
      </rPr>
      <t>Wi-Fi Hotspot capable</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</si>
  <si>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</si>
  <si>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</si>
  <si>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</si>
  <si>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</si>
  <si>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</si>
  <si>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</si>
  <si>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Tires</t>
    </r>
    <r>
      <rPr>
        <rFont val="Calibri"/>
        <color rgb="FF000000"/>
        <sz val="11.0"/>
      </rPr>
      <t>, 275/30ZR20 front and 345/25ZR21 rear, blackwall, high performance</t>
    </r>
  </si>
  <si>
    <r>
      <rPr>
        <rFont val="Calibri"/>
        <b/>
        <color rgb="FF000000"/>
        <sz val="11.0"/>
      </rPr>
      <t>Air filtration system</t>
    </r>
    <r>
      <rPr>
        <rFont val="Calibri"/>
        <color rgb="FF000000"/>
        <sz val="11.0"/>
      </rPr>
      <t xml:space="preserve"> with pollen filter</t>
    </r>
  </si>
  <si>
    <r>
      <rPr>
        <rFont val="Calibri"/>
        <b/>
        <color rgb="FF000000"/>
        <sz val="11.0"/>
      </rPr>
      <t>Console</t>
    </r>
    <r>
      <rPr>
        <rFont val="Calibri"/>
        <color rgb="FF000000"/>
        <sz val="11.0"/>
      </rPr>
      <t>, floor</t>
    </r>
    <r>
      <rPr>
        <rFont val="Calibri"/>
        <color rgb="FF000000"/>
        <sz val="11.0"/>
      </rPr>
      <t>, 2 cup holders, auxiliary power outlet, 3 USB ports (2 type-C, 1 type-A), passenger grab handle and lockable storage</t>
    </r>
  </si>
  <si>
    <r>
      <rPr>
        <rFont val="Calibri"/>
        <b/>
        <color rgb="FF000000"/>
        <sz val="11.0"/>
      </rPr>
      <t>Cruise control</t>
    </r>
    <r>
      <rPr>
        <rFont val="Calibri"/>
        <color rgb="FF000000"/>
        <sz val="11.0"/>
      </rPr>
      <t>, electronic with set and resume speed</t>
    </r>
  </si>
  <si>
    <r>
      <rPr>
        <rFont val="Calibri"/>
        <b/>
        <color rgb="FF000000"/>
        <sz val="11.0"/>
      </rPr>
      <t>Door locks</t>
    </r>
    <r>
      <rPr>
        <rFont val="Calibri"/>
        <color rgb="FF000000"/>
        <sz val="11.0"/>
      </rPr>
      <t>, power programmable</t>
    </r>
    <r>
      <rPr>
        <rFont val="Calibri"/>
        <color rgb="FF000000"/>
        <sz val="11.0"/>
      </rPr>
      <t xml:space="preserve"> with lockout protection</t>
    </r>
  </si>
  <si>
    <r>
      <rPr>
        <rFont val="Calibri"/>
        <b/>
        <color rgb="FF000000"/>
        <sz val="11.0"/>
      </rPr>
      <t>Floor mats</t>
    </r>
    <r>
      <rPr>
        <rFont val="Calibri"/>
        <color rgb="FF000000"/>
        <sz val="11.0"/>
      </rPr>
      <t>, carpeted</t>
    </r>
  </si>
  <si>
    <r>
      <rPr>
        <rFont val="Calibri"/>
        <b/>
        <color rgb="FF000000"/>
        <sz val="11.0"/>
      </rPr>
      <t>Hatch release</t>
    </r>
    <r>
      <rPr>
        <rFont val="Calibri"/>
        <color rgb="FF000000"/>
        <sz val="11.0"/>
      </rPr>
      <t>, push button open</t>
    </r>
  </si>
  <si>
    <r>
      <rPr>
        <rFont val="Calibri"/>
        <b/>
        <color rgb="FF000000"/>
        <sz val="11.0"/>
      </rPr>
      <t>Keyless Open and Start</t>
    </r>
    <r>
      <rPr>
        <rFont val="Calibri"/>
        <color rgb="FF000000"/>
        <sz val="11.0"/>
      </rPr>
      <t>, includes 2 remote transmitters that enable automatic door unlock and open by touching door switch</t>
    </r>
  </si>
  <si>
    <r>
      <rPr>
        <rFont val="Calibri"/>
        <b/>
        <color rgb="FF000000"/>
        <sz val="11.0"/>
      </rPr>
      <t>Lighting</t>
    </r>
    <r>
      <rPr>
        <rFont val="Calibri"/>
        <color rgb="FF000000"/>
        <sz val="11.0"/>
      </rPr>
      <t>, interior</t>
    </r>
    <r>
      <rPr>
        <rFont val="Calibri"/>
        <color rgb="FF000000"/>
        <sz val="11.0"/>
      </rPr>
      <t>, theater dimming</t>
    </r>
  </si>
  <si>
    <r>
      <rPr>
        <rFont val="Calibri"/>
        <b/>
        <color rgb="FF000000"/>
        <sz val="11.0"/>
      </rPr>
      <t>OnStar Basics (OnStar Fleet Basics for Fleet)</t>
    </r>
    <r>
      <rPr>
        <rFont val="Calibri"/>
        <color rgb="FF000000"/>
        <sz val="11.0"/>
      </rPr>
      <t xml:space="preserve"> Drive confidently with core OnStar services including remote commands, built-in voice assistance, real-time traffic and navigation, and Automatic Crash Response to help if you're in need.</t>
    </r>
    <r>
      <rPr>
        <rFont val="Calibri"/>
        <color rgb="FF000000"/>
        <sz val="11.0"/>
      </rPr>
      <t xml:space="preserve">
</t>
    </r>
    <r>
      <rPr>
        <rFont val="Calibri"/>
        <b/>
        <color rgb="FF000000"/>
        <sz val="9.0"/>
      </rPr>
      <t>1. Requires (UE1) OnStar. OnStar Basics includes remote commands, Navigation, Voice Assistance, and Automatic Crash Response, for eligible vehicles with compatible software. OnStar Basics is standard for 8 years; OnStar plan, working electrical system, cell reception and GPS signal required. OnStar links to emergency services. Service coverage varies with conditions and location. Service availability, features and functionality vary by device and software version. See onstar.com for details and limitations.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</si>
  <si>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</si>
  <si>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</si>
  <si>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</si>
  <si>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</si>
  <si>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</si>
  <si>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</si>
  <si>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Remote vehicle starter system</t>
    </r>
  </si>
  <si>
    <r>
      <rPr>
        <rFont val="Calibri"/>
        <b/>
        <color rgb="FF000000"/>
        <sz val="11.0"/>
      </rPr>
      <t>Steering wheel controls</t>
    </r>
    <r>
      <rPr>
        <rFont val="Calibri"/>
        <color rgb="FF000000"/>
        <sz val="11.0"/>
      </rPr>
      <t>, audio, voice recognition, cruise and Driver Information Center</t>
    </r>
  </si>
  <si>
    <r>
      <rPr>
        <rFont val="Calibri"/>
        <b/>
        <color rgb="FF000000"/>
        <sz val="11.0"/>
      </rPr>
      <t>Theft-deterrent system</t>
    </r>
    <r>
      <rPr>
        <rFont val="Calibri"/>
        <color rgb="FF000000"/>
        <sz val="11.0"/>
      </rPr>
      <t>, vehicle, push button start, immobilizer and audible visual alarm</t>
    </r>
  </si>
  <si>
    <r>
      <rPr>
        <rFont val="Calibri"/>
        <b/>
        <color rgb="FF000000"/>
        <sz val="11.0"/>
      </rPr>
      <t>Antenna</t>
    </r>
    <r>
      <rPr>
        <rFont val="Calibri"/>
        <color rgb="FF000000"/>
        <sz val="11.0"/>
      </rPr>
      <t>, integral front and rear</t>
    </r>
  </si>
  <si>
    <r>
      <rPr>
        <rFont val="Calibri"/>
        <b/>
        <color rgb="FF000000"/>
        <sz val="11.0"/>
      </rPr>
      <t>Trunk release</t>
    </r>
    <r>
      <rPr>
        <rFont val="Calibri"/>
        <color rgb="FF000000"/>
        <sz val="11.0"/>
      </rPr>
      <t>, push button open</t>
    </r>
  </si>
  <si>
    <r>
      <rPr>
        <rFont val="Calibri"/>
        <b/>
        <color rgb="FF000000"/>
        <sz val="11.0"/>
      </rPr>
      <t>Visors</t>
    </r>
    <r>
      <rPr>
        <rFont val="Calibri"/>
        <color rgb="FF000000"/>
        <sz val="11.0"/>
      </rPr>
      <t>, driver and passenger illuminated vanity mirrors</t>
    </r>
    <r>
      <rPr>
        <rFont val="Calibri"/>
        <color rgb="FF000000"/>
        <sz val="11.0"/>
      </rPr>
      <t>, covered</t>
    </r>
  </si>
  <si>
    <r>
      <rPr>
        <rFont val="Calibri"/>
        <b/>
        <color rgb="FF000000"/>
        <sz val="11.0"/>
      </rPr>
      <t>Windows</t>
    </r>
    <r>
      <rPr>
        <rFont val="Calibri"/>
        <color rgb="FF000000"/>
        <sz val="11.0"/>
      </rPr>
      <t>, power</t>
    </r>
    <r>
      <rPr>
        <rFont val="Calibri"/>
        <color rgb="FF000000"/>
        <sz val="11.0"/>
      </rPr>
      <t xml:space="preserve"> with driver and passenger Express-Down/Up</t>
    </r>
  </si>
  <si>
    <r>
      <rPr>
        <rFont val="Calibri"/>
        <b/>
        <color rgb="FF000000"/>
        <sz val="11.0"/>
      </rPr>
      <t>Daytime running lamps</t>
    </r>
  </si>
  <si>
    <r>
      <rPr>
        <rFont val="Calibri"/>
        <b/>
        <color rgb="FF000000"/>
        <sz val="11.0"/>
      </rPr>
      <t>Glass</t>
    </r>
    <r>
      <rPr>
        <rFont val="Calibri"/>
        <color rgb="FF000000"/>
        <sz val="11.0"/>
      </rPr>
      <t>, Solar-Ray light-tinted</t>
    </r>
  </si>
  <si>
    <r>
      <rPr>
        <rFont val="Calibri"/>
        <b/>
        <color rgb="FF000000"/>
        <sz val="11.0"/>
      </rPr>
      <t>Active handling stability control</t>
    </r>
    <r>
      <rPr>
        <rFont val="Calibri"/>
        <color rgb="FF000000"/>
        <sz val="11.0"/>
      </rPr>
      <t>, improves traction and enhances vehicle stability</t>
    </r>
  </si>
  <si>
    <r>
      <rPr>
        <rFont val="Calibri"/>
        <b/>
        <color rgb="FF000000"/>
        <sz val="11.0"/>
      </rPr>
      <t>Frame</t>
    </r>
    <r>
      <rPr>
        <rFont val="Calibri"/>
        <color rgb="FF000000"/>
        <sz val="11.0"/>
      </rPr>
      <t>, aluminum</t>
    </r>
    <r>
      <rPr>
        <rFont val="Calibri"/>
        <color rgb="FF000000"/>
        <sz val="11.0"/>
      </rPr>
      <t xml:space="preserve"> structure</t>
    </r>
  </si>
  <si>
    <r>
      <rPr>
        <rFont val="Calibri"/>
        <b/>
        <color rgb="FF000000"/>
        <sz val="11.0"/>
      </rPr>
      <t>Wipers</t>
    </r>
    <r>
      <rPr>
        <rFont val="Calibri"/>
        <color rgb="FF000000"/>
        <sz val="11.0"/>
      </rPr>
      <t>, front intermittent</t>
    </r>
  </si>
  <si>
    <r>
      <rPr>
        <rFont val="Calibri"/>
        <b/>
        <color rgb="FF000000"/>
        <sz val="11.0"/>
      </rPr>
      <t>Oil life monitoring system</t>
    </r>
  </si>
  <si>
    <r>
      <rPr>
        <rFont val="Calibri"/>
        <b/>
        <color rgb="FF000000"/>
        <sz val="11.0"/>
      </rPr>
      <t>Steering</t>
    </r>
    <r>
      <rPr>
        <rFont val="Calibri"/>
        <color rgb="FF000000"/>
        <sz val="11.0"/>
      </rPr>
      <t>, power</t>
    </r>
    <r>
      <rPr>
        <rFont val="Calibri"/>
        <color rgb="FF000000"/>
        <sz val="11.0"/>
      </rPr>
      <t>, electric, speed-sensitive, rack-and-pinion, variable ratio</t>
    </r>
  </si>
  <si>
    <r>
      <rPr>
        <rFont val="Calibri"/>
        <b/>
        <color rgb="FF000000"/>
        <sz val="11.0"/>
      </rPr>
      <t>Traction control</t>
    </r>
    <r>
      <rPr>
        <rFont val="Calibri"/>
        <color rgb="FF000000"/>
        <sz val="11.0"/>
      </rPr>
      <t>, all-speed</t>
    </r>
  </si>
  <si>
    <r>
      <rPr>
        <rFont val="Calibri"/>
        <b/>
        <color rgb="FF000000"/>
        <sz val="11.0"/>
      </rPr>
      <t>Audio system feature</t>
    </r>
    <r>
      <rPr>
        <rFont val="Calibri"/>
        <color rgb="FF000000"/>
        <sz val="11.0"/>
      </rPr>
      <t>, Bose Performance Series Sound System</t>
    </r>
    <r>
      <rPr>
        <rFont val="Calibri"/>
        <color rgb="FF000000"/>
        <sz val="11.0"/>
      </rPr>
      <t xml:space="preserve"> with 14 speakers</t>
    </r>
  </si>
  <si>
    <r>
      <rPr>
        <rFont val="Calibri"/>
        <b/>
        <color rgb="FF000000"/>
        <sz val="11.0"/>
      </rPr>
      <t>Cargo nets</t>
    </r>
    <r>
      <rPr>
        <rFont val="Calibri"/>
        <color rgb="FF000000"/>
        <sz val="11.0"/>
      </rPr>
      <t>, 2</t>
    </r>
  </si>
  <si>
    <r>
      <rPr>
        <rFont val="Calibri"/>
        <b/>
        <color rgb="FF000000"/>
        <sz val="11.0"/>
      </rPr>
      <t>HD Front and Rear Vision Cameras</t>
    </r>
    <r>
      <rPr>
        <rFont val="Calibri"/>
        <color rgb="FF000000"/>
        <sz val="11.0"/>
      </rPr>
      <t>, front camera is curb view</t>
    </r>
  </si>
  <si>
    <r>
      <rPr>
        <rFont val="Calibri"/>
        <b/>
        <color rgb="FF000000"/>
        <sz val="11.0"/>
      </rPr>
      <t>Memory Driver and Passenger Convenience Package</t>
    </r>
    <r>
      <rPr>
        <rFont val="Calibri"/>
        <color rgb="FF000000"/>
        <sz val="11.0"/>
      </rPr>
      <t>, includes steering wheel and outside mirrors plus seat memory for both driver and passenger; key fob or door button activated</t>
    </r>
  </si>
  <si>
    <r>
      <rPr>
        <rFont val="Calibri"/>
        <b/>
        <color rgb="FF000000"/>
        <sz val="11.0"/>
      </rPr>
      <t>Mirrors</t>
    </r>
    <r>
      <rPr>
        <rFont val="Calibri"/>
        <color rgb="FF000000"/>
        <sz val="11.0"/>
      </rPr>
      <t>, outside heated, power-adjustable</t>
    </r>
    <r>
      <rPr>
        <rFont val="Calibri"/>
        <color rgb="FF000000"/>
        <sz val="11.0"/>
      </rPr>
      <t>, power-folding, driver-side auto-dimming with turn signal indicators</t>
    </r>
  </si>
  <si>
    <r>
      <rPr>
        <rFont val="Calibri"/>
        <b/>
        <color rgb="FF000000"/>
        <sz val="11.0"/>
      </rPr>
      <t>Performance data and video recorder</t>
    </r>
  </si>
  <si>
    <r>
      <rPr>
        <rFont val="Calibri"/>
        <b/>
        <color rgb="FF000000"/>
        <sz val="11.0"/>
      </rPr>
      <t>Rear Cross Traffic Alert</t>
    </r>
  </si>
  <si>
    <r>
      <rPr>
        <rFont val="Calibri"/>
        <b/>
        <color rgb="FF000000"/>
        <sz val="11.0"/>
      </rPr>
      <t>Seat adjuster</t>
    </r>
    <r>
      <rPr>
        <rFont val="Calibri"/>
        <color rgb="FF000000"/>
        <sz val="11.0"/>
      </rPr>
      <t>, power driver lumbar control</t>
    </r>
  </si>
  <si>
    <r>
      <rPr>
        <rFont val="Calibri"/>
        <b/>
        <color rgb="FF000000"/>
        <sz val="11.0"/>
      </rPr>
      <t>Seat adjuster</t>
    </r>
    <r>
      <rPr>
        <rFont val="Calibri"/>
        <color rgb="FF000000"/>
        <sz val="11.0"/>
      </rPr>
      <t>, power passenger lumbar control</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</si>
  <si>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</si>
  <si>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</si>
  <si>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Seats</t>
    </r>
    <r>
      <rPr>
        <rFont val="Calibri"/>
        <color rgb="FF000000"/>
        <sz val="11.0"/>
      </rPr>
      <t>, heated and vented driver and passenger</t>
    </r>
  </si>
  <si>
    <r>
      <rPr>
        <rFont val="Calibri"/>
        <b/>
        <color rgb="FF000000"/>
        <sz val="11.0"/>
      </rPr>
      <t>Side Blind Zone Alert</t>
    </r>
  </si>
  <si>
    <r>
      <rPr>
        <rFont val="Calibri"/>
        <b/>
        <color rgb="FF000000"/>
        <sz val="11.0"/>
      </rPr>
      <t>Steering wheel</t>
    </r>
    <r>
      <rPr>
        <rFont val="Calibri"/>
        <color rgb="FF000000"/>
        <sz val="11.0"/>
      </rPr>
      <t>, heated</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</si>
  <si>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</si>
  <si>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</si>
  <si>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Theft-deterrent system</t>
    </r>
    <r>
      <rPr>
        <rFont val="Calibri"/>
        <color rgb="FF000000"/>
        <sz val="11.0"/>
      </rPr>
      <t>, electrical, unauthorized entry, activates the horn</t>
    </r>
  </si>
  <si>
    <r>
      <rPr>
        <rFont val="Calibri"/>
        <b/>
        <color rgb="FF000000"/>
        <sz val="11.0"/>
      </rPr>
      <t>Universal Home Remote</t>
    </r>
    <r>
      <rPr>
        <rFont val="Calibri"/>
        <color rgb="FF000000"/>
        <sz val="11.0"/>
      </rPr>
      <t xml:space="preserve">, includes garage door opener, 3-channel programmable, located on driver visor </t>
    </r>
  </si>
  <si>
    <r>
      <rPr>
        <rFont val="Calibri"/>
        <b/>
        <color rgb="FFFF0000"/>
        <sz val="11.0"/>
      </rPr>
      <t xml:space="preserve">NEW!  </t>
    </r>
    <r>
      <rPr>
        <rFont val="Calibri"/>
        <b/>
        <color rgb="FF000000"/>
        <sz val="11.0"/>
      </rPr>
      <t>Wireless Phone Charging</t>
    </r>
    <r>
      <rPr>
        <rFont val="Calibri"/>
        <color rgb="FF000000"/>
        <sz val="11.0"/>
      </rPr>
      <t>, 2 wireless charging pads for phone or portable devices, located on center console and between seatbacks</t>
    </r>
  </si>
  <si>
    <r>
      <rPr>
        <rFont val="Calibri"/>
        <b/>
        <color rgb="FF000000"/>
        <sz val="11.0"/>
      </rPr>
      <t>Custom Leather Wrapped Interior Package</t>
    </r>
    <r>
      <rPr>
        <rFont val="Calibri"/>
        <color rgb="FF000000"/>
        <sz val="11.0"/>
      </rPr>
      <t>, features leather-wrapped upper instrument panel, door trim panels and console</t>
    </r>
    <r>
      <rPr>
        <rFont val="Calibri"/>
        <color rgb="FF000000"/>
        <sz val="11.0"/>
      </rPr>
      <t xml:space="preserve">
</t>
    </r>
    <r>
      <rPr>
        <rFont val="Calibri"/>
        <b/>
        <color rgb="FF000000"/>
        <sz val="9.0"/>
      </rPr>
      <t>1. When (HUB/HUC) Ultimate Suede Jet Black is ordered, the instrument panel, door trim panels and console will be suede.</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</si>
  <si>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</si>
  <si>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</si>
  <si>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b/>
        <color rgb="FF000000"/>
        <sz val="11.0"/>
      </rPr>
      <t>Seats</t>
    </r>
    <r>
      <rPr>
        <rFont val="Calibri"/>
        <color rgb="FF000000"/>
        <sz val="11.0"/>
      </rPr>
      <t>, GT2 bucket</t>
    </r>
  </si>
  <si>
    <r>
      <rPr>
        <rFont val="Calibri"/>
        <b/>
        <color rgb="FF000000"/>
        <sz val="11.0"/>
      </rPr>
      <t>Sueded Microfiber-Wrapped Upper Interior Trim Package</t>
    </r>
    <r>
      <rPr>
        <rFont val="Calibri"/>
        <color rgb="FF000000"/>
        <sz val="11.0"/>
      </rPr>
      <t>, includes headliner, visors, trim above windshield and rear window, and A-pillar trim</t>
    </r>
  </si>
  <si>
    <r>
      <rPr>
        <rFont val="Calibri"/>
        <b/>
        <color rgb="FF000000"/>
        <sz val="11.0"/>
      </rPr>
      <t>Head-Up Display</t>
    </r>
    <r>
      <rPr>
        <rFont val="Calibri"/>
        <color rgb="FF000000"/>
        <sz val="11.0"/>
      </rPr>
      <t>, color display with 3 modes: tour, sport, track; can display speed, gear, tach, turn signals, bright headlamps, turn-by-turn navigation, g-meter, speed limit</t>
    </r>
  </si>
  <si>
    <t>E-Ray Coupe
1YG07
1LZ</t>
  </si>
  <si>
    <t>E-Ray Coupe
1YG07
2LZ</t>
  </si>
  <si>
    <t>E-Ray Coupe
1YG07
3LZ</t>
  </si>
  <si>
    <t>E-Ray Convertible
1YG67
1LZ</t>
  </si>
  <si>
    <t>E-Ray Convertible
1YG67
2LZ</t>
  </si>
  <si>
    <t>E-Ray Convertible
1YG67
3LZ</t>
  </si>
  <si>
    <t>SAFETY</t>
  </si>
  <si>
    <r>
      <rPr>
        <rFont val="Calibri"/>
        <b/>
        <color rgb="FF000000"/>
        <sz val="11.0"/>
      </rPr>
      <t>Airbags</t>
    </r>
    <r>
      <rPr>
        <rFont val="Calibri"/>
        <color rgb="FF000000"/>
        <sz val="11.0"/>
      </rPr>
      <t>, frontal and side-impact, driver and passenger</t>
    </r>
    <r>
      <rPr>
        <rFont val="Calibri"/>
        <color rgb="FF000000"/>
        <sz val="11.0"/>
      </rPr>
      <t xml:space="preserve"> with Passenger Sensing System</t>
    </r>
    <r>
      <rPr>
        <rFont val="Calibri"/>
        <color rgb="FF000000"/>
        <sz val="11.0"/>
      </rPr>
      <t xml:space="preserve">
</t>
    </r>
    <r>
      <rPr>
        <rFont val="Calibri"/>
        <b/>
        <color rgb="FF000000"/>
        <sz val="9.0"/>
      </rPr>
      <t>1. Always use seat belts and child restraints. Never place an infant or child restraint seat in the front seat, even if the airbag is off. See the Owner's Manual for more information.</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</si>
  <si>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</si>
  <si>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</si>
  <si>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</si>
  <si>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</si>
  <si>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</si>
  <si>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</si>
  <si>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t>TECHNOLOGY</t>
  </si>
  <si>
    <r>
      <rPr>
        <rFont val="Calibri"/>
        <b/>
        <color rgb="FF000000"/>
        <sz val="11.0"/>
      </rPr>
      <t>SiriusXM with 360L</t>
    </r>
    <r>
      <rPr>
        <rFont val="Calibri"/>
        <color rgb="FF000000"/>
        <sz val="11.0"/>
      </rPr>
      <t xml:space="preserve"> Trial Subscription. SiriusXM with 360L transforms your customers' ride with our most extensive and personalized radio experience on the road.</t>
    </r>
    <r>
      <rPr>
        <rFont val="Calibri"/>
        <color rgb="FF000000"/>
        <sz val="11.0"/>
      </rPr>
      <t xml:space="preserve">
</t>
    </r>
    <r>
      <rPr>
        <rFont val="Calibri"/>
        <b/>
        <color rgb="FF000000"/>
        <sz val="9.0"/>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 Some features require GM connected vehicle services.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</si>
  <si>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</si>
  <si>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</si>
  <si>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</si>
  <si>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</si>
  <si>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</si>
  <si>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</si>
  <si>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OnStar services capable</t>
    </r>
    <r>
      <rPr>
        <rFont val="Calibri"/>
        <color rgb="FF000000"/>
        <sz val="11.0"/>
      </rPr>
      <t xml:space="preserve">
</t>
    </r>
    <r>
      <rPr>
        <rFont val="Calibri"/>
        <b/>
        <color rgb="FF000000"/>
        <sz val="9.0"/>
      </rPr>
      <t>1. See onstar.com for details and limitations. Services vary by model. Service plan required.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</si>
  <si>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</si>
  <si>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</si>
  <si>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</si>
  <si>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</si>
  <si>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</si>
  <si>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</si>
  <si>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Wi-Fi Hotspot capable</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</si>
  <si>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</si>
  <si>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</si>
  <si>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</si>
  <si>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</si>
  <si>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</si>
  <si>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</si>
  <si>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FF0000"/>
        <sz val="11.0"/>
      </rPr>
      <t xml:space="preserve">NEW!  </t>
    </r>
    <r>
      <rPr>
        <rFont val="Calibri"/>
        <b/>
        <color rgb="FF000000"/>
        <sz val="11.0"/>
      </rPr>
      <t>5G vehicle connectivity</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</si>
  <si>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</si>
  <si>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</si>
  <si>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</si>
  <si>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</si>
  <si>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</si>
  <si>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</si>
  <si>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OnStar Basics (OnStar Fleet Basics for Fleet)</t>
    </r>
    <r>
      <rPr>
        <rFont val="Calibri"/>
        <color rgb="FF000000"/>
        <sz val="11.0"/>
      </rPr>
      <t xml:space="preserve"> Drive confidently with core OnStar services including remote commands, built-in voice assistance, real-time traffic and navigation, and Automatic Crash Response to help if you're in need.</t>
    </r>
    <r>
      <rPr>
        <rFont val="Calibri"/>
        <color rgb="FF000000"/>
        <sz val="11.0"/>
      </rPr>
      <t xml:space="preserve">
</t>
    </r>
    <r>
      <rPr>
        <rFont val="Calibri"/>
        <b/>
        <color rgb="FF000000"/>
        <sz val="9.0"/>
      </rPr>
      <t>1. Requires (UE1) OnStar. OnStar Basics includes remote commands, Navigation, Voice Assistance, and Automatic Crash Response, for eligible vehicles with compatible software. OnStar Basics is standard for 8 years; OnStar plan, working electrical system, cell reception and GPS signal required. OnStar links to emergency services. Service coverage varies with conditions and location. Service availability, features and functionality vary by device and software version. See onstar.com for details and limitations.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</si>
  <si>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</si>
  <si>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</si>
  <si>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</si>
  <si>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</si>
  <si>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</si>
  <si>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</si>
  <si>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t>INTERIOR</t>
  </si>
  <si>
    <r>
      <rPr>
        <rFont val="Calibri"/>
        <b/>
        <color rgb="FF000000"/>
        <sz val="11.0"/>
      </rPr>
      <t>Air conditioning</t>
    </r>
    <r>
      <rPr>
        <rFont val="Calibri"/>
        <color rgb="FF000000"/>
        <sz val="11.0"/>
      </rPr>
      <t>, dual-zone automatic climate control</t>
    </r>
    <r>
      <rPr>
        <rFont val="Calibri"/>
        <color rgb="FF000000"/>
        <sz val="11.0"/>
      </rPr>
      <t>, individual climate settings for driver and passenger, with outside temperature display</t>
    </r>
  </si>
  <si>
    <r>
      <rPr>
        <rFont val="Calibri"/>
        <b/>
        <color rgb="FF000000"/>
        <sz val="11.0"/>
      </rPr>
      <t>Air filtration system</t>
    </r>
    <r>
      <rPr>
        <rFont val="Calibri"/>
        <color rgb="FF000000"/>
        <sz val="11.0"/>
      </rPr>
      <t xml:space="preserve"> with pollen filter</t>
    </r>
  </si>
  <si>
    <r>
      <rPr>
        <rFont val="Calibri"/>
        <b/>
        <color rgb="FFFF0000"/>
        <sz val="11.0"/>
      </rPr>
      <t xml:space="preserve">NEW!  </t>
    </r>
    <r>
      <rPr>
        <rFont val="Calibri"/>
        <b/>
        <color rgb="FF000000"/>
        <sz val="11.0"/>
      </rPr>
      <t>Infotainment system</t>
    </r>
    <r>
      <rPr>
        <rFont val="Calibri"/>
        <color rgb="FF000000"/>
        <sz val="11.0"/>
      </rPr>
      <t xml:space="preserve"> with Google Built-In</t>
    </r>
    <r>
      <rPr>
        <rFont val="Calibri"/>
        <color rgb="FF000000"/>
        <sz val="11.0"/>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</si>
  <si>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r>
      <rPr>
        <rFont val="Calibri"/>
        <b/>
        <color rgb="FF000000"/>
        <sz val="11.0"/>
      </rPr>
      <t>Audio system feature</t>
    </r>
    <r>
      <rPr>
        <rFont val="Calibri"/>
        <color rgb="FF000000"/>
        <sz val="11.0"/>
      </rPr>
      <t>, Bose Premium 10-speaker system</t>
    </r>
  </si>
  <si>
    <r>
      <rPr>
        <rFont val="Calibri"/>
        <b/>
        <color rgb="FF000000"/>
        <sz val="11.0"/>
      </rPr>
      <t>Compass</t>
    </r>
    <r>
      <rPr>
        <rFont val="Calibri"/>
        <color rgb="FF000000"/>
        <sz val="11.0"/>
      </rPr>
      <t>, digital</t>
    </r>
  </si>
  <si>
    <r>
      <rPr>
        <rFont val="Calibri"/>
        <b/>
        <color rgb="FF000000"/>
        <sz val="11.0"/>
      </rPr>
      <t>Console</t>
    </r>
    <r>
      <rPr>
        <rFont val="Calibri"/>
        <color rgb="FF000000"/>
        <sz val="11.0"/>
      </rPr>
      <t>, floor</t>
    </r>
    <r>
      <rPr>
        <rFont val="Calibri"/>
        <color rgb="FF000000"/>
        <sz val="11.0"/>
      </rPr>
      <t>, 2 cup holders, auxiliary power outlet, 3 USB ports (2 type-C, 1 type-A), passenger grab handle and lockable storage</t>
    </r>
  </si>
  <si>
    <r>
      <rPr>
        <rFont val="Calibri"/>
        <b/>
        <color rgb="FF000000"/>
        <sz val="11.0"/>
      </rPr>
      <t>Cruise control</t>
    </r>
    <r>
      <rPr>
        <rFont val="Calibri"/>
        <color rgb="FF000000"/>
        <sz val="11.0"/>
      </rPr>
      <t>, electronic with set and resume speed</t>
    </r>
  </si>
  <si>
    <r>
      <rPr>
        <rFont val="Calibri"/>
        <b/>
        <color rgb="FF000000"/>
        <sz val="11.0"/>
      </rPr>
      <t>Door locks</t>
    </r>
    <r>
      <rPr>
        <rFont val="Calibri"/>
        <color rgb="FF000000"/>
        <sz val="11.0"/>
      </rPr>
      <t>, power programmable</t>
    </r>
    <r>
      <rPr>
        <rFont val="Calibri"/>
        <color rgb="FF000000"/>
        <sz val="11.0"/>
      </rPr>
      <t xml:space="preserve"> with lockout protection</t>
    </r>
  </si>
  <si>
    <r>
      <rPr>
        <rFont val="Calibri"/>
        <b/>
        <color rgb="FF000000"/>
        <sz val="11.0"/>
      </rPr>
      <t>Floor mats</t>
    </r>
    <r>
      <rPr>
        <rFont val="Calibri"/>
        <color rgb="FF000000"/>
        <sz val="11.0"/>
      </rPr>
      <t>, carpeted</t>
    </r>
  </si>
  <si>
    <r>
      <rPr>
        <rFont val="Calibri"/>
        <b/>
        <color rgb="FF000000"/>
        <sz val="11.0"/>
      </rPr>
      <t>Forward Collision Alert</t>
    </r>
  </si>
  <si>
    <t>EXTERIOR</t>
  </si>
  <si>
    <r>
      <rPr>
        <rFont val="Calibri"/>
        <b/>
        <color rgb="FF000000"/>
        <sz val="11.0"/>
      </rPr>
      <t>Hatch release</t>
    </r>
    <r>
      <rPr>
        <rFont val="Calibri"/>
        <color rgb="FF000000"/>
        <sz val="11.0"/>
      </rPr>
      <t>, push button open</t>
    </r>
  </si>
  <si>
    <r>
      <rPr>
        <rFont val="Calibri"/>
        <b/>
        <color rgb="FF000000"/>
        <sz val="11.0"/>
      </rPr>
      <t>Head-Up Display</t>
    </r>
    <r>
      <rPr>
        <rFont val="Calibri"/>
        <color rgb="FF000000"/>
        <sz val="11.0"/>
      </rPr>
      <t>, color display with 3 modes: tour, sport, track; can display speed, gear, tach, turn signals, bright headlamps, turn-by-turn navigation, g-meter, speed limit</t>
    </r>
  </si>
  <si>
    <r>
      <rPr>
        <rFont val="Calibri"/>
        <b/>
        <color rgb="FF000000"/>
        <sz val="11.0"/>
      </rPr>
      <t>Keyless Open and Start</t>
    </r>
    <r>
      <rPr>
        <rFont val="Calibri"/>
        <color rgb="FF000000"/>
        <sz val="11.0"/>
      </rPr>
      <t>, includes 2 remote transmitters that enable automatic door unlock and open by touching door switch</t>
    </r>
  </si>
  <si>
    <r>
      <rPr>
        <rFont val="Calibri"/>
        <b/>
        <color rgb="FF000000"/>
        <sz val="11.0"/>
      </rPr>
      <t>Lane Keep Assist with Lane Departure Warning</t>
    </r>
  </si>
  <si>
    <r>
      <rPr>
        <rFont val="Calibri"/>
        <b/>
        <color rgb="FF000000"/>
        <sz val="11.0"/>
      </rPr>
      <t>Lighting</t>
    </r>
    <r>
      <rPr>
        <rFont val="Calibri"/>
        <color rgb="FF000000"/>
        <sz val="11.0"/>
      </rPr>
      <t>, interior</t>
    </r>
    <r>
      <rPr>
        <rFont val="Calibri"/>
        <color rgb="FF000000"/>
        <sz val="11.0"/>
      </rPr>
      <t>, theater dimming</t>
    </r>
  </si>
  <si>
    <r>
      <rPr>
        <rFont val="Calibri"/>
        <b/>
        <color rgb="FF000000"/>
        <sz val="11.0"/>
      </rPr>
      <t>Rear Camera Mirror</t>
    </r>
    <r>
      <rPr>
        <rFont val="Calibri"/>
        <color rgb="FF000000"/>
        <sz val="11.0"/>
      </rPr>
      <t>, inside rearview auto-dimming with full camera display</t>
    </r>
  </si>
  <si>
    <r>
      <rPr>
        <rFont val="Calibri"/>
        <b/>
        <color rgb="FF000000"/>
        <sz val="11.0"/>
      </rPr>
      <t>HD Rear Vision Camera</t>
    </r>
  </si>
  <si>
    <r>
      <rPr>
        <rFont val="Calibri"/>
        <b/>
        <color rgb="FF000000"/>
        <sz val="11.0"/>
      </rPr>
      <t>Remote vehicle starter system</t>
    </r>
  </si>
  <si>
    <r>
      <rPr>
        <rFont val="Calibri"/>
        <b/>
        <color rgb="FF000000"/>
        <sz val="11.0"/>
      </rPr>
      <t>Seat belt color</t>
    </r>
    <r>
      <rPr>
        <rFont val="Calibri"/>
        <color rgb="FF000000"/>
        <sz val="11.0"/>
      </rPr>
      <t>, Black</t>
    </r>
    <r>
      <rPr>
        <rFont val="Calibri"/>
        <color rgb="FF000000"/>
        <sz val="11.0"/>
      </rPr>
      <t xml:space="preserve">
</t>
    </r>
    <r>
      <rPr>
        <rFont val="Calibri"/>
        <b/>
        <color rgb="FF000000"/>
        <sz val="9.0"/>
      </rPr>
      <t>1. (HZN/HUF) Natural Dipped interior comes with (3N9) Natural seat belt color; (H8T) Santorini Blue interior comes with (3A9) Santorini Blue seat belt color; (HNK) Adrenaline Red Dipped comes with (3F9) Torch Red seat belt color; (HUW/HUX) Habanero interior and (EMT) Sky Cool/Medium Ash Gray interior comes with (379) Orange seat belt color.</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</si>
  <si>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</si>
  <si>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</si>
  <si>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Seats</t>
    </r>
    <r>
      <rPr>
        <rFont val="Calibri"/>
        <color rgb="FF000000"/>
        <sz val="11.0"/>
      </rPr>
      <t>, GT1 bucket</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</si>
  <si>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</si>
  <si>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</si>
  <si>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</si>
  <si>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leather-wrapped</t>
    </r>
  </si>
  <si>
    <r>
      <rPr>
        <rFont val="Calibri"/>
        <b/>
        <color rgb="FF000000"/>
        <sz val="11.0"/>
      </rPr>
      <t>Steering wheel controls</t>
    </r>
    <r>
      <rPr>
        <rFont val="Calibri"/>
        <color rgb="FF000000"/>
        <sz val="11.0"/>
      </rPr>
      <t>, audio, voice recognition, cruise, Driver Information Center and Charge+</t>
    </r>
  </si>
  <si>
    <r>
      <rPr>
        <rFont val="Calibri"/>
        <b/>
        <color rgb="FF000000"/>
        <sz val="11.0"/>
      </rPr>
      <t>Teen Driver</t>
    </r>
    <r>
      <rPr>
        <rFont val="Calibri"/>
        <color rgb="FF000000"/>
        <sz val="11.0"/>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</si>
  <si>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rFont val="Calibri"/>
        <b/>
        <color rgb="FF000000"/>
        <sz val="11.0"/>
      </rPr>
      <t>Theft-deterrent system</t>
    </r>
    <r>
      <rPr>
        <rFont val="Calibri"/>
        <color rgb="FF000000"/>
        <sz val="11.0"/>
      </rPr>
      <t>, vehicle, push button start, immobilizer and audible visual alarm</t>
    </r>
  </si>
  <si>
    <r>
      <rPr>
        <rFont val="Calibri"/>
        <b/>
        <color rgb="FF000000"/>
        <sz val="11.0"/>
      </rPr>
      <t>Antenna</t>
    </r>
    <r>
      <rPr>
        <rFont val="Calibri"/>
        <color rgb="FF000000"/>
        <sz val="11.0"/>
      </rPr>
      <t>, integral front and rear</t>
    </r>
  </si>
  <si>
    <t>MECHANICAL</t>
  </si>
  <si>
    <r>
      <rPr>
        <rFont val="Calibri"/>
        <b/>
        <color rgb="FF000000"/>
        <sz val="11.0"/>
      </rPr>
      <t>Vehicle health management</t>
    </r>
    <r>
      <rPr>
        <rFont val="Calibri"/>
        <color rgb="FF000000"/>
        <sz val="11.0"/>
      </rPr>
      <t>, provides advanced warning of vehicle issues</t>
    </r>
  </si>
  <si>
    <r>
      <rPr>
        <rFont val="Calibri"/>
        <b/>
        <color rgb="FF000000"/>
        <sz val="11.0"/>
      </rPr>
      <t>Visors</t>
    </r>
    <r>
      <rPr>
        <rFont val="Calibri"/>
        <color rgb="FF000000"/>
        <sz val="11.0"/>
      </rPr>
      <t>, driver and passenger illuminated vanity mirrors</t>
    </r>
    <r>
      <rPr>
        <rFont val="Calibri"/>
        <color rgb="FF000000"/>
        <sz val="11.0"/>
      </rPr>
      <t>, covered</t>
    </r>
  </si>
  <si>
    <r>
      <rPr>
        <rFont val="Calibri"/>
        <b/>
        <color rgb="FF000000"/>
        <sz val="11.0"/>
      </rPr>
      <t>Windows</t>
    </r>
    <r>
      <rPr>
        <rFont val="Calibri"/>
        <color rgb="FF000000"/>
        <sz val="11.0"/>
      </rPr>
      <t>, power</t>
    </r>
    <r>
      <rPr>
        <rFont val="Calibri"/>
        <color rgb="FF000000"/>
        <sz val="11.0"/>
      </rPr>
      <t xml:space="preserve"> with driver and passenger Express-Down/Up</t>
    </r>
  </si>
  <si>
    <r>
      <rPr>
        <rFont val="Calibri"/>
        <b/>
        <color rgb="FF000000"/>
        <sz val="11.0"/>
      </rPr>
      <t>Carbon Flash Exterior Badge Package</t>
    </r>
  </si>
  <si>
    <r>
      <rPr>
        <rFont val="Calibri"/>
        <b/>
        <color rgb="FF000000"/>
        <sz val="11.0"/>
      </rPr>
      <t>Wireless Apple CarPlay/Wireless Android Auto</t>
    </r>
  </si>
  <si>
    <r>
      <rPr>
        <rFont val="Calibri"/>
        <b/>
        <color rgb="FFFF0000"/>
        <sz val="11.0"/>
      </rPr>
      <t xml:space="preserve">NEW!  </t>
    </r>
    <r>
      <rPr>
        <rFont val="Calibri"/>
        <b/>
        <color rgb="FF000000"/>
        <sz val="11.0"/>
      </rPr>
      <t>Wireless Phone Charging</t>
    </r>
    <r>
      <rPr>
        <rFont val="Calibri"/>
        <color rgb="FF000000"/>
        <sz val="11.0"/>
      </rPr>
      <t>, wireless charging pad for phone or portable devices, located on center console</t>
    </r>
  </si>
  <si>
    <r>
      <rPr>
        <rFont val="Calibri"/>
        <b/>
        <color rgb="FF000000"/>
        <sz val="11.0"/>
      </rPr>
      <t>Daytime running lamps</t>
    </r>
  </si>
  <si>
    <r>
      <rPr>
        <rFont val="Calibri"/>
        <b/>
        <color rgb="FF000000"/>
        <sz val="11.0"/>
      </rPr>
      <t>Exterior accents</t>
    </r>
    <r>
      <rPr>
        <rFont val="Calibri"/>
        <color rgb="FF000000"/>
        <sz val="11.0"/>
      </rPr>
      <t>, body-color, side vents, rockers and front/rear grille accents</t>
    </r>
    <r>
      <rPr>
        <rFont val="Calibri"/>
        <color rgb="FF000000"/>
        <sz val="11.0"/>
      </rPr>
      <t xml:space="preserve">
</t>
    </r>
    <r>
      <rPr>
        <rFont val="Calibri"/>
        <b/>
        <color rgb="FF000000"/>
        <sz val="9.0"/>
      </rPr>
      <t>1. Also includes tonneau grille.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</si>
  <si>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</si>
  <si>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</si>
  <si>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</si>
  <si>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Glass</t>
    </r>
    <r>
      <rPr>
        <rFont val="Calibri"/>
        <color rgb="FF000000"/>
        <sz val="11.0"/>
      </rPr>
      <t>, Solar-Ray light-tinted</t>
    </r>
  </si>
  <si>
    <r>
      <rPr>
        <rFont val="Calibri"/>
        <b/>
        <color rgb="FF000000"/>
        <sz val="11.0"/>
      </rPr>
      <t>Headlamps</t>
    </r>
    <r>
      <rPr>
        <rFont val="Calibri"/>
        <color rgb="FF000000"/>
        <sz val="11.0"/>
      </rPr>
      <t>, LED</t>
    </r>
  </si>
  <si>
    <r>
      <rPr>
        <rFont val="Calibri"/>
        <b/>
        <color rgb="FF000000"/>
        <sz val="11.0"/>
      </rPr>
      <t>IntelliBeam</t>
    </r>
    <r>
      <rPr>
        <rFont val="Calibri"/>
        <color rgb="FF000000"/>
        <sz val="11.0"/>
      </rPr>
      <t>, auto high beam</t>
    </r>
  </si>
  <si>
    <r>
      <rPr>
        <rFont val="Calibri"/>
        <b/>
        <color rgb="FF000000"/>
        <sz val="11.0"/>
      </rPr>
      <t>Mirrors</t>
    </r>
    <r>
      <rPr>
        <rFont val="Calibri"/>
        <color rgb="FF000000"/>
        <sz val="11.0"/>
      </rPr>
      <t>, outside heated, power-adjustable</t>
    </r>
    <r>
      <rPr>
        <rFont val="Calibri"/>
        <color rgb="FF000000"/>
        <sz val="11.0"/>
      </rPr>
      <t>, manual-folding with turn signal indicators</t>
    </r>
  </si>
  <si>
    <r>
      <rPr>
        <rFont val="Calibri"/>
        <b/>
        <color rgb="FF000000"/>
        <sz val="11.0"/>
      </rPr>
      <t>Roof panel</t>
    </r>
    <r>
      <rPr>
        <rFont val="Calibri"/>
        <color rgb="FF000000"/>
        <sz val="11.0"/>
      </rPr>
      <t>, body-color, removable</t>
    </r>
  </si>
  <si>
    <r>
      <rPr>
        <rFont val="Calibri"/>
        <b/>
        <color rgb="FF000000"/>
        <sz val="11.0"/>
      </rPr>
      <t>Rear Park Assist</t>
    </r>
  </si>
  <si>
    <r>
      <rPr>
        <rFont val="Calibri"/>
        <b/>
        <color rgb="FF000000"/>
        <sz val="11.0"/>
      </rPr>
      <t>Spoiler</t>
    </r>
    <r>
      <rPr>
        <rFont val="Calibri"/>
        <color rgb="FF000000"/>
        <sz val="11.0"/>
      </rPr>
      <t>, rear</t>
    </r>
  </si>
  <si>
    <r>
      <rPr>
        <rFont val="Calibri"/>
        <b/>
        <color rgb="FF000000"/>
        <sz val="11.0"/>
      </rPr>
      <t>Active handling stability control</t>
    </r>
    <r>
      <rPr>
        <rFont val="Calibri"/>
        <color rgb="FF000000"/>
        <sz val="11.0"/>
      </rPr>
      <t>, improves traction and enhances vehicle stability</t>
    </r>
  </si>
  <si>
    <r>
      <rPr>
        <rFont val="Calibri"/>
        <b/>
        <color rgb="FF000000"/>
        <sz val="11.0"/>
      </rPr>
      <t>Brakes</t>
    </r>
    <r>
      <rPr>
        <rFont val="Calibri"/>
        <color rgb="FF000000"/>
        <sz val="11.0"/>
      </rPr>
      <t>, 4-wheel antilock, 4-wheel disc</t>
    </r>
    <r>
      <rPr>
        <rFont val="Calibri"/>
        <color rgb="FF000000"/>
        <sz val="11.0"/>
      </rPr>
      <t>, carbon ceramic, includes (J6D) Dark Gray Metallic-painted calipers</t>
    </r>
  </si>
  <si>
    <r>
      <rPr>
        <rFont val="Calibri"/>
        <b/>
        <color rgb="FF000000"/>
        <sz val="11.0"/>
      </rPr>
      <t>Automatic Emergency Braking</t>
    </r>
  </si>
  <si>
    <r>
      <rPr>
        <rFont val="Calibri"/>
        <b/>
        <color rgb="FF000000"/>
        <sz val="11.0"/>
      </rPr>
      <t>Front Pedestrian and Bicyclist Braking</t>
    </r>
  </si>
  <si>
    <r>
      <rPr>
        <rFont val="Calibri"/>
        <b/>
        <color rgb="FF000000"/>
        <sz val="11.0"/>
      </rPr>
      <t>Calipers</t>
    </r>
    <r>
      <rPr>
        <rFont val="Calibri"/>
        <color rgb="FF000000"/>
        <sz val="11.0"/>
      </rPr>
      <t>, Dark Gray Metallic</t>
    </r>
    <r>
      <rPr>
        <rFont val="Calibri"/>
        <color rgb="FF000000"/>
        <sz val="11.0"/>
      </rPr>
      <t>-painted</t>
    </r>
  </si>
  <si>
    <r>
      <rPr>
        <rFont val="Calibri"/>
        <b/>
        <color rgb="FF000000"/>
        <sz val="11.0"/>
      </rPr>
      <t>Tires</t>
    </r>
    <r>
      <rPr>
        <rFont val="Calibri"/>
        <color rgb="FF000000"/>
        <sz val="11.0"/>
      </rPr>
      <t>, 275/30ZR20 front and 345/25ZR21 rear, all-season, blackwall, performance</t>
    </r>
  </si>
  <si>
    <r>
      <rPr>
        <rFont val="Calibri"/>
        <b/>
        <color rgb="FF000000"/>
        <sz val="11.0"/>
      </rPr>
      <t>Engine</t>
    </r>
    <r>
      <rPr>
        <rFont val="Calibri"/>
        <color rgb="FF000000"/>
        <sz val="11.0"/>
      </rPr>
      <t>, 6.2L V8 DI</t>
    </r>
    <r>
      <rPr>
        <rFont val="Calibri"/>
        <color rgb="FF000000"/>
        <sz val="11.0"/>
      </rPr>
      <t>, high-output, Variable Valve Timing (VVT), Active Fuel Management (AFM) (495 hp [369.1 kW] @ 6450 rpm, 470 lb-ft of rear torque [637.2 N-m] @ 5150 rpm). 655 (488.4 kW) total combined hp with HP1 electrified front axle propulsion.</t>
    </r>
  </si>
  <si>
    <r>
      <rPr>
        <rFont val="Calibri"/>
        <b/>
        <color rgb="FF000000"/>
        <sz val="11.0"/>
      </rPr>
      <t>Front axle</t>
    </r>
    <r>
      <rPr>
        <rFont val="Calibri"/>
        <color rgb="FF000000"/>
        <sz val="11.0"/>
      </rPr>
      <t>, electrified propulsion</t>
    </r>
    <r>
      <rPr>
        <rFont val="Calibri"/>
        <color rgb="FF000000"/>
        <sz val="11.0"/>
      </rPr>
      <t xml:space="preserve"> (160 hp [113.3 kW], 125 lb-ft of front torque [169.5 N-m]). 655 (488.4 kW) total combined hp with LT2 engine </t>
    </r>
  </si>
  <si>
    <r>
      <rPr>
        <rFont val="Calibri"/>
        <b/>
        <color rgb="FF000000"/>
        <sz val="11.0"/>
      </rPr>
      <t>Wheels</t>
    </r>
    <r>
      <rPr>
        <rFont val="Calibri"/>
        <color rgb="FF000000"/>
        <sz val="11.0"/>
      </rPr>
      <t>, 20" x 10" (50.8 cm x 25.4 cm) front and 21" x 13" (53.3 cm x 33 cm) rear Pearl Nickel forged aluminum</t>
    </r>
  </si>
  <si>
    <r>
      <rPr>
        <rFont val="Calibri"/>
        <b/>
        <color rgb="FF000000"/>
        <sz val="11.0"/>
      </rPr>
      <t>LT2 engine cover</t>
    </r>
    <r>
      <rPr>
        <rFont val="Calibri"/>
        <color rgb="FF000000"/>
        <sz val="11.0"/>
      </rPr>
      <t>, Black</t>
    </r>
    <r>
      <rPr>
        <rFont val="Calibri"/>
        <color rgb="FF000000"/>
        <sz val="11.0"/>
      </rPr>
      <t xml:space="preserve">
</t>
    </r>
    <r>
      <rPr>
        <rFont val="Calibri"/>
        <b/>
        <color rgb="FF000000"/>
        <sz val="9.0"/>
      </rPr>
      <t>1. Included and only available with (ZZ3) Convertible Engine Appearance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</si>
  <si>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</si>
  <si>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</si>
  <si>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</si>
  <si>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Exhaust</t>
    </r>
    <r>
      <rPr>
        <rFont val="Calibri"/>
        <color rgb="FF000000"/>
        <sz val="11.0"/>
      </rPr>
      <t>, performance</t>
    </r>
    <r>
      <rPr>
        <rFont val="Calibri"/>
        <color rgb="FF000000"/>
        <sz val="11.0"/>
      </rPr>
      <t>, aggressive exhaust sound varies with driver mode selected, with stainless-steel tips</t>
    </r>
  </si>
  <si>
    <r>
      <rPr>
        <rFont val="Calibri"/>
        <b/>
        <color rgb="FF000000"/>
        <sz val="11.0"/>
      </rPr>
      <t>Frame</t>
    </r>
    <r>
      <rPr>
        <rFont val="Calibri"/>
        <color rgb="FF000000"/>
        <sz val="11.0"/>
      </rPr>
      <t>, aluminum</t>
    </r>
    <r>
      <rPr>
        <rFont val="Calibri"/>
        <color rgb="FF000000"/>
        <sz val="11.0"/>
      </rPr>
      <t xml:space="preserve"> structure</t>
    </r>
  </si>
  <si>
    <r>
      <rPr>
        <rFont val="Calibri"/>
        <b/>
        <color rgb="FF000000"/>
        <sz val="11.0"/>
      </rPr>
      <t>Wipers</t>
    </r>
    <r>
      <rPr>
        <rFont val="Calibri"/>
        <color rgb="FF000000"/>
        <sz val="11.0"/>
      </rPr>
      <t>, front intermittent</t>
    </r>
  </si>
  <si>
    <r>
      <rPr>
        <rFont val="Calibri"/>
        <b/>
        <color rgb="FF000000"/>
        <sz val="11.0"/>
      </rPr>
      <t>Oil life monitoring system</t>
    </r>
  </si>
  <si>
    <r>
      <rPr>
        <rFont val="Calibri"/>
        <b/>
        <color rgb="FF000000"/>
        <sz val="11.0"/>
      </rPr>
      <t>Performance Traction Management</t>
    </r>
  </si>
  <si>
    <r>
      <rPr>
        <rFont val="Calibri"/>
        <b/>
        <color rgb="FF000000"/>
        <sz val="11.0"/>
      </rPr>
      <t>Rear axle</t>
    </r>
    <r>
      <rPr>
        <rFont val="Calibri"/>
        <color rgb="FF000000"/>
        <sz val="11.0"/>
      </rPr>
      <t>, performance ratio</t>
    </r>
  </si>
  <si>
    <r>
      <rPr>
        <rFont val="Calibri"/>
        <b/>
        <color rgb="FF000000"/>
        <sz val="11.0"/>
      </rPr>
      <t>Steering</t>
    </r>
    <r>
      <rPr>
        <rFont val="Calibri"/>
        <color rgb="FF000000"/>
        <sz val="11.0"/>
      </rPr>
      <t>, power</t>
    </r>
    <r>
      <rPr>
        <rFont val="Calibri"/>
        <color rgb="FF000000"/>
        <sz val="11.0"/>
      </rPr>
      <t>, electric, speed-sensitive, rack-and-pinion, variable ratio</t>
    </r>
  </si>
  <si>
    <r>
      <rPr>
        <rFont val="Calibri"/>
        <b/>
        <color rgb="FF000000"/>
        <sz val="11.0"/>
      </rPr>
      <t>Suspension</t>
    </r>
    <r>
      <rPr>
        <rFont val="Calibri"/>
        <color rgb="FF000000"/>
        <sz val="11.0"/>
      </rPr>
      <t>, performance</t>
    </r>
    <r>
      <rPr>
        <rFont val="Calibri"/>
        <color rgb="FF000000"/>
        <sz val="11.0"/>
      </rPr>
      <t xml:space="preserve"> with Magnetic Selective Ride Control</t>
    </r>
  </si>
  <si>
    <r>
      <rPr>
        <rFont val="Calibri"/>
        <b/>
        <color rgb="FF000000"/>
        <sz val="11.0"/>
      </rPr>
      <t>Traction control</t>
    </r>
    <r>
      <rPr>
        <rFont val="Calibri"/>
        <color rgb="FF000000"/>
        <sz val="11.0"/>
      </rPr>
      <t>, all-speed</t>
    </r>
  </si>
  <si>
    <r>
      <rPr>
        <rFont val="Calibri"/>
        <b/>
        <color rgb="FF000000"/>
        <sz val="11.0"/>
      </rPr>
      <t>Transmission</t>
    </r>
    <r>
      <rPr>
        <rFont val="Calibri"/>
        <color rgb="FF000000"/>
        <sz val="11.0"/>
      </rPr>
      <t>, 8-speed dual clutch, includes manual and auto modes</t>
    </r>
  </si>
  <si>
    <r>
      <rPr>
        <rFont val="Calibri"/>
        <b/>
        <color rgb="FF000000"/>
        <sz val="11.0"/>
      </rPr>
      <t>Tires</t>
    </r>
    <r>
      <rPr>
        <rFont val="Calibri"/>
        <color rgb="FF000000"/>
        <sz val="11.0"/>
      </rPr>
      <t>, 275/30ZR20 front and 345/25ZR21 rear, blackwall, high performance</t>
    </r>
    <r>
      <rPr>
        <rFont val="Calibri"/>
        <color rgb="FF000000"/>
        <sz val="11.0"/>
      </rPr>
      <t xml:space="preserve">
</t>
    </r>
    <r>
      <rPr>
        <rFont val="Calibri"/>
        <b/>
        <color rgb="FF000000"/>
        <sz val="9.0"/>
      </rPr>
      <t>1. Included and only available with (ZER) ZER Performance Package.</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</si>
  <si>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</si>
  <si>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</si>
  <si>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</si>
  <si>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</si>
  <si>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</si>
  <si>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color rgb="FF000000"/>
        <sz val="11.0"/>
      </rPr>
      <t>A</t>
    </r>
    <r>
      <rPr>
        <rFont val="Calibri"/>
        <color rgb="FF000000"/>
        <sz val="11.0"/>
        <vertAlign val="superscript"/>
      </rPr>
      <t>1</t>
    </r>
  </si>
  <si>
    <r>
      <rPr>
        <rFont val="Calibri"/>
        <b/>
        <color rgb="FF000000"/>
        <sz val="11.0"/>
      </rPr>
      <t>Performance data and video recorder</t>
    </r>
  </si>
  <si>
    <r>
      <rPr>
        <rFont val="Calibri"/>
        <b/>
        <color rgb="FF000000"/>
        <sz val="11.0"/>
      </rPr>
      <t>Steering wheel</t>
    </r>
    <r>
      <rPr>
        <rFont val="Calibri"/>
        <color rgb="FF000000"/>
        <sz val="11.0"/>
      </rPr>
      <t>, carbon fiber and leather-wrapped</t>
    </r>
  </si>
  <si>
    <r>
      <rPr>
        <rFont val="Calibri"/>
        <b/>
        <color rgb="FF000000"/>
        <sz val="11.0"/>
      </rPr>
      <t>Trunk release</t>
    </r>
    <r>
      <rPr>
        <rFont val="Calibri"/>
        <color rgb="FF000000"/>
        <sz val="11.0"/>
      </rPr>
      <t>, push button open</t>
    </r>
  </si>
  <si>
    <r>
      <rPr>
        <rFont val="Calibri"/>
        <b/>
        <color rgb="FF000000"/>
        <sz val="11.0"/>
      </rPr>
      <t>Convertible top</t>
    </r>
    <r>
      <rPr>
        <rFont val="Calibri"/>
        <color rgb="FF000000"/>
        <sz val="11.0"/>
      </rPr>
      <t>, retractable</t>
    </r>
    <r>
      <rPr>
        <rFont val="Calibri"/>
        <color rgb="FF000000"/>
        <sz val="11.0"/>
      </rPr>
      <t>, power-folding hard top, painted body-color roof, remote control (down only), includes power glass rear window with integral defogger</t>
    </r>
  </si>
  <si>
    <r>
      <rPr>
        <rFont val="Calibri"/>
        <b/>
        <color rgb="FF000000"/>
        <sz val="11.0"/>
      </rPr>
      <t>Audio system feature</t>
    </r>
    <r>
      <rPr>
        <rFont val="Calibri"/>
        <color rgb="FF000000"/>
        <sz val="11.0"/>
      </rPr>
      <t>, Bose Performance Series Sound System</t>
    </r>
    <r>
      <rPr>
        <rFont val="Calibri"/>
        <color rgb="FF000000"/>
        <sz val="11.0"/>
      </rPr>
      <t xml:space="preserve"> with 14 speakers</t>
    </r>
  </si>
  <si>
    <r>
      <rPr>
        <rFont val="Calibri"/>
        <b/>
        <color rgb="FF000000"/>
        <sz val="11.0"/>
      </rPr>
      <t>Cargo nets</t>
    </r>
    <r>
      <rPr>
        <rFont val="Calibri"/>
        <color rgb="FF000000"/>
        <sz val="11.0"/>
      </rPr>
      <t>, 2</t>
    </r>
  </si>
  <si>
    <r>
      <rPr>
        <rFont val="Calibri"/>
        <b/>
        <color rgb="FF000000"/>
        <sz val="11.0"/>
      </rPr>
      <t>HD Front and Rear Vision Cameras</t>
    </r>
    <r>
      <rPr>
        <rFont val="Calibri"/>
        <color rgb="FF000000"/>
        <sz val="11.0"/>
      </rPr>
      <t>, front camera is curb view</t>
    </r>
  </si>
  <si>
    <r>
      <rPr>
        <rFont val="Calibri"/>
        <b/>
        <color rgb="FF000000"/>
        <sz val="11.0"/>
      </rPr>
      <t>Memory Driver and Passenger Convenience Package</t>
    </r>
    <r>
      <rPr>
        <rFont val="Calibri"/>
        <color rgb="FF000000"/>
        <sz val="11.0"/>
      </rPr>
      <t>, includes steering wheel and outside mirrors plus seat memory for both driver and passenger; key fob or door button activated</t>
    </r>
  </si>
  <si>
    <r>
      <rPr>
        <rFont val="Calibri"/>
        <b/>
        <color rgb="FF000000"/>
        <sz val="11.0"/>
      </rPr>
      <t>Mirrors</t>
    </r>
    <r>
      <rPr>
        <rFont val="Calibri"/>
        <color rgb="FF000000"/>
        <sz val="11.0"/>
      </rPr>
      <t>, outside heated, power-adjustable</t>
    </r>
    <r>
      <rPr>
        <rFont val="Calibri"/>
        <color rgb="FF000000"/>
        <sz val="11.0"/>
      </rPr>
      <t>, power-folding, driver-side auto-dimming with turn signal indicators</t>
    </r>
  </si>
  <si>
    <r>
      <rPr>
        <rFont val="Calibri"/>
        <b/>
        <color rgb="FF000000"/>
        <sz val="11.0"/>
      </rPr>
      <t>Performance data and video recorder</t>
    </r>
  </si>
  <si>
    <r>
      <rPr>
        <rFont val="Calibri"/>
        <b/>
        <color rgb="FF000000"/>
        <sz val="11.0"/>
      </rPr>
      <t>Rear Cross Traffic Alert</t>
    </r>
  </si>
  <si>
    <r>
      <rPr>
        <rFont val="Calibri"/>
        <b/>
        <color rgb="FF000000"/>
        <sz val="11.0"/>
      </rPr>
      <t>Seat adjuster</t>
    </r>
    <r>
      <rPr>
        <rFont val="Calibri"/>
        <color rgb="FF000000"/>
        <sz val="11.0"/>
      </rPr>
      <t>, power driver lumbar control</t>
    </r>
  </si>
  <si>
    <r>
      <rPr>
        <rFont val="Calibri"/>
        <b/>
        <color rgb="FF000000"/>
        <sz val="11.0"/>
      </rPr>
      <t>Seat adjuster</t>
    </r>
    <r>
      <rPr>
        <rFont val="Calibri"/>
        <color rgb="FF000000"/>
        <sz val="11.0"/>
      </rPr>
      <t>, power passenger lumbar control</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</si>
  <si>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</si>
  <si>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</si>
  <si>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Seats</t>
    </r>
    <r>
      <rPr>
        <rFont val="Calibri"/>
        <color rgb="FF000000"/>
        <sz val="11.0"/>
      </rPr>
      <t>, heated and vented driver and passenger</t>
    </r>
  </si>
  <si>
    <r>
      <rPr>
        <rFont val="Calibri"/>
        <b/>
        <color rgb="FF000000"/>
        <sz val="11.0"/>
      </rPr>
      <t>Side Blind Zone Alert</t>
    </r>
  </si>
  <si>
    <r>
      <rPr>
        <rFont val="Calibri"/>
        <b/>
        <color rgb="FF000000"/>
        <sz val="11.0"/>
      </rPr>
      <t>Steering wheel</t>
    </r>
    <r>
      <rPr>
        <rFont val="Calibri"/>
        <color rgb="FF000000"/>
        <sz val="11.0"/>
      </rPr>
      <t>, heated</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</si>
  <si>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</si>
  <si>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</si>
  <si>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Theft-deterrent system</t>
    </r>
    <r>
      <rPr>
        <rFont val="Calibri"/>
        <color rgb="FF000000"/>
        <sz val="11.0"/>
      </rPr>
      <t>, electrical, unauthorized entry, activates the horn</t>
    </r>
  </si>
  <si>
    <r>
      <rPr>
        <rFont val="Calibri"/>
        <b/>
        <color rgb="FF000000"/>
        <sz val="11.0"/>
      </rPr>
      <t>Universal Home Remote</t>
    </r>
    <r>
      <rPr>
        <rFont val="Calibri"/>
        <color rgb="FF000000"/>
        <sz val="11.0"/>
      </rPr>
      <t xml:space="preserve">, includes garage door opener, 3-channel programmable, located on driver visor </t>
    </r>
  </si>
  <si>
    <r>
      <rPr>
        <rFont val="Calibri"/>
        <b/>
        <color rgb="FFFF0000"/>
        <sz val="11.0"/>
      </rPr>
      <t xml:space="preserve">NEW!  </t>
    </r>
    <r>
      <rPr>
        <rFont val="Calibri"/>
        <b/>
        <color rgb="FF000000"/>
        <sz val="11.0"/>
      </rPr>
      <t>Wireless Phone Charging</t>
    </r>
    <r>
      <rPr>
        <rFont val="Calibri"/>
        <color rgb="FF000000"/>
        <sz val="11.0"/>
      </rPr>
      <t>, 2 wireless charging pads for phone or portable devices, located on center console and between seatbacks</t>
    </r>
  </si>
  <si>
    <r>
      <rPr>
        <rFont val="Calibri"/>
        <b/>
        <color rgb="FF000000"/>
        <sz val="11.0"/>
      </rPr>
      <t>Custom Leather Wrapped Interior Package</t>
    </r>
    <r>
      <rPr>
        <rFont val="Calibri"/>
        <color rgb="FF000000"/>
        <sz val="11.0"/>
      </rPr>
      <t>, features leather-wrapped upper instrument panel, door trim panels and console</t>
    </r>
    <r>
      <rPr>
        <rFont val="Calibri"/>
        <color rgb="FF000000"/>
        <sz val="11.0"/>
      </rPr>
      <t xml:space="preserve">
</t>
    </r>
    <r>
      <rPr>
        <rFont val="Calibri"/>
        <b/>
        <color rgb="FF000000"/>
        <sz val="9.0"/>
      </rPr>
      <t>1. When (HUB/HUC) Ultimate Suede Jet Black is ordered, the instrument panel, door trim panels and console will be suede.</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</si>
  <si>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</si>
  <si>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</si>
  <si>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b/>
        <color rgb="FF000000"/>
        <sz val="11.0"/>
      </rPr>
      <t>Seats</t>
    </r>
    <r>
      <rPr>
        <rFont val="Calibri"/>
        <color rgb="FF000000"/>
        <sz val="11.0"/>
      </rPr>
      <t>, GT2 bucket</t>
    </r>
  </si>
  <si>
    <r>
      <rPr>
        <rFont val="Calibri"/>
        <b/>
        <color rgb="FF000000"/>
        <sz val="11.0"/>
      </rPr>
      <t>Sueded Microfiber-Wrapped Upper Interior Trim Package</t>
    </r>
    <r>
      <rPr>
        <rFont val="Calibri"/>
        <color rgb="FF000000"/>
        <sz val="11.0"/>
      </rPr>
      <t>, includes headliner, visors, trim above windshield and rear window, and A-pillar trim</t>
    </r>
  </si>
  <si>
    <r>
      <rPr>
        <rFont val="Calibri"/>
        <b/>
        <color rgb="FF000000"/>
        <sz val="11.0"/>
      </rPr>
      <t>Head-Up Display</t>
    </r>
    <r>
      <rPr>
        <rFont val="Calibri"/>
        <color rgb="FF000000"/>
        <sz val="11.0"/>
      </rPr>
      <t>, color display with 3 modes: tour, sport, track; can display speed, gear, tach, turn signals, bright headlamps, turn-by-turn navigation, g-meter, speed limit</t>
    </r>
  </si>
  <si>
    <t>ZR1 Coupe
1YR07
1LZ</t>
  </si>
  <si>
    <t>ZR1 Coupe
1YR07
3LZ</t>
  </si>
  <si>
    <t>ZR1 Convertible
1YR67
1LZ</t>
  </si>
  <si>
    <t>ZR1 Convertible
1YR67
3LZ</t>
  </si>
  <si>
    <r>
      <rPr>
        <rFont val="Calibri"/>
        <b/>
        <color rgb="FF000000"/>
        <sz val="11.0"/>
      </rPr>
      <t>Airbags</t>
    </r>
    <r>
      <rPr>
        <rFont val="Calibri"/>
        <color rgb="FF000000"/>
        <sz val="11.0"/>
      </rPr>
      <t>, frontal and side-impact, driver and passenger</t>
    </r>
    <r>
      <rPr>
        <rFont val="Calibri"/>
        <color rgb="FF000000"/>
        <sz val="11.0"/>
      </rPr>
      <t xml:space="preserve"> with Passenger Sensing System</t>
    </r>
    <r>
      <rPr>
        <rFont val="Calibri"/>
        <color rgb="FF000000"/>
        <sz val="11.0"/>
      </rPr>
      <t xml:space="preserve">
</t>
    </r>
    <r>
      <rPr>
        <rFont val="Calibri"/>
        <b/>
        <color rgb="FF000000"/>
        <sz val="9.0"/>
      </rPr>
      <t>1. Always use seat belts and child restraints. Never place an infant or child restraint seat in the front seat, even if the airbag is off. See the Owner's Manual for more information.</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</si>
  <si>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</si>
  <si>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</si>
  <si>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</si>
  <si>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</si>
  <si>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Air conditioning</t>
    </r>
    <r>
      <rPr>
        <rFont val="Calibri"/>
        <color rgb="FF000000"/>
        <sz val="11.0"/>
      </rPr>
      <t>, dual-zone automatic climate control</t>
    </r>
    <r>
      <rPr>
        <rFont val="Calibri"/>
        <color rgb="FF000000"/>
        <sz val="11.0"/>
      </rPr>
      <t>, individual climate settings for driver and passenger, with outside temperature display</t>
    </r>
  </si>
  <si>
    <r>
      <rPr>
        <rFont val="Calibri"/>
        <b/>
        <color rgb="FF000000"/>
        <sz val="11.0"/>
      </rPr>
      <t>Air filtration system</t>
    </r>
    <r>
      <rPr>
        <rFont val="Calibri"/>
        <color rgb="FF000000"/>
        <sz val="11.0"/>
      </rPr>
      <t xml:space="preserve"> with pollen filter</t>
    </r>
  </si>
  <si>
    <r>
      <rPr>
        <rFont val="Calibri"/>
        <b/>
        <color rgb="FFFF0000"/>
        <sz val="11.0"/>
      </rPr>
      <t xml:space="preserve">NEW!  </t>
    </r>
    <r>
      <rPr>
        <rFont val="Calibri"/>
        <b/>
        <color rgb="FF000000"/>
        <sz val="11.0"/>
      </rPr>
      <t>Infotainment system</t>
    </r>
    <r>
      <rPr>
        <rFont val="Calibri"/>
        <color rgb="FF000000"/>
        <sz val="11.0"/>
      </rPr>
      <t xml:space="preserve"> with Google Built-In</t>
    </r>
    <r>
      <rPr>
        <rFont val="Calibri"/>
        <color rgb="FF000000"/>
        <sz val="11.0"/>
      </rPr>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r>
  </si>
  <si>
    <r>
      <rPr>
        <rFont val="Calibri"/>
        <b/>
        <color rgb="FF000000"/>
        <sz val="11.0"/>
      </rPr>
      <t>Audio system feature</t>
    </r>
    <r>
      <rPr>
        <rFont val="Calibri"/>
        <color rgb="FF000000"/>
        <sz val="11.0"/>
      </rPr>
      <t>, Bose Premium 10-speaker system</t>
    </r>
  </si>
  <si>
    <r>
      <rPr>
        <rFont val="Calibri"/>
        <b/>
        <color rgb="FF000000"/>
        <sz val="11.0"/>
      </rPr>
      <t>SiriusXM with 360L</t>
    </r>
    <r>
      <rPr>
        <rFont val="Calibri"/>
        <color rgb="FF000000"/>
        <sz val="11.0"/>
      </rPr>
      <t xml:space="preserve"> Trial Subscription. SiriusXM with 360L transforms your customers' ride with our most extensive and personalized radio experience on the road.</t>
    </r>
    <r>
      <rPr>
        <rFont val="Calibri"/>
        <color rgb="FF000000"/>
        <sz val="11.0"/>
      </rPr>
      <t xml:space="preserve">
</t>
    </r>
    <r>
      <rPr>
        <rFont val="Calibri"/>
        <b/>
        <color rgb="FF000000"/>
        <sz val="9.0"/>
      </rPr>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 Some features require GM connected vehicle services.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</si>
  <si>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</si>
  <si>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</si>
  <si>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</si>
  <si>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</si>
  <si>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Compass</t>
    </r>
    <r>
      <rPr>
        <rFont val="Calibri"/>
        <color rgb="FF000000"/>
        <sz val="11.0"/>
      </rPr>
      <t>, digital</t>
    </r>
  </si>
  <si>
    <r>
      <rPr>
        <rFont val="Calibri"/>
        <b/>
        <color rgb="FF000000"/>
        <sz val="11.0"/>
      </rPr>
      <t>Console</t>
    </r>
    <r>
      <rPr>
        <rFont val="Calibri"/>
        <color rgb="FF000000"/>
        <sz val="11.0"/>
      </rPr>
      <t>, floor</t>
    </r>
    <r>
      <rPr>
        <rFont val="Calibri"/>
        <color rgb="FF000000"/>
        <sz val="11.0"/>
      </rPr>
      <t>, 2 cup holders, auxiliary power outlet, 3 USB ports (2 type-C, 1 type-A), passenger grab handle and lockable storage</t>
    </r>
  </si>
  <si>
    <r>
      <rPr>
        <rFont val="Calibri"/>
        <b/>
        <color rgb="FF000000"/>
        <sz val="11.0"/>
      </rPr>
      <t>Cruise control</t>
    </r>
    <r>
      <rPr>
        <rFont val="Calibri"/>
        <color rgb="FF000000"/>
        <sz val="11.0"/>
      </rPr>
      <t>, electronic with set and resume speed</t>
    </r>
  </si>
  <si>
    <r>
      <rPr>
        <rFont val="Calibri"/>
        <b/>
        <color rgb="FFFF0000"/>
        <sz val="11.0"/>
      </rPr>
      <t xml:space="preserve">NEW!  </t>
    </r>
    <r>
      <rPr>
        <rFont val="Calibri"/>
        <b/>
        <color rgb="FF000000"/>
        <sz val="11.0"/>
      </rPr>
      <t>Display hood</t>
    </r>
    <r>
      <rPr>
        <rFont val="Calibri"/>
        <color rgb="FF000000"/>
        <sz val="11.0"/>
      </rPr>
      <t>, Carbon Fiber</t>
    </r>
    <r>
      <rPr>
        <rFont val="Calibri"/>
        <color rgb="FF000000"/>
        <sz val="11.0"/>
      </rPr>
      <t>, located above the Driver Information Center display</t>
    </r>
  </si>
  <si>
    <r>
      <rPr>
        <rFont val="Calibri"/>
        <b/>
        <color rgb="FF000000"/>
        <sz val="11.0"/>
      </rPr>
      <t>Door locks</t>
    </r>
    <r>
      <rPr>
        <rFont val="Calibri"/>
        <color rgb="FF000000"/>
        <sz val="11.0"/>
      </rPr>
      <t>, power programmable</t>
    </r>
    <r>
      <rPr>
        <rFont val="Calibri"/>
        <color rgb="FF000000"/>
        <sz val="11.0"/>
      </rPr>
      <t xml:space="preserve"> with lockout protection</t>
    </r>
  </si>
  <si>
    <r>
      <rPr>
        <rFont val="Calibri"/>
        <b/>
        <color rgb="FF000000"/>
        <sz val="11.0"/>
      </rPr>
      <t>Floor mats</t>
    </r>
    <r>
      <rPr>
        <rFont val="Calibri"/>
        <color rgb="FF000000"/>
        <sz val="11.0"/>
      </rPr>
      <t>, carpeted</t>
    </r>
  </si>
  <si>
    <r>
      <rPr>
        <rFont val="Calibri"/>
        <b/>
        <color rgb="FF000000"/>
        <sz val="11.0"/>
      </rPr>
      <t>Forward Collision Alert</t>
    </r>
  </si>
  <si>
    <r>
      <rPr>
        <rFont val="Calibri"/>
        <b/>
        <color rgb="FF000000"/>
        <sz val="11.0"/>
      </rPr>
      <t>Hatch release</t>
    </r>
    <r>
      <rPr>
        <rFont val="Calibri"/>
        <color rgb="FF000000"/>
        <sz val="11.0"/>
      </rPr>
      <t>, push button open</t>
    </r>
  </si>
  <si>
    <r>
      <rPr>
        <rFont val="Calibri"/>
        <b/>
        <color rgb="FF000000"/>
        <sz val="11.0"/>
      </rPr>
      <t>Head-Up Display</t>
    </r>
    <r>
      <rPr>
        <rFont val="Calibri"/>
        <color rgb="FF000000"/>
        <sz val="11.0"/>
      </rPr>
      <t>, color display with 3 modes: tour, sport, track; can display speed, gear, tach, turn signals, bright headlamps, turn-by-turn navigation, g-meter, speed limit</t>
    </r>
  </si>
  <si>
    <r>
      <rPr>
        <rFont val="Calibri"/>
        <b/>
        <color rgb="FF000000"/>
        <sz val="11.0"/>
      </rPr>
      <t>Keyless Open and Start</t>
    </r>
    <r>
      <rPr>
        <rFont val="Calibri"/>
        <color rgb="FF000000"/>
        <sz val="11.0"/>
      </rPr>
      <t>, includes 2 remote transmitters that enable automatic door unlock and open by touching door switch</t>
    </r>
  </si>
  <si>
    <r>
      <rPr>
        <rFont val="Calibri"/>
        <b/>
        <color rgb="FF000000"/>
        <sz val="11.0"/>
      </rPr>
      <t>Lane Keep Assist with Lane Departure Warning</t>
    </r>
  </si>
  <si>
    <r>
      <rPr>
        <rFont val="Calibri"/>
        <b/>
        <color rgb="FF000000"/>
        <sz val="11.0"/>
      </rPr>
      <t>Lighting</t>
    </r>
    <r>
      <rPr>
        <rFont val="Calibri"/>
        <color rgb="FF000000"/>
        <sz val="11.0"/>
      </rPr>
      <t>, interior</t>
    </r>
    <r>
      <rPr>
        <rFont val="Calibri"/>
        <color rgb="FF000000"/>
        <sz val="11.0"/>
      </rPr>
      <t>, theater dimming</t>
    </r>
  </si>
  <si>
    <r>
      <rPr>
        <rFont val="Calibri"/>
        <b/>
        <color rgb="FF000000"/>
        <sz val="11.0"/>
      </rPr>
      <t>Rear Camera Mirror</t>
    </r>
    <r>
      <rPr>
        <rFont val="Calibri"/>
        <color rgb="FF000000"/>
        <sz val="11.0"/>
      </rPr>
      <t>, inside rearview auto-dimming with full camera display</t>
    </r>
  </si>
  <si>
    <r>
      <rPr>
        <rFont val="Calibri"/>
        <b/>
        <color rgb="FF000000"/>
        <sz val="11.0"/>
      </rPr>
      <t>OnStar services capable</t>
    </r>
    <r>
      <rPr>
        <rFont val="Calibri"/>
        <color rgb="FF000000"/>
        <sz val="11.0"/>
      </rPr>
      <t xml:space="preserve">
</t>
    </r>
    <r>
      <rPr>
        <rFont val="Calibri"/>
        <b/>
        <color rgb="FF000000"/>
        <sz val="9.0"/>
      </rPr>
      <t>1. See onstar.com for details and limitations. Services vary by model. Service plan required.</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</si>
  <si>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</si>
  <si>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</si>
  <si>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</si>
  <si>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</si>
  <si>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Wi-Fi Hotspot capable</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</si>
  <si>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</si>
  <si>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</si>
  <si>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</si>
  <si>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</si>
  <si>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FF0000"/>
        <sz val="11.0"/>
      </rPr>
      <t xml:space="preserve">NEW!  </t>
    </r>
    <r>
      <rPr>
        <rFont val="Calibri"/>
        <b/>
        <color rgb="FF000000"/>
        <sz val="11.0"/>
      </rPr>
      <t>5G vehicle connectivity</t>
    </r>
    <r>
      <rPr>
        <rFont val="Calibri"/>
        <color rgb="FF000000"/>
        <sz val="11.0"/>
      </rPr>
      <t xml:space="preserve">
</t>
    </r>
    <r>
      <rPr>
        <rFont val="Calibri"/>
        <b/>
        <color rgb="FF000000"/>
        <sz val="9.0"/>
      </rPr>
      <t>1. Terms and limitations apply. See onstar.com or dealer for details.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</si>
  <si>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</si>
  <si>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</si>
  <si>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</si>
  <si>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</si>
  <si>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OnStar Basics (OnStar Fleet Basics for Fleet)</t>
    </r>
    <r>
      <rPr>
        <rFont val="Calibri"/>
        <color rgb="FF000000"/>
        <sz val="11.0"/>
      </rPr>
      <t xml:space="preserve"> Drive confidently with core OnStar services including remote commands, built-in voice assistance, real-time traffic and navigation, and Automatic Crash Response to help if you're in need.</t>
    </r>
    <r>
      <rPr>
        <rFont val="Calibri"/>
        <color rgb="FF000000"/>
        <sz val="11.0"/>
      </rPr>
      <t xml:space="preserve">
</t>
    </r>
    <r>
      <rPr>
        <rFont val="Calibri"/>
        <b/>
        <color rgb="FF000000"/>
        <sz val="9.0"/>
      </rPr>
      <t>1. Requires (UE1) OnStar. OnStar Basics includes remote commands, Navigation, Voice Assistance, and Automatic Crash Response, for eligible vehicles with compatible software. OnStar Basics is standard for 8 years; OnStar plan, working electrical system, cell reception and GPS signal required. OnStar links to emergency services. Service coverage varies with conditions and location. Service availability, features and functionality vary by device and software version. See onstar.com for details and limitations.</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</si>
  <si>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</si>
  <si>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</si>
  <si>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</si>
  <si>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</si>
  <si>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Performance data and video recorder</t>
    </r>
  </si>
  <si>
    <r>
      <rPr>
        <rFont val="Calibri"/>
        <b/>
        <color rgb="FF000000"/>
        <sz val="11.0"/>
      </rPr>
      <t>HD Rear Vision Camera</t>
    </r>
  </si>
  <si>
    <r>
      <rPr>
        <rFont val="Calibri"/>
        <b/>
        <color rgb="FF000000"/>
        <sz val="11.0"/>
      </rPr>
      <t>Remote vehicle starter system</t>
    </r>
  </si>
  <si>
    <r>
      <rPr>
        <rFont val="Calibri"/>
        <b/>
        <color rgb="FF000000"/>
        <sz val="11.0"/>
      </rPr>
      <t>Seat belt color</t>
    </r>
    <r>
      <rPr>
        <rFont val="Calibri"/>
        <color rgb="FF000000"/>
        <sz val="11.0"/>
      </rPr>
      <t>, Black</t>
    </r>
    <r>
      <rPr>
        <rFont val="Calibri"/>
        <color rgb="FF000000"/>
        <sz val="11.0"/>
      </rPr>
      <t xml:space="preserve">
</t>
    </r>
    <r>
      <rPr>
        <rFont val="Calibri"/>
        <b/>
        <color rgb="FF000000"/>
        <sz val="9.0"/>
      </rPr>
      <t>1. (HZN/HUF) Natural Dipped interior comes with (3N9) Natural seat belt color; (H8T) Santorini Blue interior comes with (3A9) Santorini Blue seat belt color; (HNK) Adrenaline Red Dipped comes with (3F9) Torch Red seat belt color; (HUW/HUX) Habanero interior and (EMT) Sky Cool/Medium Ash Gray interior comes with (379) Orange seat belt color.</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</si>
  <si>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</si>
  <si>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</si>
  <si>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Seats</t>
    </r>
    <r>
      <rPr>
        <rFont val="Calibri"/>
        <color rgb="FF000000"/>
        <sz val="11.0"/>
      </rPr>
      <t>, GT1 bucket</t>
    </r>
  </si>
  <si>
    <r>
      <rPr>
        <rFont val="Calibri"/>
        <b/>
        <color rgb="FF000000"/>
        <sz val="11.0"/>
      </rPr>
      <t>Seat adjuster</t>
    </r>
    <r>
      <rPr>
        <rFont val="Calibri"/>
        <color rgb="FF000000"/>
        <sz val="11.0"/>
      </rPr>
      <t>, driver 8-way power</t>
    </r>
  </si>
  <si>
    <r>
      <rPr>
        <rFont val="Calibri"/>
        <b/>
        <color rgb="FF000000"/>
        <sz val="11.0"/>
      </rPr>
      <t>Seat adjuster</t>
    </r>
    <r>
      <rPr>
        <rFont val="Calibri"/>
        <color rgb="FF000000"/>
        <sz val="11.0"/>
      </rPr>
      <t>, passenger 8-way power</t>
    </r>
  </si>
  <si>
    <r>
      <rPr>
        <rFont val="Calibri"/>
        <b/>
        <color rgb="FF000000"/>
        <sz val="11.0"/>
      </rPr>
      <t>Steering column</t>
    </r>
    <r>
      <rPr>
        <rFont val="Calibri"/>
        <color rgb="FF000000"/>
        <sz val="11.0"/>
      </rPr>
      <t>, power tilt and telescopic</t>
    </r>
  </si>
  <si>
    <r>
      <rPr>
        <rFont val="Calibri"/>
        <b/>
        <color rgb="FF000000"/>
        <sz val="11.0"/>
      </rPr>
      <t>Steering wheel</t>
    </r>
    <r>
      <rPr>
        <rFont val="Calibri"/>
        <color rgb="FF000000"/>
        <sz val="11.0"/>
      </rPr>
      <t>, leather-wrapped</t>
    </r>
  </si>
  <si>
    <r>
      <rPr>
        <rFont val="Calibri"/>
        <b/>
        <color rgb="FF000000"/>
        <sz val="11.0"/>
      </rPr>
      <t>Steering wheel</t>
    </r>
    <r>
      <rPr>
        <rFont val="Calibri"/>
        <color rgb="FF000000"/>
        <sz val="11.0"/>
      </rPr>
      <t>, carbon fiber and leather-wrapped</t>
    </r>
  </si>
  <si>
    <r>
      <rPr>
        <rFont val="Calibri"/>
        <b/>
        <color rgb="FF000000"/>
        <sz val="11.0"/>
      </rPr>
      <t>Steering wheel controls</t>
    </r>
    <r>
      <rPr>
        <rFont val="Calibri"/>
        <color rgb="FF000000"/>
        <sz val="11.0"/>
      </rPr>
      <t>, audio, voice recognition, cruise and Driver Information Center</t>
    </r>
  </si>
  <si>
    <r>
      <rPr>
        <rFont val="Calibri"/>
        <b/>
        <color rgb="FF000000"/>
        <sz val="11.0"/>
      </rPr>
      <t>Teen Driver</t>
    </r>
    <r>
      <rPr>
        <rFont val="Calibri"/>
        <color rgb="FF000000"/>
        <sz val="11.0"/>
      </rPr>
      <t>, 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r>
  </si>
  <si>
    <r>
      <rPr>
        <rFont val="Calibri"/>
        <b/>
        <color rgb="FF000000"/>
        <sz val="11.0"/>
      </rPr>
      <t>Theft-deterrent system</t>
    </r>
    <r>
      <rPr>
        <rFont val="Calibri"/>
        <color rgb="FF000000"/>
        <sz val="11.0"/>
      </rPr>
      <t>, vehicle, push button start, immobilizer and audible visual alarm</t>
    </r>
  </si>
  <si>
    <r>
      <rPr>
        <rFont val="Calibri"/>
        <b/>
        <color rgb="FF000000"/>
        <sz val="11.0"/>
      </rPr>
      <t>Antenna</t>
    </r>
    <r>
      <rPr>
        <rFont val="Calibri"/>
        <color rgb="FF000000"/>
        <sz val="11.0"/>
      </rPr>
      <t>, integral front and rear</t>
    </r>
  </si>
  <si>
    <r>
      <rPr>
        <rFont val="Calibri"/>
        <b/>
        <color rgb="FF000000"/>
        <sz val="11.0"/>
      </rPr>
      <t>Trunk release</t>
    </r>
    <r>
      <rPr>
        <rFont val="Calibri"/>
        <color rgb="FF000000"/>
        <sz val="11.0"/>
      </rPr>
      <t>, push button open</t>
    </r>
  </si>
  <si>
    <r>
      <rPr>
        <rFont val="Calibri"/>
        <b/>
        <color rgb="FF000000"/>
        <sz val="11.0"/>
      </rPr>
      <t>Vehicle health management</t>
    </r>
    <r>
      <rPr>
        <rFont val="Calibri"/>
        <color rgb="FF000000"/>
        <sz val="11.0"/>
      </rPr>
      <t>, provides advanced warning of vehicle issues</t>
    </r>
  </si>
  <si>
    <r>
      <rPr>
        <rFont val="Calibri"/>
        <b/>
        <color rgb="FF000000"/>
        <sz val="11.0"/>
      </rPr>
      <t>Visors</t>
    </r>
    <r>
      <rPr>
        <rFont val="Calibri"/>
        <color rgb="FF000000"/>
        <sz val="11.0"/>
      </rPr>
      <t>, driver and passenger illuminated vanity mirrors</t>
    </r>
    <r>
      <rPr>
        <rFont val="Calibri"/>
        <color rgb="FF000000"/>
        <sz val="11.0"/>
      </rPr>
      <t>, covered</t>
    </r>
  </si>
  <si>
    <r>
      <rPr>
        <rFont val="Calibri"/>
        <b/>
        <color rgb="FF000000"/>
        <sz val="11.0"/>
      </rPr>
      <t>Windows</t>
    </r>
    <r>
      <rPr>
        <rFont val="Calibri"/>
        <color rgb="FF000000"/>
        <sz val="11.0"/>
      </rPr>
      <t>, power</t>
    </r>
    <r>
      <rPr>
        <rFont val="Calibri"/>
        <color rgb="FF000000"/>
        <sz val="11.0"/>
      </rPr>
      <t xml:space="preserve"> with driver and passenger Express-Down/Up</t>
    </r>
  </si>
  <si>
    <r>
      <rPr>
        <rFont val="Calibri"/>
        <b/>
        <color rgb="FF000000"/>
        <sz val="11.0"/>
      </rPr>
      <t>Carbon Flash Exterior Badge Package</t>
    </r>
  </si>
  <si>
    <r>
      <rPr>
        <rFont val="Calibri"/>
        <b/>
        <color rgb="FF000000"/>
        <sz val="11.0"/>
      </rPr>
      <t>Wireless Apple CarPlay/Wireless Android Auto</t>
    </r>
  </si>
  <si>
    <r>
      <rPr>
        <rFont val="Calibri"/>
        <b/>
        <color rgb="FFFF0000"/>
        <sz val="11.0"/>
      </rPr>
      <t xml:space="preserve">NEW!  </t>
    </r>
    <r>
      <rPr>
        <rFont val="Calibri"/>
        <b/>
        <color rgb="FF000000"/>
        <sz val="11.0"/>
      </rPr>
      <t>Wireless Phone Charging</t>
    </r>
    <r>
      <rPr>
        <rFont val="Calibri"/>
        <color rgb="FF000000"/>
        <sz val="11.0"/>
      </rPr>
      <t>, wireless charging pad for phone or portable devices, located on center console</t>
    </r>
  </si>
  <si>
    <r>
      <rPr>
        <rFont val="Calibri"/>
        <b/>
        <color rgb="FF000000"/>
        <sz val="11.0"/>
      </rPr>
      <t>Convertible top</t>
    </r>
    <r>
      <rPr>
        <rFont val="Calibri"/>
        <color rgb="FF000000"/>
        <sz val="11.0"/>
      </rPr>
      <t>, retractable, power-folding hard top</t>
    </r>
    <r>
      <rPr>
        <rFont val="Calibri"/>
        <color rgb="FF000000"/>
        <sz val="11.0"/>
      </rPr>
      <t>, visible carbon fiber, remote control (down only), includes power glass rear window with integral defogger; Nacelles, A-pillars, and header are Carbon-Flash painted (body-color when (GBA) Black exterior color is selected)</t>
    </r>
  </si>
  <si>
    <r>
      <rPr>
        <rFont val="Calibri"/>
        <b/>
        <color rgb="FF000000"/>
        <sz val="11.0"/>
      </rPr>
      <t>Daytime running lamps</t>
    </r>
  </si>
  <si>
    <r>
      <rPr>
        <rFont val="Calibri"/>
        <b/>
        <color rgb="FF000000"/>
        <sz val="11.0"/>
      </rPr>
      <t>Exterior accents</t>
    </r>
    <r>
      <rPr>
        <rFont val="Calibri"/>
        <color rgb="FF000000"/>
        <sz val="11.0"/>
      </rPr>
      <t>, Carbon Flash</t>
    </r>
    <r>
      <rPr>
        <rFont val="Calibri"/>
        <color rgb="FF000000"/>
        <sz val="11.0"/>
      </rPr>
      <t>, side vents and front/rear grille accents</t>
    </r>
    <r>
      <rPr>
        <rFont val="Calibri"/>
        <color rgb="FF000000"/>
        <sz val="11.0"/>
      </rPr>
      <t xml:space="preserve">
</t>
    </r>
    <r>
      <rPr>
        <rFont val="Calibri"/>
        <b/>
        <color rgb="FF000000"/>
        <sz val="9.0"/>
      </rPr>
      <t>1. Also includes tonneau grille.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</si>
  <si>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</si>
  <si>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</si>
  <si>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Glass</t>
    </r>
    <r>
      <rPr>
        <rFont val="Calibri"/>
        <color rgb="FF000000"/>
        <sz val="11.0"/>
      </rPr>
      <t>, Solar-Ray light-tinted</t>
    </r>
  </si>
  <si>
    <r>
      <rPr>
        <rFont val="Calibri"/>
        <b/>
        <color rgb="FF000000"/>
        <sz val="11.0"/>
      </rPr>
      <t>Ground effects</t>
    </r>
    <r>
      <rPr>
        <rFont val="Calibri"/>
        <color rgb="FF000000"/>
        <sz val="11.0"/>
      </rPr>
      <t>, visible carbon fiber</t>
    </r>
  </si>
  <si>
    <r>
      <rPr>
        <rFont val="Calibri"/>
        <b/>
        <color rgb="FF000000"/>
        <sz val="11.0"/>
      </rPr>
      <t>Headlamps</t>
    </r>
    <r>
      <rPr>
        <rFont val="Calibri"/>
        <color rgb="FF000000"/>
        <sz val="11.0"/>
      </rPr>
      <t>, LED</t>
    </r>
  </si>
  <si>
    <r>
      <rPr>
        <rFont val="Calibri"/>
        <b/>
        <color rgb="FF000000"/>
        <sz val="11.0"/>
      </rPr>
      <t>IntelliBeam</t>
    </r>
    <r>
      <rPr>
        <rFont val="Calibri"/>
        <color rgb="FF000000"/>
        <sz val="11.0"/>
      </rPr>
      <t>, auto high beam</t>
    </r>
  </si>
  <si>
    <r>
      <rPr>
        <rFont val="Calibri"/>
        <b/>
        <color rgb="FF000000"/>
        <sz val="11.0"/>
      </rPr>
      <t>Mirrors</t>
    </r>
    <r>
      <rPr>
        <rFont val="Calibri"/>
        <color rgb="FF000000"/>
        <sz val="11.0"/>
      </rPr>
      <t>, outside heated, power-adjustable</t>
    </r>
    <r>
      <rPr>
        <rFont val="Calibri"/>
        <color rgb="FF000000"/>
        <sz val="11.0"/>
      </rPr>
      <t>, manual-folding with turn signal indicators</t>
    </r>
  </si>
  <si>
    <r>
      <rPr>
        <rFont val="Calibri"/>
        <b/>
        <color rgb="FF000000"/>
        <sz val="11.0"/>
      </rPr>
      <t>Roof panel</t>
    </r>
    <r>
      <rPr>
        <rFont val="Calibri"/>
        <color rgb="FF000000"/>
        <sz val="11.0"/>
      </rPr>
      <t>, visible carbon fiber with body-color surround</t>
    </r>
    <r>
      <rPr>
        <rFont val="Calibri"/>
        <color rgb="FF000000"/>
        <sz val="11.0"/>
      </rPr>
      <t>, removable</t>
    </r>
  </si>
  <si>
    <r>
      <rPr>
        <rFont val="Calibri"/>
        <b/>
        <color rgb="FF000000"/>
        <sz val="11.0"/>
      </rPr>
      <t>Rear Park Assist</t>
    </r>
  </si>
  <si>
    <r>
      <rPr>
        <rFont val="Calibri"/>
        <b/>
        <color rgb="FF000000"/>
        <sz val="11.0"/>
      </rPr>
      <t>Spoiler</t>
    </r>
    <r>
      <rPr>
        <rFont val="Calibri"/>
        <color rgb="FF000000"/>
        <sz val="11.0"/>
      </rPr>
      <t>, rear</t>
    </r>
  </si>
  <si>
    <r>
      <rPr>
        <rFont val="Calibri"/>
        <b/>
        <color rgb="FF000000"/>
        <sz val="11.0"/>
      </rPr>
      <t>Active handling stability control</t>
    </r>
    <r>
      <rPr>
        <rFont val="Calibri"/>
        <color rgb="FF000000"/>
        <sz val="11.0"/>
      </rPr>
      <t>, improves traction and enhances vehicle stability</t>
    </r>
  </si>
  <si>
    <r>
      <rPr>
        <rFont val="Calibri"/>
        <b/>
        <color rgb="FF000000"/>
        <sz val="11.0"/>
      </rPr>
      <t>Brakes</t>
    </r>
    <r>
      <rPr>
        <rFont val="Calibri"/>
        <color rgb="FF000000"/>
        <sz val="11.0"/>
      </rPr>
      <t>, 4-wheel antilock, 4-wheel disc</t>
    </r>
    <r>
      <rPr>
        <rFont val="Calibri"/>
        <color rgb="FF000000"/>
        <sz val="11.0"/>
      </rPr>
      <t>, carbon ceramic, ZR1-specific</t>
    </r>
  </si>
  <si>
    <r>
      <rPr>
        <rFont val="Calibri"/>
        <b/>
        <color rgb="FF000000"/>
        <sz val="11.0"/>
      </rPr>
      <t>Automatic Emergency Braking</t>
    </r>
  </si>
  <si>
    <r>
      <rPr>
        <rFont val="Calibri"/>
        <b/>
        <color rgb="FF000000"/>
        <sz val="11.0"/>
      </rPr>
      <t>Front Pedestrian and Bicyclist Braking</t>
    </r>
  </si>
  <si>
    <r>
      <rPr>
        <rFont val="Calibri"/>
        <b/>
        <color rgb="FF000000"/>
        <sz val="11.0"/>
      </rPr>
      <t>Calipers</t>
    </r>
    <r>
      <rPr>
        <rFont val="Calibri"/>
        <color rgb="FF000000"/>
        <sz val="11.0"/>
      </rPr>
      <t>, Dark Gray Metallic</t>
    </r>
    <r>
      <rPr>
        <rFont val="Calibri"/>
        <color rgb="FF000000"/>
        <sz val="11.0"/>
      </rPr>
      <t>-painted</t>
    </r>
  </si>
  <si>
    <r>
      <rPr>
        <rFont val="Calibri"/>
        <b/>
        <color rgb="FF000000"/>
        <sz val="11.0"/>
      </rPr>
      <t>Tires</t>
    </r>
    <r>
      <rPr>
        <rFont val="Calibri"/>
        <color rgb="FF000000"/>
        <sz val="11.0"/>
      </rPr>
      <t>, 275/30ZR20 front and 345/25ZR21 rear, blackwall, high performance</t>
    </r>
  </si>
  <si>
    <r>
      <rPr>
        <rFont val="Calibri"/>
        <b/>
        <color rgb="FF000000"/>
        <sz val="11.0"/>
      </rPr>
      <t>Engine</t>
    </r>
    <r>
      <rPr>
        <rFont val="Calibri"/>
        <color rgb="FF000000"/>
        <sz val="11.0"/>
      </rPr>
      <t>, 5.5L V8 Twin Turbo</t>
    </r>
    <r>
      <rPr>
        <rFont val="Calibri"/>
        <color rgb="FF000000"/>
        <sz val="11.0"/>
      </rPr>
      <t>, TPI, DI, high-output, Variable Valve Timing (VVT) (1064 hp [793 kW] @ 7000 rpm, 828 lb-ft of torque [1123 N-m] @ 6000 rpm)</t>
    </r>
  </si>
  <si>
    <r>
      <rPr>
        <rFont val="Calibri"/>
        <b/>
        <color rgb="FF000000"/>
        <sz val="11.0"/>
      </rPr>
      <t>Coupe Engine Appearance Package</t>
    </r>
    <r>
      <rPr>
        <rFont val="Calibri"/>
        <color rgb="FF000000"/>
        <sz val="11.0"/>
      </rPr>
      <t>, includes carbon fiber trim and (SL9) engine specification plaque, LPO</t>
    </r>
  </si>
  <si>
    <r>
      <rPr>
        <rFont val="Calibri"/>
        <b/>
        <color rgb="FF000000"/>
        <sz val="11.0"/>
      </rPr>
      <t>Convertible Engine Appearance Package</t>
    </r>
    <r>
      <rPr>
        <rFont val="Calibri"/>
        <color rgb="FF000000"/>
        <sz val="11.0"/>
      </rPr>
      <t>, includes window under tonneau cover, engine intake and (SL9) engine specification plaque, LPO</t>
    </r>
  </si>
  <si>
    <r>
      <rPr>
        <rFont val="Calibri"/>
        <b/>
        <color rgb="FF000000"/>
        <sz val="11.0"/>
      </rPr>
      <t>Engine lighting</t>
    </r>
  </si>
  <si>
    <r>
      <rPr>
        <rFont val="Calibri"/>
        <b/>
        <color rgb="FF000000"/>
        <sz val="11.0"/>
      </rPr>
      <t>Wheels</t>
    </r>
    <r>
      <rPr>
        <rFont val="Calibri"/>
        <color rgb="FF000000"/>
        <sz val="11.0"/>
      </rPr>
      <t>, 20" x 10" (50.8 cm x 25.4 cm) front and 21" x 13" (53.3 cm x 33 cm) rear 20-spoke, Sterling Silver-painted forged aluminum</t>
    </r>
  </si>
  <si>
    <r>
      <rPr>
        <rFont val="Calibri"/>
        <b/>
        <color rgb="FF000000"/>
        <sz val="11.0"/>
      </rPr>
      <t>Exhaust</t>
    </r>
    <r>
      <rPr>
        <rFont val="Calibri"/>
        <color rgb="FF000000"/>
        <sz val="11.0"/>
      </rPr>
      <t>, performance</t>
    </r>
    <r>
      <rPr>
        <rFont val="Calibri"/>
        <color rgb="FF000000"/>
        <sz val="11.0"/>
      </rPr>
      <t>, aggressive exhaust sound varies with driver mode selected, with stainless-steel tips</t>
    </r>
  </si>
  <si>
    <r>
      <rPr>
        <rFont val="Calibri"/>
        <b/>
        <color rgb="FF000000"/>
        <sz val="11.0"/>
      </rPr>
      <t>Frame</t>
    </r>
    <r>
      <rPr>
        <rFont val="Calibri"/>
        <color rgb="FF000000"/>
        <sz val="11.0"/>
      </rPr>
      <t>, aluminum</t>
    </r>
    <r>
      <rPr>
        <rFont val="Calibri"/>
        <color rgb="FF000000"/>
        <sz val="11.0"/>
      </rPr>
      <t xml:space="preserve"> structure</t>
    </r>
  </si>
  <si>
    <r>
      <rPr>
        <rFont val="Calibri"/>
        <b/>
        <color rgb="FF000000"/>
        <sz val="11.0"/>
      </rPr>
      <t>Gas guzzler tax</t>
    </r>
    <r>
      <rPr>
        <rFont val="Calibri"/>
        <color rgb="FF000000"/>
        <sz val="11.0"/>
      </rPr>
      <t>, mandatory federal tax added to price of vehicle</t>
    </r>
  </si>
  <si>
    <r>
      <rPr>
        <rFont val="Calibri"/>
        <b/>
        <color rgb="FF000000"/>
        <sz val="11.0"/>
      </rPr>
      <t>Wipers</t>
    </r>
    <r>
      <rPr>
        <rFont val="Calibri"/>
        <color rgb="FF000000"/>
        <sz val="11.0"/>
      </rPr>
      <t>, front intermittent</t>
    </r>
  </si>
  <si>
    <r>
      <rPr>
        <rFont val="Calibri"/>
        <b/>
        <color rgb="FF000000"/>
        <sz val="11.0"/>
      </rPr>
      <t>LPO, Engine specification plaque</t>
    </r>
    <r>
      <rPr>
        <rFont val="Calibri"/>
        <color rgb="FF000000"/>
        <sz val="11.0"/>
      </rPr>
      <t>, Genuine Corvette Accessory</t>
    </r>
    <r>
      <rPr>
        <rFont val="Calibri"/>
        <color rgb="FF000000"/>
        <sz val="11.0"/>
      </rPr>
      <t xml:space="preserve">
</t>
    </r>
    <r>
      <rPr>
        <rFont val="Calibri"/>
        <b/>
        <color rgb="FF000000"/>
        <sz val="9.0"/>
      </rPr>
      <t>1. Included with (B6P/ZZ3) Engine Appearance Package.</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</si>
  <si>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</si>
  <si>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</si>
  <si>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</si>
  <si>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color rgb="FF000000"/>
        <sz val="11.0"/>
      </rPr>
      <t>S</t>
    </r>
    <r>
      <rPr>
        <rFont val="Calibri"/>
        <color rgb="FF000000"/>
        <sz val="11.0"/>
        <vertAlign val="superscript"/>
      </rPr>
      <t>1</t>
    </r>
  </si>
  <si>
    <r>
      <rPr>
        <rFont val="Calibri"/>
        <b/>
        <color rgb="FF000000"/>
        <sz val="11.0"/>
      </rPr>
      <t>Oil life monitoring system</t>
    </r>
  </si>
  <si>
    <r>
      <rPr>
        <rFont val="Calibri"/>
        <b/>
        <color rgb="FF000000"/>
        <sz val="11.0"/>
      </rPr>
      <t>Performance Traction Management</t>
    </r>
  </si>
  <si>
    <r>
      <rPr>
        <rFont val="Calibri"/>
        <b/>
        <color rgb="FF000000"/>
        <sz val="11.0"/>
      </rPr>
      <t>Rear axle</t>
    </r>
    <r>
      <rPr>
        <rFont val="Calibri"/>
        <color rgb="FF000000"/>
        <sz val="11.0"/>
      </rPr>
      <t>, 5.56 ratio</t>
    </r>
  </si>
  <si>
    <r>
      <rPr>
        <rFont val="Calibri"/>
        <b/>
        <color rgb="FF000000"/>
        <sz val="11.0"/>
      </rPr>
      <t>Steering</t>
    </r>
    <r>
      <rPr>
        <rFont val="Calibri"/>
        <color rgb="FF000000"/>
        <sz val="11.0"/>
      </rPr>
      <t>, power</t>
    </r>
    <r>
      <rPr>
        <rFont val="Calibri"/>
        <color rgb="FF000000"/>
        <sz val="11.0"/>
      </rPr>
      <t>, electric, speed-sensitive, rack-and-pinion, variable ratio</t>
    </r>
  </si>
  <si>
    <r>
      <rPr>
        <rFont val="Calibri"/>
        <b/>
        <color rgb="FF000000"/>
        <sz val="11.0"/>
      </rPr>
      <t>Suspension</t>
    </r>
    <r>
      <rPr>
        <rFont val="Calibri"/>
        <color rgb="FF000000"/>
        <sz val="11.0"/>
      </rPr>
      <t>, performance with Magnetic Selective Ride Control</t>
    </r>
  </si>
  <si>
    <r>
      <rPr>
        <rFont val="Calibri"/>
        <b/>
        <color rgb="FF000000"/>
        <sz val="11.0"/>
      </rPr>
      <t>Traction control</t>
    </r>
    <r>
      <rPr>
        <rFont val="Calibri"/>
        <color rgb="FF000000"/>
        <sz val="11.0"/>
      </rPr>
      <t>, all-speed</t>
    </r>
  </si>
  <si>
    <r>
      <rPr>
        <rFont val="Calibri"/>
        <b/>
        <color rgb="FF000000"/>
        <sz val="11.0"/>
      </rPr>
      <t>Transmission</t>
    </r>
    <r>
      <rPr>
        <rFont val="Calibri"/>
        <color rgb="FF000000"/>
        <sz val="11.0"/>
      </rPr>
      <t>, 8-speed dual clutch</t>
    </r>
    <r>
      <rPr>
        <rFont val="Calibri"/>
        <color rgb="FF000000"/>
        <sz val="11.0"/>
      </rPr>
      <t>, includes manual and auto modes</t>
    </r>
  </si>
  <si>
    <r>
      <rPr>
        <rFont val="Calibri"/>
        <b/>
        <color rgb="FF000000"/>
        <sz val="11.0"/>
      </rPr>
      <t>Audio system feature</t>
    </r>
    <r>
      <rPr>
        <rFont val="Calibri"/>
        <color rgb="FF000000"/>
        <sz val="11.0"/>
      </rPr>
      <t>, Bose Performance Series Sound System</t>
    </r>
    <r>
      <rPr>
        <rFont val="Calibri"/>
        <color rgb="FF000000"/>
        <sz val="11.0"/>
      </rPr>
      <t xml:space="preserve"> with 14 speakers</t>
    </r>
  </si>
  <si>
    <r>
      <rPr>
        <rFont val="Calibri"/>
        <b/>
        <color rgb="FF000000"/>
        <sz val="11.0"/>
      </rPr>
      <t>Cargo nets</t>
    </r>
    <r>
      <rPr>
        <rFont val="Calibri"/>
        <color rgb="FF000000"/>
        <sz val="11.0"/>
      </rPr>
      <t>, 2</t>
    </r>
  </si>
  <si>
    <r>
      <rPr>
        <rFont val="Calibri"/>
        <b/>
        <color rgb="FF000000"/>
        <sz val="11.0"/>
      </rPr>
      <t>Custom Leather Wrapped Interior Package</t>
    </r>
    <r>
      <rPr>
        <rFont val="Calibri"/>
        <color rgb="FF000000"/>
        <sz val="11.0"/>
      </rPr>
      <t>, features leather-wrapped upper instrument panel, door trim panels and console</t>
    </r>
    <r>
      <rPr>
        <rFont val="Calibri"/>
        <color rgb="FF000000"/>
        <sz val="11.0"/>
      </rPr>
      <t xml:space="preserve">
</t>
    </r>
    <r>
      <rPr>
        <rFont val="Calibri"/>
        <b/>
        <color rgb="FF000000"/>
        <sz val="9.0"/>
      </rPr>
      <t>1. When (HUB/HUC) Ultimate Suede Jet Black is ordered, the instrument panel, door trim panels and console will be suede.</t>
    </r>
  </si>
  <si>
    <r>
      <rPr>
        <rFont val="Calibri"/>
        <color rgb="FF000000"/>
        <sz val="11.0"/>
      </rPr>
      <t>■</t>
    </r>
    <r>
      <rPr>
        <rFont val="Calibri"/>
        <color rgb="FF000000"/>
        <sz val="11.0"/>
        <vertAlign val="superscript"/>
      </rPr>
      <t>1</t>
    </r>
  </si>
  <si>
    <r>
      <rPr>
        <rFont val="Calibri"/>
        <color rgb="FF000000"/>
        <sz val="11.0"/>
      </rPr>
      <t>■</t>
    </r>
    <r>
      <rPr>
        <rFont val="Calibri"/>
        <color rgb="FF000000"/>
        <sz val="11.0"/>
        <vertAlign val="superscript"/>
      </rPr>
      <t>1</t>
    </r>
  </si>
  <si>
    <r>
      <rPr>
        <rFont val="Calibri"/>
        <b/>
        <color rgb="FF000000"/>
        <sz val="11.0"/>
      </rPr>
      <t>HD Front and Rear Vision Cameras</t>
    </r>
    <r>
      <rPr>
        <rFont val="Calibri"/>
        <color rgb="FF000000"/>
        <sz val="11.0"/>
      </rPr>
      <t>, front camera is curb view</t>
    </r>
  </si>
  <si>
    <r>
      <rPr>
        <rFont val="Calibri"/>
        <b/>
        <color rgb="FF000000"/>
        <sz val="11.0"/>
      </rPr>
      <t>Memory Driver and Passenger Convenience Package</t>
    </r>
    <r>
      <rPr>
        <rFont val="Calibri"/>
        <color rgb="FF000000"/>
        <sz val="11.0"/>
      </rPr>
      <t>, includes steering wheel and outside mirrors plus seat memory for both driver and passenger; key fob or door button activated</t>
    </r>
  </si>
  <si>
    <r>
      <rPr>
        <rFont val="Calibri"/>
        <b/>
        <color rgb="FF000000"/>
        <sz val="11.0"/>
      </rPr>
      <t>Mirrors</t>
    </r>
    <r>
      <rPr>
        <rFont val="Calibri"/>
        <color rgb="FF000000"/>
        <sz val="11.0"/>
      </rPr>
      <t>, outside heated, power-adjustable</t>
    </r>
    <r>
      <rPr>
        <rFont val="Calibri"/>
        <color rgb="FF000000"/>
        <sz val="11.0"/>
      </rPr>
      <t>, power-folding, driver-side auto-dimming with turn signal indicators</t>
    </r>
  </si>
  <si>
    <r>
      <rPr>
        <rFont val="Calibri"/>
        <b/>
        <color rgb="FF000000"/>
        <sz val="11.0"/>
      </rPr>
      <t>Rear Cross Traffic Alert</t>
    </r>
  </si>
  <si>
    <r>
      <rPr>
        <rFont val="Calibri"/>
        <b/>
        <color rgb="FF000000"/>
        <sz val="11.0"/>
      </rPr>
      <t>Seat adjuster</t>
    </r>
    <r>
      <rPr>
        <rFont val="Calibri"/>
        <color rgb="FF000000"/>
        <sz val="11.0"/>
      </rPr>
      <t>, power driver lumbar control</t>
    </r>
  </si>
  <si>
    <r>
      <rPr>
        <rFont val="Calibri"/>
        <b/>
        <color rgb="FF000000"/>
        <sz val="11.0"/>
      </rPr>
      <t>Seat adjuster</t>
    </r>
    <r>
      <rPr>
        <rFont val="Calibri"/>
        <color rgb="FF000000"/>
        <sz val="11.0"/>
      </rPr>
      <t>, power passenger lumbar control</t>
    </r>
  </si>
  <si>
    <r>
      <rPr>
        <rFont val="Calibri"/>
        <b/>
        <color rgb="FF000000"/>
        <sz val="11.0"/>
      </rPr>
      <t>Seat adjuster</t>
    </r>
    <r>
      <rPr>
        <rFont val="Calibri"/>
        <color rgb="FF000000"/>
        <sz val="11.0"/>
      </rPr>
      <t>, driver power bolster</t>
    </r>
  </si>
  <si>
    <r>
      <rPr>
        <rFont val="Calibri"/>
        <b/>
        <color rgb="FF000000"/>
        <sz val="11.0"/>
      </rPr>
      <t>Seat adjuster</t>
    </r>
    <r>
      <rPr>
        <rFont val="Calibri"/>
        <color rgb="FF000000"/>
        <sz val="11.0"/>
      </rPr>
      <t>, passenger power bolster</t>
    </r>
  </si>
  <si>
    <r>
      <rPr>
        <rFont val="Calibri"/>
        <b/>
        <color rgb="FF000000"/>
        <sz val="11.0"/>
      </rPr>
      <t>Seats</t>
    </r>
    <r>
      <rPr>
        <rFont val="Calibri"/>
        <color rgb="FF000000"/>
        <sz val="11.0"/>
      </rPr>
      <t>, GT2 bucket</t>
    </r>
  </si>
  <si>
    <r>
      <rPr>
        <rFont val="Calibri"/>
        <b/>
        <color rgb="FF000000"/>
        <sz val="11.0"/>
      </rPr>
      <t>Seats</t>
    </r>
    <r>
      <rPr>
        <rFont val="Calibri"/>
        <color rgb="FF000000"/>
        <sz val="11.0"/>
      </rPr>
      <t>, heated and vented driver and passenger</t>
    </r>
  </si>
  <si>
    <r>
      <rPr>
        <rFont val="Calibri"/>
        <b/>
        <color rgb="FF000000"/>
        <sz val="11.0"/>
      </rPr>
      <t>Side Blind Zone Alert</t>
    </r>
  </si>
  <si>
    <r>
      <rPr>
        <rFont val="Calibri"/>
        <b/>
        <color rgb="FF000000"/>
        <sz val="11.0"/>
      </rPr>
      <t>Steering wheel</t>
    </r>
    <r>
      <rPr>
        <rFont val="Calibri"/>
        <color rgb="FF000000"/>
        <sz val="11.0"/>
      </rPr>
      <t>, heated</t>
    </r>
  </si>
  <si>
    <r>
      <rPr>
        <rFont val="Calibri"/>
        <b/>
        <color rgb="FF000000"/>
        <sz val="11.0"/>
      </rPr>
      <t>Sueded Microfiber-Wrapped Upper Interior Trim Package</t>
    </r>
    <r>
      <rPr>
        <rFont val="Calibri"/>
        <color rgb="FF000000"/>
        <sz val="11.0"/>
      </rPr>
      <t>, includes headliner, visors, trim above windshield and rear window, and A-pillar trim</t>
    </r>
  </si>
  <si>
    <r>
      <rPr>
        <rFont val="Calibri"/>
        <b/>
        <color rgb="FF000000"/>
        <sz val="11.0"/>
      </rPr>
      <t>Theft deterrent sensor</t>
    </r>
    <r>
      <rPr>
        <rFont val="Calibri"/>
        <color rgb="FF000000"/>
        <sz val="11.0"/>
      </rPr>
      <t>, vehicle inclination</t>
    </r>
  </si>
  <si>
    <r>
      <rPr>
        <rFont val="Calibri"/>
        <b/>
        <color rgb="FF000000"/>
        <sz val="11.0"/>
      </rPr>
      <t>Theft deterrent sensor</t>
    </r>
    <r>
      <rPr>
        <rFont val="Calibri"/>
        <color rgb="FF000000"/>
        <sz val="11.0"/>
      </rPr>
      <t>, vehicle interior movement</t>
    </r>
  </si>
  <si>
    <r>
      <rPr>
        <rFont val="Calibri"/>
        <b/>
        <color rgb="FF000000"/>
        <sz val="11.0"/>
      </rPr>
      <t>Theft-deterrent system</t>
    </r>
    <r>
      <rPr>
        <rFont val="Calibri"/>
        <color rgb="FF000000"/>
        <sz val="11.0"/>
      </rPr>
      <t>, electrical, unauthorized entry, activates the horn</t>
    </r>
  </si>
  <si>
    <r>
      <rPr>
        <rFont val="Calibri"/>
        <b/>
        <color rgb="FF000000"/>
        <sz val="11.0"/>
      </rPr>
      <t>Universal Home Remote</t>
    </r>
    <r>
      <rPr>
        <rFont val="Calibri"/>
        <color rgb="FF000000"/>
        <sz val="11.0"/>
      </rPr>
      <t xml:space="preserve">, includes garage door opener, 3-channel programmable, located on driver visor </t>
    </r>
  </si>
  <si>
    <r>
      <rPr>
        <rFont val="Calibri"/>
        <b/>
        <color rgb="FFFF0000"/>
        <sz val="11.0"/>
      </rPr>
      <t xml:space="preserve">NEW!  </t>
    </r>
    <r>
      <rPr>
        <rFont val="Calibri"/>
        <b/>
        <color rgb="FF000000"/>
        <sz val="11.0"/>
      </rPr>
      <t>Wireless Phone Charging</t>
    </r>
    <r>
      <rPr>
        <rFont val="Calibri"/>
        <color rgb="FF000000"/>
        <sz val="11.0"/>
      </rPr>
      <t>, 2 wireless charging pads for phone or portable devices, located on center console and between seatbacks</t>
    </r>
  </si>
  <si>
    <r>
      <rPr>
        <rFont val="Calibri"/>
        <b/>
        <color rgb="FF000000"/>
        <sz val="11.0"/>
      </rPr>
      <t>Head-Up Display</t>
    </r>
    <r>
      <rPr>
        <rFont val="Calibri"/>
        <color rgb="FF000000"/>
        <sz val="11.0"/>
      </rPr>
      <t>, color display with 3 modes: tour, sport, track; can display speed, gear, tach, turn signals, bright headlamps, turn-by-turn navigation, g-meter, speed limit</t>
    </r>
  </si>
  <si>
    <r>
      <rPr>
        <rFont val="Calibri"/>
        <b/>
        <color rgb="FF000000"/>
        <sz val="11.0"/>
      </rPr>
      <t>Performance data and video recorder</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</si>
</sst>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29">
    <font>
      <sz val="10.0"/>
      <color rgb="FF000000"/>
      <name val="Calibri"/>
      <scheme val="minor"/>
    </font>
    <font>
      <b/>
      <sz val="13.0"/>
      <color theme="1"/>
      <name val="Calibri"/>
      <scheme val="minor"/>
    </font>
    <font>
      <color theme="1"/>
      <name val="Calibri"/>
      <scheme val="minor"/>
    </font>
    <font>
      <b/>
      <sz val="15.0"/>
      <color theme="1"/>
      <name val="Calibri"/>
      <scheme val="minor"/>
    </font>
    <font>
      <b/>
      <sz val="14.0"/>
      <color rgb="FF000000"/>
      <name val="Calibri"/>
    </font>
    <font>
      <sz val="14.0"/>
      <color rgb="FF000000"/>
      <name val="Calibri"/>
    </font>
    <font>
      <sz val="14.0"/>
      <color theme="1"/>
      <name val="Calibri"/>
    </font>
    <font>
      <b/>
      <sz val="14.0"/>
      <color theme="1"/>
      <name val="Calibri"/>
    </font>
    <font>
      <b/>
      <color theme="1"/>
      <name val="Calibri"/>
      <scheme val="minor"/>
    </font>
    <font>
      <sz val="11.0"/>
      <color rgb="FF667085"/>
      <name val="Inter"/>
    </font>
    <font>
      <b/>
      <sz val="10.0"/>
      <color theme="1"/>
      <name val="Roboto Condensed"/>
    </font>
    <font>
      <sz val="10.0"/>
      <color rgb="FF000000"/>
      <name val="Roboto Condensed"/>
    </font>
    <font>
      <sz val="11.0"/>
      <color rgb="FF000000"/>
      <name val="Roboto Condensed"/>
    </font>
    <font>
      <sz val="8.0"/>
      <color rgb="FF1F1F1F"/>
      <name val="Roboto Condensed"/>
    </font>
    <font>
      <sz val="9.0"/>
      <color rgb="FF000000"/>
      <name val="Roboto Condensed"/>
    </font>
    <font>
      <sz val="8.0"/>
      <color rgb="FF000000"/>
      <name val="Roboto Condensed"/>
    </font>
    <font>
      <b/>
      <sz val="11.0"/>
      <color rgb="FFFFFFFF"/>
      <name val="Calibri"/>
    </font>
    <font>
      <sz val="11.0"/>
      <color rgb="FF000000"/>
      <name val="Calibri"/>
    </font>
    <font>
      <b/>
      <sz val="11.0"/>
      <color rgb="FF000000"/>
      <name val="Calibri"/>
    </font>
    <font>
      <b/>
      <sz val="13.0"/>
      <color theme="1"/>
      <name val="Calibri"/>
    </font>
    <font>
      <sz val="11.0"/>
      <color theme="1"/>
      <name val="Calibri"/>
    </font>
    <font>
      <b/>
      <color rgb="FF000000"/>
      <name val="Arial"/>
    </font>
    <font>
      <sz val="11.0"/>
      <color rgb="FF000000"/>
      <name val="Arial"/>
    </font>
    <font>
      <color rgb="FF000000"/>
      <name val="Arial"/>
    </font>
    <font>
      <b/>
      <sz val="12.0"/>
      <color theme="1"/>
      <name val="Calibri"/>
    </font>
    <font>
      <sz val="10.0"/>
      <color theme="1"/>
      <name val="Calibri"/>
    </font>
    <font>
      <sz val="12.0"/>
      <color theme="1"/>
      <name val="Calibri"/>
    </font>
    <font>
      <b/>
      <sz val="11.0"/>
      <color theme="1"/>
      <name val="Calibri"/>
    </font>
    <font>
      <sz val="9.0"/>
      <color rgb="FF000000"/>
      <name val="Calibri"/>
    </font>
  </fonts>
  <fills count="8">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0072CE"/>
        <bgColor rgb="FF0072CE"/>
      </patternFill>
    </fill>
    <fill>
      <patternFill patternType="solid">
        <fgColor rgb="FFB7E1CD"/>
        <bgColor rgb="FFB7E1CD"/>
      </patternFill>
    </fill>
    <fill>
      <patternFill patternType="solid">
        <fgColor rgb="FFD9D9D6"/>
        <bgColor rgb="FFD9D9D6"/>
      </patternFill>
    </fill>
    <fill>
      <patternFill patternType="solid">
        <fgColor rgb="FFF6F8F9"/>
        <bgColor rgb="FFF6F8F9"/>
      </patternFill>
    </fill>
  </fills>
  <borders count="34">
    <border/>
    <border>
      <bottom style="thin">
        <color rgb="FF000000"/>
      </bottom>
    </border>
    <border>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left style="thin">
        <color rgb="FF000000"/>
      </left>
      <right style="thin">
        <color rgb="FF000000"/>
      </right>
      <top style="thin">
        <color rgb="FF000000"/>
      </top>
      <bottom style="thin">
        <color rgb="FF000000"/>
      </bottom>
    </border>
    <border>
      <left/>
      <right/>
      <top/>
      <bottom/>
    </border>
    <border>
      <left/>
      <top/>
      <bottom/>
    </border>
    <border>
      <left style="thick">
        <color rgb="FF000000"/>
      </left>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thin">
        <color rgb="FF000000"/>
      </left>
      <right style="thick">
        <color rgb="FF000000"/>
      </right>
      <top style="thick">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FFFFFF"/>
      </left>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95">
    <xf borderId="0" fillId="0" fontId="0" numFmtId="0" xfId="0" applyAlignment="1" applyFont="1">
      <alignment readingOrder="0" shrinkToFit="0" vertical="bottom" wrapText="0"/>
    </xf>
    <xf borderId="0" fillId="0" fontId="1" numFmtId="0" xfId="0" applyAlignment="1" applyFont="1">
      <alignment horizontal="center" vertical="bottom"/>
    </xf>
    <xf borderId="1" fillId="0" fontId="1" numFmtId="0" xfId="0" applyAlignment="1" applyBorder="1" applyFont="1">
      <alignment horizontal="center" vertical="bottom"/>
    </xf>
    <xf borderId="0" fillId="0" fontId="2" numFmtId="0" xfId="0" applyAlignment="1" applyFont="1">
      <alignment readingOrder="0" vertical="bottom"/>
    </xf>
    <xf borderId="0" fillId="0" fontId="2" numFmtId="164" xfId="0" applyAlignment="1" applyFont="1" applyNumberFormat="1">
      <alignment horizontal="right" vertical="bottom"/>
    </xf>
    <xf borderId="1" fillId="0" fontId="2" numFmtId="0" xfId="0" applyAlignment="1" applyBorder="1" applyFont="1">
      <alignment readingOrder="0" vertical="bottom"/>
    </xf>
    <xf borderId="1" fillId="0" fontId="2" numFmtId="164" xfId="0" applyAlignment="1" applyBorder="1" applyFont="1" applyNumberFormat="1">
      <alignment horizontal="right" vertical="bottom"/>
    </xf>
    <xf borderId="0" fillId="0" fontId="3" numFmtId="164" xfId="0" applyAlignment="1" applyFont="1" applyNumberFormat="1">
      <alignment horizontal="right" vertical="bottom"/>
    </xf>
    <xf borderId="0" fillId="2" fontId="4" numFmtId="0" xfId="0" applyAlignment="1" applyFill="1" applyFont="1">
      <alignment horizontal="left" readingOrder="0" shrinkToFit="0" vertical="bottom" wrapText="1"/>
    </xf>
    <xf borderId="0" fillId="2" fontId="5" numFmtId="164" xfId="0" applyAlignment="1" applyFont="1" applyNumberFormat="1">
      <alignment horizontal="right" readingOrder="0" shrinkToFit="0" vertical="bottom" wrapText="1"/>
    </xf>
    <xf borderId="0" fillId="2" fontId="5" numFmtId="0" xfId="0" applyAlignment="1" applyFont="1">
      <alignment horizontal="right" readingOrder="0" shrinkToFit="0" vertical="bottom" wrapText="1"/>
    </xf>
    <xf borderId="0" fillId="2" fontId="4" numFmtId="0" xfId="0" applyAlignment="1" applyFont="1">
      <alignment horizontal="right" readingOrder="0" shrinkToFit="0" vertical="bottom" wrapText="1"/>
    </xf>
    <xf borderId="2" fillId="2" fontId="4" numFmtId="0" xfId="0" applyAlignment="1" applyBorder="1" applyFont="1">
      <alignment horizontal="right" readingOrder="0" shrinkToFit="0" vertical="bottom" wrapText="1"/>
    </xf>
    <xf borderId="0" fillId="2" fontId="6" numFmtId="0" xfId="0" applyAlignment="1" applyFont="1">
      <alignment horizontal="right" readingOrder="0" shrinkToFit="0" vertical="bottom" wrapText="1"/>
    </xf>
    <xf borderId="0" fillId="2" fontId="7" numFmtId="0" xfId="0" applyAlignment="1" applyFont="1">
      <alignment horizontal="right" readingOrder="0" shrinkToFit="0" vertical="bottom" wrapText="1"/>
    </xf>
    <xf borderId="3" fillId="0" fontId="4" numFmtId="49" xfId="0" applyAlignment="1" applyBorder="1" applyFont="1" applyNumberFormat="1">
      <alignment horizontal="left" readingOrder="0" shrinkToFit="0" vertical="bottom" wrapText="1"/>
    </xf>
    <xf borderId="4" fillId="0" fontId="4" numFmtId="0" xfId="0" applyAlignment="1" applyBorder="1" applyFont="1">
      <alignment horizontal="left" readingOrder="0" shrinkToFit="0" vertical="bottom" wrapText="1"/>
    </xf>
    <xf borderId="4" fillId="0" fontId="5" numFmtId="164" xfId="0" applyAlignment="1" applyBorder="1" applyFont="1" applyNumberFormat="1">
      <alignment horizontal="right" readingOrder="0" shrinkToFit="0" vertical="bottom" wrapText="1"/>
    </xf>
    <xf borderId="4" fillId="0" fontId="5" numFmtId="0" xfId="0" applyAlignment="1" applyBorder="1" applyFont="1">
      <alignment horizontal="right" readingOrder="0" shrinkToFit="0" vertical="bottom" wrapText="1"/>
    </xf>
    <xf borderId="0" fillId="0" fontId="4" numFmtId="0" xfId="0" applyAlignment="1" applyFont="1">
      <alignment horizontal="right" readingOrder="0" shrinkToFit="0" vertical="bottom" wrapText="1"/>
    </xf>
    <xf borderId="0" fillId="0" fontId="5" numFmtId="0" xfId="0" applyAlignment="1" applyFont="1">
      <alignment horizontal="right" readingOrder="0" shrinkToFit="0" vertical="bottom" wrapText="1"/>
    </xf>
    <xf borderId="5" fillId="0" fontId="6" numFmtId="0" xfId="0" applyAlignment="1" applyBorder="1" applyFont="1">
      <alignment horizontal="right" readingOrder="0" shrinkToFit="0" vertical="bottom" wrapText="1"/>
    </xf>
    <xf borderId="0" fillId="0" fontId="7" numFmtId="0" xfId="0" applyAlignment="1" applyFont="1">
      <alignment horizontal="right" readingOrder="0" shrinkToFit="0" vertical="bottom" wrapText="1"/>
    </xf>
    <xf borderId="0" fillId="0" fontId="7" numFmtId="164" xfId="0" applyAlignment="1" applyFont="1" applyNumberFormat="1">
      <alignment horizontal="right" readingOrder="0" shrinkToFit="0" vertical="bottom" wrapText="1"/>
    </xf>
    <xf borderId="6" fillId="0" fontId="4" numFmtId="49" xfId="0" applyAlignment="1" applyBorder="1" applyFont="1" applyNumberFormat="1">
      <alignment horizontal="left" readingOrder="0" shrinkToFit="0" vertical="bottom" wrapText="1"/>
    </xf>
    <xf borderId="0" fillId="0" fontId="4" numFmtId="0" xfId="0" applyAlignment="1" applyFont="1">
      <alignment horizontal="left" readingOrder="0" shrinkToFit="0" vertical="bottom" wrapText="1"/>
    </xf>
    <xf borderId="0" fillId="0" fontId="5" numFmtId="164" xfId="0" applyAlignment="1" applyFont="1" applyNumberFormat="1">
      <alignment horizontal="right" readingOrder="0" shrinkToFit="0" vertical="bottom" wrapText="1"/>
    </xf>
    <xf borderId="7" fillId="0" fontId="6" numFmtId="0" xfId="0" applyAlignment="1" applyBorder="1" applyFont="1">
      <alignment horizontal="right" readingOrder="0" shrinkToFit="0" vertical="bottom" wrapText="1"/>
    </xf>
    <xf borderId="8" fillId="0" fontId="4" numFmtId="49" xfId="0" applyAlignment="1" applyBorder="1" applyFont="1" applyNumberFormat="1">
      <alignment horizontal="left" readingOrder="0" shrinkToFit="0" vertical="bottom" wrapText="1"/>
    </xf>
    <xf borderId="2" fillId="0" fontId="4" numFmtId="0" xfId="0" applyAlignment="1" applyBorder="1" applyFont="1">
      <alignment horizontal="left" readingOrder="0" shrinkToFit="0" vertical="bottom" wrapText="1"/>
    </xf>
    <xf borderId="2" fillId="0" fontId="5" numFmtId="164" xfId="0" applyAlignment="1" applyBorder="1" applyFont="1" applyNumberFormat="1">
      <alignment horizontal="right" readingOrder="0" shrinkToFit="0" vertical="bottom" wrapText="1"/>
    </xf>
    <xf borderId="2" fillId="0" fontId="5" numFmtId="0" xfId="0" applyAlignment="1" applyBorder="1" applyFont="1">
      <alignment horizontal="right" readingOrder="0" shrinkToFit="0" vertical="bottom" wrapText="1"/>
    </xf>
    <xf borderId="2" fillId="0" fontId="4" numFmtId="0" xfId="0" applyAlignment="1" applyBorder="1" applyFont="1">
      <alignment horizontal="right" readingOrder="0" shrinkToFit="0" vertical="bottom" wrapText="1"/>
    </xf>
    <xf borderId="9" fillId="0" fontId="6" numFmtId="0" xfId="0" applyAlignment="1" applyBorder="1" applyFont="1">
      <alignment horizontal="right" readingOrder="0" shrinkToFit="0" vertical="bottom" wrapText="1"/>
    </xf>
    <xf borderId="0" fillId="0" fontId="8" numFmtId="0" xfId="0" applyAlignment="1" applyFont="1">
      <alignment horizontal="left" readingOrder="0" shrinkToFit="0" vertical="center" wrapText="0"/>
    </xf>
    <xf borderId="0" fillId="0" fontId="8" numFmtId="164" xfId="0" applyAlignment="1" applyFont="1" applyNumberFormat="1">
      <alignment horizontal="right" readingOrder="0" shrinkToFit="0" vertical="center" wrapText="0"/>
    </xf>
    <xf borderId="0" fillId="0" fontId="8" numFmtId="0" xfId="0" applyAlignment="1" applyFont="1">
      <alignment horizontal="left" readingOrder="0" shrinkToFit="0" vertical="center" wrapText="1"/>
    </xf>
    <xf borderId="0" fillId="0" fontId="8" numFmtId="49" xfId="0" applyAlignment="1" applyFont="1" applyNumberFormat="1">
      <alignment horizontal="left" readingOrder="0" shrinkToFit="0" vertical="center" wrapText="1"/>
    </xf>
    <xf borderId="0" fillId="0" fontId="8" numFmtId="0" xfId="0" applyAlignment="1" applyFont="1">
      <alignment horizontal="left" readingOrder="0" shrinkToFit="0" vertical="center" wrapText="0"/>
    </xf>
    <xf borderId="0" fillId="0" fontId="8" numFmtId="0" xfId="0" applyAlignment="1" applyFont="1">
      <alignment readingOrder="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horizontal="right"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xf>
    <xf borderId="0" fillId="0" fontId="2" numFmtId="49"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shrinkToFit="0" vertical="center" wrapText="0"/>
    </xf>
    <xf borderId="0" fillId="0" fontId="2" numFmtId="49" xfId="0" applyAlignment="1" applyFont="1" applyNumberFormat="1">
      <alignment readingOrder="0" shrinkToFit="0" vertical="center" wrapText="0"/>
    </xf>
    <xf borderId="0" fillId="3" fontId="9" numFmtId="49" xfId="0" applyAlignment="1" applyFill="1" applyFont="1" applyNumberFormat="1">
      <alignment readingOrder="0"/>
    </xf>
    <xf borderId="0" fillId="0" fontId="2" numFmtId="0" xfId="0" applyFont="1"/>
    <xf borderId="0" fillId="0" fontId="2" numFmtId="49" xfId="0" applyFont="1" applyNumberFormat="1"/>
    <xf borderId="0" fillId="0" fontId="2" numFmtId="49" xfId="0" applyFont="1" applyNumberFormat="1"/>
    <xf borderId="10" fillId="0" fontId="10" numFmtId="0" xfId="0" applyAlignment="1" applyBorder="1" applyFont="1">
      <alignment horizontal="left" readingOrder="0" shrinkToFit="0" vertical="center" wrapText="1"/>
    </xf>
    <xf borderId="10" fillId="0" fontId="10" numFmtId="49" xfId="0" applyAlignment="1" applyBorder="1" applyFont="1" applyNumberFormat="1">
      <alignment horizontal="center" readingOrder="0" shrinkToFit="0" vertical="center" wrapText="1"/>
    </xf>
    <xf borderId="10" fillId="0" fontId="10" numFmtId="49" xfId="0" applyAlignment="1" applyBorder="1" applyFont="1" applyNumberFormat="1">
      <alignment horizontal="center" readingOrder="0" shrinkToFit="0" vertical="center" wrapText="1"/>
    </xf>
    <xf borderId="10" fillId="0" fontId="10" numFmtId="0" xfId="0" applyAlignment="1" applyBorder="1" applyFont="1">
      <alignment horizontal="left" readingOrder="0" shrinkToFit="0" vertical="center" wrapText="0"/>
    </xf>
    <xf borderId="10" fillId="0" fontId="10" numFmtId="0" xfId="0" applyAlignment="1" applyBorder="1" applyFont="1">
      <alignment horizontal="left" readingOrder="0" shrinkToFit="0" vertical="center" wrapText="1"/>
    </xf>
    <xf borderId="10" fillId="0" fontId="11" numFmtId="0" xfId="0" applyAlignment="1" applyBorder="1" applyFont="1">
      <alignment readingOrder="0" shrinkToFit="0" vertical="center" wrapText="1"/>
    </xf>
    <xf borderId="10" fillId="0" fontId="12" numFmtId="0" xfId="0" applyAlignment="1" applyBorder="1" applyFont="1">
      <alignment horizontal="center" readingOrder="0" shrinkToFit="0" vertical="center" wrapText="1"/>
    </xf>
    <xf borderId="10" fillId="0" fontId="12" numFmtId="0" xfId="0" applyAlignment="1" applyBorder="1" applyFont="1">
      <alignment readingOrder="0" shrinkToFit="0" vertical="center" wrapText="1"/>
    </xf>
    <xf borderId="10" fillId="0" fontId="13" numFmtId="0" xfId="0" applyAlignment="1" applyBorder="1" applyFont="1">
      <alignment readingOrder="0" shrinkToFit="0" vertical="center" wrapText="1"/>
    </xf>
    <xf borderId="10" fillId="0" fontId="12" numFmtId="0" xfId="0" applyAlignment="1" applyBorder="1" applyFont="1">
      <alignment readingOrder="0" shrinkToFit="0" vertical="center" wrapText="0"/>
    </xf>
    <xf borderId="10" fillId="0" fontId="13" numFmtId="0" xfId="0" applyAlignment="1" applyBorder="1" applyFont="1">
      <alignment readingOrder="0" shrinkToFit="0" vertical="center" wrapText="0"/>
    </xf>
    <xf borderId="10" fillId="0" fontId="14" numFmtId="0" xfId="0" applyAlignment="1" applyBorder="1" applyFont="1">
      <alignment horizontal="left" readingOrder="0" shrinkToFit="0" vertical="center" wrapText="1"/>
    </xf>
    <xf borderId="10" fillId="0" fontId="15" numFmtId="0" xfId="0" applyAlignment="1" applyBorder="1" applyFont="1">
      <alignment readingOrder="0" shrinkToFit="0" vertical="center" wrapText="0"/>
    </xf>
    <xf borderId="11" fillId="4" fontId="16" numFmtId="0" xfId="0" applyAlignment="1" applyBorder="1" applyFill="1" applyFont="1">
      <alignment horizontal="center" readingOrder="0" shrinkToFit="0" vertical="center" wrapText="1"/>
    </xf>
    <xf borderId="12" fillId="4" fontId="16" numFmtId="0" xfId="0" applyAlignment="1" applyBorder="1" applyFont="1">
      <alignment horizontal="left" readingOrder="0" shrinkToFit="0" vertical="center" wrapText="1"/>
    </xf>
    <xf borderId="13" fillId="4" fontId="16" numFmtId="0" xfId="0" applyAlignment="1" applyBorder="1" applyFont="1">
      <alignment horizontal="center" readingOrder="0" shrinkToFit="0" vertical="bottom" wrapText="1"/>
    </xf>
    <xf borderId="0" fillId="4" fontId="17" numFmtId="0" xfId="0" applyAlignment="1" applyFont="1">
      <alignment shrinkToFit="0" vertical="bottom" wrapText="1"/>
    </xf>
    <xf borderId="0" fillId="0" fontId="17" numFmtId="0" xfId="0" applyAlignment="1" applyFont="1">
      <alignment readingOrder="0" shrinkToFit="0" vertical="bottom" wrapText="1"/>
    </xf>
    <xf borderId="0" fillId="0" fontId="17" numFmtId="0" xfId="0" applyAlignment="1" applyFont="1">
      <alignment shrinkToFit="0" vertical="bottom" wrapText="1"/>
    </xf>
    <xf borderId="0" fillId="0" fontId="17" numFmtId="0" xfId="0" applyAlignment="1" applyFont="1">
      <alignment horizontal="center" shrinkToFit="0" vertical="center" wrapText="1"/>
    </xf>
    <xf borderId="0" fillId="0" fontId="18" numFmtId="0" xfId="0" applyAlignment="1" applyFont="1">
      <alignment horizontal="left" shrinkToFit="0" vertical="center" wrapText="1"/>
    </xf>
    <xf borderId="13" fillId="0" fontId="17" numFmtId="0" xfId="0" applyAlignment="1" applyBorder="1" applyFont="1">
      <alignment horizontal="center" shrinkToFit="0" vertical="bottom" wrapText="1"/>
    </xf>
    <xf borderId="0" fillId="0" fontId="17" numFmtId="0" xfId="0" applyAlignment="1" applyFont="1">
      <alignment horizontal="left" shrinkToFit="0" vertical="center" wrapText="1"/>
    </xf>
    <xf borderId="0" fillId="0" fontId="8" numFmtId="0" xfId="0" applyAlignment="1" applyFont="1">
      <alignment horizontal="left"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0" fontId="2" numFmtId="49" xfId="0" applyAlignment="1" applyFont="1" applyNumberFormat="1">
      <alignment shrinkToFit="0" vertical="center" wrapText="1"/>
    </xf>
    <xf borderId="0" fillId="0" fontId="2" numFmtId="0" xfId="0" applyAlignment="1" applyFont="1">
      <alignment shrinkToFit="0" vertical="center" wrapText="1"/>
    </xf>
    <xf borderId="11" fillId="4" fontId="16" numFmtId="0" xfId="0" applyAlignment="1" applyBorder="1" applyFont="1">
      <alignment horizontal="left" readingOrder="0" shrinkToFit="0" vertical="center" wrapText="1"/>
    </xf>
    <xf borderId="12" fillId="4" fontId="16" numFmtId="0" xfId="0" applyAlignment="1" applyBorder="1" applyFont="1">
      <alignment horizontal="center" readingOrder="0" shrinkToFit="0" vertical="center" wrapText="1"/>
    </xf>
    <xf borderId="0" fillId="0" fontId="18" numFmtId="0" xfId="0" applyAlignment="1" applyFont="1">
      <alignment horizontal="left" readingOrder="0" shrinkToFit="0" vertical="center" wrapText="1"/>
    </xf>
    <xf borderId="0" fillId="0" fontId="17" numFmtId="0" xfId="0" applyAlignment="1" applyFont="1">
      <alignment horizontal="center" readingOrder="0" shrinkToFit="0" vertical="center" wrapText="1"/>
    </xf>
    <xf borderId="14" fillId="0" fontId="19" numFmtId="0" xfId="0" applyAlignment="1" applyBorder="1" applyFont="1">
      <alignment horizontal="center" vertical="bottom"/>
    </xf>
    <xf borderId="15" fillId="0" fontId="19" numFmtId="0" xfId="0" applyAlignment="1" applyBorder="1" applyFont="1">
      <alignment horizontal="center" vertical="bottom"/>
    </xf>
    <xf borderId="16" fillId="0" fontId="19" numFmtId="0" xfId="0" applyAlignment="1" applyBorder="1" applyFont="1">
      <alignment horizontal="center" vertical="bottom"/>
    </xf>
    <xf borderId="17" fillId="0" fontId="20" numFmtId="0" xfId="0" applyAlignment="1" applyBorder="1" applyFont="1">
      <alignment horizontal="center" vertical="bottom"/>
    </xf>
    <xf borderId="18" fillId="0" fontId="20" numFmtId="0" xfId="0" applyAlignment="1" applyBorder="1" applyFont="1">
      <alignment horizontal="center" vertical="bottom"/>
    </xf>
    <xf borderId="19" fillId="0" fontId="20" numFmtId="0" xfId="0" applyAlignment="1" applyBorder="1" applyFont="1">
      <alignment horizontal="center" readingOrder="0" vertical="bottom"/>
    </xf>
    <xf borderId="20" fillId="0" fontId="20" numFmtId="0" xfId="0" applyAlignment="1" applyBorder="1" applyFont="1">
      <alignment horizontal="center" vertical="bottom"/>
    </xf>
    <xf borderId="0" fillId="0" fontId="20" numFmtId="0" xfId="0" applyAlignment="1" applyFont="1">
      <alignment horizontal="center" vertical="bottom"/>
    </xf>
    <xf borderId="21" fillId="0" fontId="20" numFmtId="0" xfId="0" applyAlignment="1" applyBorder="1" applyFont="1">
      <alignment horizontal="center" vertical="bottom"/>
    </xf>
    <xf borderId="20" fillId="0" fontId="20" numFmtId="0" xfId="0" applyAlignment="1" applyBorder="1" applyFont="1">
      <alignment horizontal="center" readingOrder="0" vertical="bottom"/>
    </xf>
    <xf borderId="0" fillId="0" fontId="20" numFmtId="0" xfId="0" applyAlignment="1" applyFont="1">
      <alignment horizontal="center" readingOrder="0" vertical="bottom"/>
    </xf>
    <xf borderId="21" fillId="0" fontId="20" numFmtId="0" xfId="0" applyAlignment="1" applyBorder="1" applyFont="1">
      <alignment horizontal="center" readingOrder="0" vertical="bottom"/>
    </xf>
    <xf borderId="22" fillId="0" fontId="20" numFmtId="0" xfId="0" applyAlignment="1" applyBorder="1" applyFont="1">
      <alignment horizontal="center" vertical="bottom"/>
    </xf>
    <xf borderId="1" fillId="0" fontId="20" numFmtId="0" xfId="0" applyAlignment="1" applyBorder="1" applyFont="1">
      <alignment horizontal="center" vertical="bottom"/>
    </xf>
    <xf borderId="23" fillId="0" fontId="20" numFmtId="0" xfId="0" applyAlignment="1" applyBorder="1" applyFont="1">
      <alignment horizontal="center" vertical="bottom"/>
    </xf>
    <xf borderId="0" fillId="0" fontId="21" numFmtId="0" xfId="0" applyAlignment="1" applyFont="1">
      <alignment horizontal="left" readingOrder="0"/>
    </xf>
    <xf borderId="0" fillId="0" fontId="22" numFmtId="0" xfId="0" applyAlignment="1" applyFont="1">
      <alignment horizontal="left" readingOrder="0"/>
    </xf>
    <xf borderId="0" fillId="0" fontId="21" numFmtId="0" xfId="0" applyAlignment="1" applyFont="1">
      <alignment horizontal="left" vertical="bottom"/>
    </xf>
    <xf borderId="0" fillId="0" fontId="21" numFmtId="0" xfId="0" applyAlignment="1" applyFont="1">
      <alignment horizontal="center" readingOrder="0" vertical="bottom"/>
    </xf>
    <xf borderId="0" fillId="0" fontId="21" numFmtId="0" xfId="0" applyAlignment="1" applyFont="1">
      <alignment horizontal="center" vertical="bottom"/>
    </xf>
    <xf borderId="0" fillId="0" fontId="21" numFmtId="0" xfId="0" applyAlignment="1" applyFont="1">
      <alignment horizontal="left" vertical="top"/>
    </xf>
    <xf borderId="0" fillId="0" fontId="21" numFmtId="0" xfId="0" applyAlignment="1" applyFont="1">
      <alignment horizontal="center" readingOrder="0" vertical="top"/>
    </xf>
    <xf borderId="0" fillId="0" fontId="21" numFmtId="0" xfId="0" applyAlignment="1" applyFont="1">
      <alignment horizontal="left" readingOrder="0" vertical="top"/>
    </xf>
    <xf borderId="0" fillId="0" fontId="21" numFmtId="165" xfId="0" applyAlignment="1" applyFont="1" applyNumberFormat="1">
      <alignment horizontal="center" readingOrder="0" vertical="top"/>
    </xf>
    <xf borderId="0" fillId="0" fontId="21" numFmtId="0" xfId="0" applyAlignment="1" applyFont="1">
      <alignment horizontal="center" vertical="top"/>
    </xf>
    <xf borderId="0" fillId="0" fontId="21" numFmtId="0" xfId="0" applyAlignment="1" applyFont="1">
      <alignment horizontal="left" readingOrder="0" shrinkToFit="0" wrapText="0"/>
    </xf>
    <xf borderId="24" fillId="0" fontId="21" numFmtId="0" xfId="0" applyAlignment="1" applyBorder="1" applyFont="1">
      <alignment horizontal="left" vertical="top"/>
    </xf>
    <xf borderId="0" fillId="0" fontId="21" numFmtId="0" xfId="0" applyAlignment="1" applyFont="1">
      <alignment horizontal="right" vertical="top"/>
    </xf>
    <xf borderId="0" fillId="0" fontId="21" numFmtId="0" xfId="0" applyAlignment="1" applyFont="1">
      <alignment horizontal="center" readingOrder="0" shrinkToFit="0" wrapText="0"/>
    </xf>
    <xf borderId="0" fillId="0" fontId="21" numFmtId="165" xfId="0" applyAlignment="1" applyFont="1" applyNumberFormat="1">
      <alignment horizontal="right" readingOrder="0" vertical="top"/>
    </xf>
    <xf borderId="24" fillId="0" fontId="21" numFmtId="0" xfId="0" applyAlignment="1" applyBorder="1" applyFont="1">
      <alignment horizontal="left" readingOrder="0" vertical="top"/>
    </xf>
    <xf borderId="0" fillId="0" fontId="23" numFmtId="0" xfId="0" applyAlignment="1" applyFont="1">
      <alignment horizontal="left" readingOrder="0"/>
    </xf>
    <xf borderId="0" fillId="0" fontId="23" numFmtId="0" xfId="0" applyAlignment="1" applyFont="1">
      <alignment horizontal="left"/>
    </xf>
    <xf borderId="0" fillId="0" fontId="21" numFmtId="0" xfId="0" applyAlignment="1" applyFont="1">
      <alignment horizontal="left"/>
    </xf>
    <xf borderId="0" fillId="0" fontId="2" numFmtId="0" xfId="0" applyAlignment="1" applyFont="1">
      <alignment horizontal="left"/>
    </xf>
    <xf borderId="0" fillId="0" fontId="24" numFmtId="0" xfId="0" applyAlignment="1" applyFont="1">
      <alignment horizontal="left" readingOrder="0" shrinkToFit="0" vertical="bottom" wrapText="1"/>
    </xf>
    <xf borderId="0" fillId="0" fontId="24" numFmtId="164" xfId="0" applyAlignment="1" applyFont="1" applyNumberFormat="1">
      <alignment horizontal="right" readingOrder="0" shrinkToFit="0" vertical="bottom" wrapText="1"/>
    </xf>
    <xf borderId="0" fillId="0" fontId="25" numFmtId="0" xfId="0" applyAlignment="1" applyFont="1">
      <alignment horizontal="left" readingOrder="0" shrinkToFit="0" vertical="bottom" wrapText="0"/>
    </xf>
    <xf borderId="0" fillId="0" fontId="26" numFmtId="164" xfId="0" applyAlignment="1" applyFont="1" applyNumberFormat="1">
      <alignment horizontal="right" readingOrder="0" shrinkToFit="0" vertical="bottom" wrapText="1"/>
    </xf>
    <xf borderId="0" fillId="0" fontId="24" numFmtId="0" xfId="0" applyAlignment="1" applyFont="1">
      <alignment horizontal="left" shrinkToFit="0" vertical="bottom" wrapText="1"/>
    </xf>
    <xf borderId="0" fillId="0" fontId="24" numFmtId="164" xfId="0" applyAlignment="1" applyFont="1" applyNumberFormat="1">
      <alignment horizontal="right" shrinkToFit="0" vertical="bottom" wrapText="1"/>
    </xf>
    <xf borderId="24" fillId="0" fontId="25" numFmtId="0" xfId="0" applyAlignment="1" applyBorder="1" applyFont="1">
      <alignment horizontal="left" shrinkToFit="0" vertical="bottom" wrapText="0"/>
    </xf>
    <xf borderId="0" fillId="0" fontId="24" numFmtId="49" xfId="0" applyAlignment="1" applyFont="1" applyNumberFormat="1">
      <alignment horizontal="left" shrinkToFit="0" vertical="bottom" wrapText="1"/>
    </xf>
    <xf borderId="24" fillId="0" fontId="25" numFmtId="0" xfId="0" applyAlignment="1" applyBorder="1" applyFont="1">
      <alignment horizontal="left" shrinkToFit="0" vertical="bottom" wrapText="1"/>
    </xf>
    <xf borderId="0" fillId="0" fontId="26" numFmtId="164" xfId="0" applyAlignment="1" applyFont="1" applyNumberFormat="1">
      <alignment horizontal="right" shrinkToFit="0" vertical="bottom" wrapText="1"/>
    </xf>
    <xf borderId="0" fillId="5" fontId="24" numFmtId="0" xfId="0" applyAlignment="1" applyFill="1" applyFont="1">
      <alignment horizontal="left" shrinkToFit="0" vertical="bottom" wrapText="1"/>
    </xf>
    <xf borderId="0" fillId="5" fontId="24" numFmtId="49" xfId="0" applyAlignment="1" applyFont="1" applyNumberFormat="1">
      <alignment horizontal="left" shrinkToFit="0" vertical="bottom" wrapText="1"/>
    </xf>
    <xf borderId="0" fillId="5" fontId="24" numFmtId="164" xfId="0" applyAlignment="1" applyFont="1" applyNumberFormat="1">
      <alignment horizontal="right" shrinkToFit="0" vertical="bottom" wrapText="1"/>
    </xf>
    <xf borderId="24" fillId="5" fontId="25" numFmtId="0" xfId="0" applyAlignment="1" applyBorder="1" applyFont="1">
      <alignment horizontal="left" shrinkToFit="0" vertical="bottom" wrapText="1"/>
    </xf>
    <xf borderId="0" fillId="5" fontId="26" numFmtId="164" xfId="0" applyAlignment="1" applyFont="1" applyNumberFormat="1">
      <alignment horizontal="right" shrinkToFit="0" vertical="bottom" wrapText="1"/>
    </xf>
    <xf borderId="24" fillId="0" fontId="24" numFmtId="0" xfId="0" applyAlignment="1" applyBorder="1" applyFont="1">
      <alignment horizontal="left" shrinkToFit="0" vertical="bottom" wrapText="1"/>
    </xf>
    <xf borderId="0" fillId="0" fontId="25" numFmtId="0" xfId="0" applyAlignment="1" applyFont="1">
      <alignment horizontal="left" shrinkToFit="0" vertical="bottom" wrapText="1"/>
    </xf>
    <xf borderId="0" fillId="5" fontId="20" numFmtId="0" xfId="0" applyAlignment="1" applyFont="1">
      <alignment horizontal="left" shrinkToFit="0" vertical="bottom" wrapText="0"/>
    </xf>
    <xf borderId="0" fillId="0" fontId="25" numFmtId="0" xfId="0" applyAlignment="1" applyFont="1">
      <alignment horizontal="left" shrinkToFit="0" vertical="bottom" wrapText="0"/>
    </xf>
    <xf borderId="24" fillId="5" fontId="25" numFmtId="0" xfId="0" applyAlignment="1" applyBorder="1" applyFont="1">
      <alignment horizontal="left" shrinkToFit="0" vertical="bottom" wrapText="0"/>
    </xf>
    <xf borderId="0" fillId="0" fontId="24" numFmtId="49" xfId="0" applyAlignment="1" applyFont="1" applyNumberFormat="1">
      <alignment horizontal="left" readingOrder="0" shrinkToFit="0" vertical="bottom" wrapText="1"/>
    </xf>
    <xf borderId="0" fillId="0" fontId="25" numFmtId="0" xfId="0" applyAlignment="1" applyFont="1">
      <alignment horizontal="left" readingOrder="0" shrinkToFit="0" vertical="bottom" wrapText="1"/>
    </xf>
    <xf borderId="24" fillId="5" fontId="24" numFmtId="0" xfId="0" applyAlignment="1" applyBorder="1" applyFont="1">
      <alignment horizontal="left" shrinkToFit="0" vertical="bottom" wrapText="1"/>
    </xf>
    <xf borderId="0" fillId="5" fontId="25" numFmtId="0" xfId="0" applyAlignment="1" applyFont="1">
      <alignment horizontal="left" shrinkToFit="0" vertical="bottom" wrapText="0"/>
    </xf>
    <xf borderId="0" fillId="5" fontId="25" numFmtId="0" xfId="0" applyAlignment="1" applyFont="1">
      <alignment horizontal="left" shrinkToFit="0" vertical="bottom" wrapText="1"/>
    </xf>
    <xf borderId="0" fillId="2" fontId="24" numFmtId="0" xfId="0" applyAlignment="1" applyFont="1">
      <alignment horizontal="left" shrinkToFit="0" vertical="bottom" wrapText="1"/>
    </xf>
    <xf borderId="0" fillId="2" fontId="20" numFmtId="49" xfId="0" applyAlignment="1" applyFont="1" applyNumberFormat="1">
      <alignment horizontal="left" shrinkToFit="0" vertical="bottom" wrapText="0"/>
    </xf>
    <xf borderId="0" fillId="2" fontId="20" numFmtId="0" xfId="0" applyAlignment="1" applyFont="1">
      <alignment horizontal="left" shrinkToFit="0" vertical="bottom" wrapText="0"/>
    </xf>
    <xf borderId="0" fillId="2" fontId="20" numFmtId="164" xfId="0" applyAlignment="1" applyFont="1" applyNumberFormat="1">
      <alignment horizontal="right" shrinkToFit="0" vertical="bottom" wrapText="0"/>
    </xf>
    <xf borderId="24" fillId="2" fontId="25" numFmtId="0" xfId="0" applyAlignment="1" applyBorder="1" applyFont="1">
      <alignment horizontal="left" shrinkToFit="0" vertical="bottom" wrapText="0"/>
    </xf>
    <xf borderId="0" fillId="0" fontId="27" numFmtId="0" xfId="0" applyAlignment="1" applyFont="1">
      <alignment horizontal="center" readingOrder="0" shrinkToFit="0" vertical="center" wrapText="1"/>
    </xf>
    <xf borderId="11" fillId="6" fontId="28" numFmtId="0" xfId="0" applyAlignment="1" applyBorder="1" applyFill="1" applyFont="1">
      <alignment horizontal="left" readingOrder="0" shrinkToFit="0" vertical="bottom" wrapText="1"/>
    </xf>
    <xf borderId="0" fillId="0" fontId="17" numFmtId="0" xfId="0" applyAlignment="1" applyFont="1">
      <alignment shrinkToFit="0" vertical="bottom" wrapText="1"/>
    </xf>
    <xf borderId="11" fillId="6" fontId="17" numFmtId="0" xfId="0" applyAlignment="1" applyBorder="1" applyFont="1">
      <alignment horizontal="center" shrinkToFit="0" vertical="center" wrapText="1"/>
    </xf>
    <xf borderId="0" fillId="0" fontId="17" numFmtId="0" xfId="0" applyAlignment="1" applyFont="1">
      <alignment horizontal="left" shrinkToFit="0" vertical="center" wrapText="1"/>
    </xf>
    <xf borderId="0" fillId="0" fontId="17" numFmtId="0" xfId="0" applyAlignment="1" applyFont="1">
      <alignment horizontal="center" shrinkToFit="0" vertical="center" wrapText="1"/>
    </xf>
    <xf borderId="0" fillId="0" fontId="17" numFmtId="0" xfId="0" applyAlignment="1" applyFont="1">
      <alignment shrinkToFit="0" vertical="bottom" wrapText="1"/>
    </xf>
    <xf borderId="11" fillId="6" fontId="20" numFmtId="0" xfId="0" applyAlignment="1" applyBorder="1" applyFont="1">
      <alignment horizontal="center" shrinkToFit="0" vertical="center" wrapText="1"/>
    </xf>
    <xf borderId="0" fillId="7" fontId="20" numFmtId="0" xfId="0" applyAlignment="1" applyFill="1" applyFont="1">
      <alignment shrinkToFit="0" vertical="center" wrapText="1"/>
    </xf>
    <xf borderId="0" fillId="7" fontId="20" numFmtId="0" xfId="0" applyAlignment="1" applyFont="1">
      <alignment horizontal="center" shrinkToFit="0" vertical="center" wrapText="1"/>
    </xf>
    <xf borderId="0" fillId="3" fontId="20" numFmtId="0" xfId="0" applyAlignment="1" applyFont="1">
      <alignment shrinkToFit="0" vertical="center" wrapText="1"/>
    </xf>
    <xf borderId="0" fillId="3" fontId="20" numFmtId="0" xfId="0" applyAlignment="1" applyFont="1">
      <alignment horizontal="center" shrinkToFit="0" vertical="center" wrapText="1"/>
    </xf>
    <xf borderId="0" fillId="3" fontId="20" numFmtId="0" xfId="0" applyAlignment="1" applyFont="1">
      <alignment shrinkToFit="0" vertical="center" wrapText="0"/>
    </xf>
    <xf borderId="0" fillId="7" fontId="20" numFmtId="0" xfId="0" applyAlignment="1" applyFont="1">
      <alignment shrinkToFit="0" vertical="center" wrapText="0"/>
    </xf>
    <xf borderId="0" fillId="6" fontId="17" numFmtId="0" xfId="0" applyAlignment="1" applyFont="1">
      <alignment horizontal="center" shrinkToFit="0" vertical="center" wrapText="1"/>
    </xf>
    <xf borderId="0" fillId="6" fontId="20" numFmtId="0" xfId="0" applyAlignment="1" applyFont="1">
      <alignment shrinkToFit="0" vertical="center" wrapText="0"/>
    </xf>
    <xf borderId="25" fillId="3" fontId="20" numFmtId="0" xfId="0" applyAlignment="1" applyBorder="1" applyFont="1">
      <alignment shrinkToFit="0" vertical="center" wrapText="0"/>
    </xf>
    <xf borderId="0" fillId="6" fontId="20" numFmtId="0" xfId="0" applyAlignment="1" applyFont="1">
      <alignment horizontal="center" shrinkToFit="0" vertical="center" wrapText="1"/>
    </xf>
    <xf borderId="26" fillId="3" fontId="20" numFmtId="0" xfId="0" applyAlignment="1" applyBorder="1" applyFont="1">
      <alignment shrinkToFit="0" vertical="center" wrapText="1"/>
    </xf>
    <xf borderId="26" fillId="3" fontId="20" numFmtId="0" xfId="0" applyAlignment="1" applyBorder="1" applyFont="1">
      <alignment shrinkToFit="0" vertical="center" wrapText="0"/>
    </xf>
    <xf borderId="26" fillId="3" fontId="20" numFmtId="0" xfId="0" applyAlignment="1" applyBorder="1" applyFont="1">
      <alignment horizontal="center" shrinkToFit="0" vertical="center" wrapText="1"/>
    </xf>
    <xf borderId="27" fillId="3" fontId="20" numFmtId="0" xfId="0" applyAlignment="1" applyBorder="1" applyFont="1">
      <alignment horizontal="center" shrinkToFit="0" vertical="center" wrapText="1"/>
    </xf>
    <xf borderId="28" fillId="7" fontId="20" numFmtId="0" xfId="0" applyAlignment="1" applyBorder="1" applyFont="1">
      <alignment shrinkToFit="0" vertical="center" wrapText="0"/>
    </xf>
    <xf borderId="29" fillId="7" fontId="20" numFmtId="0" xfId="0" applyAlignment="1" applyBorder="1" applyFont="1">
      <alignment shrinkToFit="0" vertical="center" wrapText="1"/>
    </xf>
    <xf borderId="29" fillId="7" fontId="20" numFmtId="0" xfId="0" applyAlignment="1" applyBorder="1" applyFont="1">
      <alignment shrinkToFit="0" vertical="center" wrapText="0"/>
    </xf>
    <xf borderId="29" fillId="7" fontId="20" numFmtId="0" xfId="0" applyAlignment="1" applyBorder="1" applyFont="1">
      <alignment horizontal="center" shrinkToFit="0" vertical="center" wrapText="1"/>
    </xf>
    <xf borderId="30" fillId="7" fontId="20" numFmtId="0" xfId="0" applyAlignment="1" applyBorder="1" applyFont="1">
      <alignment horizontal="center" shrinkToFit="0" vertical="center" wrapText="1"/>
    </xf>
    <xf borderId="28" fillId="7" fontId="20" numFmtId="0" xfId="0" applyAlignment="1" applyBorder="1" applyFont="1">
      <alignment horizontal="center" shrinkToFit="0" vertical="center" wrapText="1"/>
    </xf>
    <xf borderId="11" fillId="6" fontId="20" numFmtId="0" xfId="0" applyAlignment="1" applyBorder="1" applyFont="1">
      <alignment shrinkToFit="0" vertical="center" wrapText="0"/>
    </xf>
    <xf borderId="25" fillId="3" fontId="20" numFmtId="0" xfId="0" applyAlignment="1" applyBorder="1" applyFont="1">
      <alignment horizontal="center" shrinkToFit="0" vertical="center" wrapText="1"/>
    </xf>
    <xf borderId="31" fillId="3" fontId="20" numFmtId="0" xfId="0" applyAlignment="1" applyBorder="1" applyFont="1">
      <alignment shrinkToFit="0" vertical="center" wrapText="0"/>
    </xf>
    <xf borderId="32" fillId="3" fontId="20" numFmtId="0" xfId="0" applyAlignment="1" applyBorder="1" applyFont="1">
      <alignment shrinkToFit="0" vertical="center" wrapText="1"/>
    </xf>
    <xf borderId="32" fillId="3" fontId="20" numFmtId="0" xfId="0" applyAlignment="1" applyBorder="1" applyFont="1">
      <alignment shrinkToFit="0" vertical="center" wrapText="0"/>
    </xf>
    <xf borderId="33" fillId="3" fontId="20" numFmtId="0" xfId="0" applyAlignment="1" applyBorder="1" applyFont="1">
      <alignment shrinkToFit="0" vertical="center" wrapText="0"/>
    </xf>
    <xf borderId="0" fillId="0" fontId="27" numFmtId="0" xfId="0" applyAlignment="1" applyFont="1">
      <alignment horizontal="center" readingOrder="0" shrinkToFit="0" vertical="center" wrapText="1"/>
    </xf>
    <xf borderId="0" fillId="0" fontId="17" numFmtId="0" xfId="0" applyAlignment="1" applyFont="1">
      <alignment readingOrder="0" shrinkToFit="0" vertical="center" wrapText="1"/>
    </xf>
    <xf borderId="0" fillId="3" fontId="20" numFmtId="0" xfId="0" applyAlignment="1" applyFont="1">
      <alignment readingOrder="0" shrinkToFit="0" vertical="center" wrapText="1"/>
    </xf>
    <xf borderId="0" fillId="7" fontId="20" numFmtId="0" xfId="0" applyAlignment="1" applyFont="1">
      <alignment readingOrder="0" shrinkToFit="0" vertical="center" wrapText="1"/>
    </xf>
    <xf borderId="0" fillId="3" fontId="20" numFmtId="0" xfId="0" applyAlignment="1" applyFont="1">
      <alignment readingOrder="0" shrinkToFit="0" vertical="center" wrapText="0"/>
    </xf>
    <xf borderId="0" fillId="6" fontId="17" numFmtId="0" xfId="0" applyAlignment="1" applyFont="1">
      <alignment shrinkToFit="0" vertical="center" wrapText="1"/>
    </xf>
    <xf borderId="0" fillId="6" fontId="20" numFmtId="0" xfId="0" applyAlignment="1" applyFont="1">
      <alignment shrinkToFit="0" vertical="center" wrapText="1"/>
    </xf>
    <xf borderId="0" fillId="6" fontId="20" numFmtId="0" xfId="0" applyAlignment="1" applyFont="1">
      <alignment shrinkToFit="0" vertical="center" wrapText="0"/>
    </xf>
    <xf borderId="30" fillId="7" fontId="20" numFmtId="0" xfId="0" applyAlignment="1" applyBorder="1" applyFont="1">
      <alignment shrinkToFit="0" vertical="center"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004CA6"/>
          <bgColor rgb="FF004CA6"/>
        </patternFill>
      </fill>
      <border/>
    </dxf>
    <dxf>
      <font/>
      <fill>
        <patternFill patternType="solid">
          <fgColor rgb="FF63D297"/>
          <bgColor rgb="FF63D297"/>
        </patternFill>
      </fill>
      <border/>
    </dxf>
    <dxf>
      <font/>
      <fill>
        <patternFill patternType="solid">
          <fgColor rgb="FFE7F9EF"/>
          <bgColor rgb="FFE7F9EF"/>
        </patternFill>
      </fill>
      <border/>
    </dxf>
  </dxfs>
  <tableStyles count="14">
    <tableStyle count="4" pivot="0" name="STINGRAY-style">
      <tableStyleElement dxfId="1" type="headerRow"/>
      <tableStyleElement dxfId="2" type="firstRowStripe"/>
      <tableStyleElement dxfId="3" type="secondRowStripe"/>
      <tableStyleElement dxfId="4" size="0" type="wholeTable"/>
    </tableStyle>
    <tableStyle count="4" pivot="0" name="STINGRAY_INT-style">
      <tableStyleElement dxfId="5" type="headerRow"/>
      <tableStyleElement dxfId="2" type="firstRowStripe"/>
      <tableStyleElement dxfId="3" type="secondRowStripe"/>
      <tableStyleElement dxfId="4" size="0" type="wholeTable"/>
    </tableStyle>
    <tableStyle count="4" pivot="0" name="ERAY-style">
      <tableStyleElement dxfId="1" type="headerRow"/>
      <tableStyleElement dxfId="2" type="firstRowStripe"/>
      <tableStyleElement dxfId="3" type="secondRowStripe"/>
      <tableStyleElement dxfId="4" size="0" type="wholeTable"/>
    </tableStyle>
    <tableStyle count="4" pivot="0" name="Z06-style">
      <tableStyleElement dxfId="1" type="headerRow"/>
      <tableStyleElement dxfId="2" type="firstRowStripe"/>
      <tableStyleElement dxfId="3" type="secondRowStripe"/>
      <tableStyleElement dxfId="4" size="0" type="wholeTable"/>
    </tableStyle>
    <tableStyle count="4" pivot="0" name="ZR1-style">
      <tableStyleElement dxfId="1" type="headerRow"/>
      <tableStyleElement dxfId="2" type="firstRowStripe"/>
      <tableStyleElement dxfId="3" type="secondRowStripe"/>
      <tableStyleElement dxfId="4" size="0" type="wholeTable"/>
    </tableStyle>
    <tableStyle count="4" pivot="0" name="ZR1X-style">
      <tableStyleElement dxfId="1" type="headerRow"/>
      <tableStyleElement dxfId="2" type="firstRowStripe"/>
      <tableStyleElement dxfId="3" type="secondRowStripe"/>
      <tableStyleElement dxfId="4" size="0" type="wholeTable"/>
    </tableStyle>
    <tableStyle count="4" pivot="0" name="ERay.Z06_Int-style">
      <tableStyleElement dxfId="5" type="headerRow"/>
      <tableStyleElement dxfId="2" type="firstRowStripe"/>
      <tableStyleElement dxfId="3" type="secondRowStripe"/>
      <tableStyleElement dxfId="4" size="0" type="wholeTable"/>
    </tableStyle>
    <tableStyle count="4" pivot="0" name="ZR1_INT-style">
      <tableStyleElement dxfId="5" type="headerRow"/>
      <tableStyleElement dxfId="2" type="firstRowStripe"/>
      <tableStyleElement dxfId="3" type="secondRowStripe"/>
      <tableStyleElement dxfId="4" size="0" type="wholeTable"/>
    </tableStyle>
    <tableStyle count="3" pivot="0" name="PriceRef-style">
      <tableStyleElement dxfId="6" type="headerRow"/>
      <tableStyleElement dxfId="2" type="firstRowStripe"/>
      <tableStyleElement dxfId="7" type="secondRowStripe"/>
    </tableStyle>
    <tableStyle count="4" pivot="0" name="PriceSchedule-style">
      <tableStyleElement dxfId="1" type="headerRow"/>
      <tableStyleElement dxfId="2" type="firstRowStripe"/>
      <tableStyleElement dxfId="3" type="secondRowStripe"/>
      <tableStyleElement dxfId="4" size="0" type="wholeTable"/>
    </tableStyle>
    <tableStyle count="4" pivot="0" name="Standard Equipment STINGRAY-style">
      <tableStyleElement dxfId="1" type="headerRow"/>
      <tableStyleElement dxfId="2" type="firstRowStripe"/>
      <tableStyleElement dxfId="3" type="secondRowStripe"/>
      <tableStyleElement dxfId="4" size="0" type="wholeTable"/>
    </tableStyle>
    <tableStyle count="4" pivot="0" name="Standard Equipment Z06-style">
      <tableStyleElement dxfId="1" type="headerRow"/>
      <tableStyleElement dxfId="2" type="firstRowStripe"/>
      <tableStyleElement dxfId="3" type="secondRowStripe"/>
      <tableStyleElement dxfId="4" size="0" type="wholeTable"/>
    </tableStyle>
    <tableStyle count="4" pivot="0" name="Standard Equipment ERAY-style">
      <tableStyleElement dxfId="1" type="headerRow"/>
      <tableStyleElement dxfId="2" type="firstRowStripe"/>
      <tableStyleElement dxfId="3" type="secondRowStripe"/>
      <tableStyleElement dxfId="4" size="0" type="wholeTable"/>
    </tableStyle>
    <tableStyle count="4" pivot="0" name="Standard Equipment ZR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pivotCacheDefinition" Target="pivotCache/pivotCacheDefinition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133" sheet="STINGRAY"/>
  </cacheSource>
  <cacheFields>
    <cacheField name="RPO Code" numFmtId="0">
      <sharedItems>
        <s v="5DG"/>
        <s v="5DO"/>
        <s v="5JR"/>
        <s v="5V5"/>
        <s v="5V7"/>
        <s v="5ZC"/>
        <s v="5ZD"/>
        <s v="5ZU"/>
        <s v="5ZW"/>
        <s v="5ZZ"/>
        <s v="B6P"/>
        <s v="BC7"/>
        <s v="BCP"/>
        <s v="BCP-s"/>
        <s v="BCS"/>
        <s v="BCS-s"/>
        <s v="BV4"/>
        <s v="C2Z"/>
        <s v="CAV"/>
        <s v="CC3"/>
        <s v="CF7"/>
        <s v="CF8"/>
        <s v="CM9"/>
        <s v="D3V"/>
        <s v="D84"/>
        <s v="D86"/>
        <s v="DPB"/>
        <s v="DPC"/>
        <s v="DPG"/>
        <s v="DPL"/>
        <s v="DPT"/>
        <s v="DSY"/>
        <s v="DSZ"/>
        <s v="DT0"/>
        <s v="DTH"/>
        <s v="DUB"/>
        <s v="DUK"/>
        <s v="DUW"/>
        <s v="DZU"/>
        <s v="DZV"/>
        <s v="DZX"/>
        <s v="E60"/>
        <s v="EFR"/>
        <s v="EFY"/>
        <s v="ERI"/>
        <s v="EYK"/>
        <s v="EYT"/>
        <s v="FE2"/>
        <s v="FE4"/>
        <s v="G26"/>
        <s v="G4Z"/>
        <s v="G8G"/>
        <s v="GBA"/>
        <s v="GBK"/>
        <s v="GJV"/>
        <s v="GKA"/>
        <s v="GKZ"/>
        <s v="GPH"/>
        <s v="GXL"/>
        <s v="J6A"/>
        <s v="J6E"/>
        <s v="J6F"/>
        <s v="J6N"/>
        <s v="NGA"/>
        <s v="NPP"/>
        <s v="PCU"/>
        <s v="PCX"/>
        <s v="PDV"/>
        <s v="PDY"/>
        <s v="PEF"/>
        <s v="PIN"/>
        <s v="Q99"/>
        <s v="Q9A"/>
        <s v="Q9I"/>
        <s v="Q9O"/>
        <s v="Q9Y"/>
        <s v="QE5"/>
        <s v="QEB"/>
        <s v="R88"/>
        <s v="R8C"/>
        <s v="RIA"/>
        <s v="RIK"/>
        <s v="RIN"/>
        <s v="RNX"/>
        <s v="RWH"/>
        <s v="RWJ"/>
        <s v="RWU"/>
        <s v="RXH"/>
        <s v="RXJ"/>
        <s v="RYQ"/>
        <s v="RYT"/>
        <s v="RZ9"/>
        <s v="S08"/>
        <s v="S2L"/>
        <s v="S47"/>
        <s v="SB7"/>
        <s v="SC7"/>
        <s v="SDA"/>
        <s v="SFE"/>
        <s v="SFZ"/>
        <s v="SHQ"/>
        <s v="SHT"/>
        <s v="SHW"/>
        <s v="SL1"/>
        <s v="SL8"/>
        <s v="SL9"/>
        <s v="SLK"/>
        <s v="SLN"/>
        <s v="SNG"/>
        <s v="SPY"/>
        <s v="SPZ"/>
        <s v="STI"/>
        <s v="SXB"/>
        <s v="SXR"/>
        <s v="SXT"/>
        <s v="T0A"/>
        <s v="TVS"/>
        <s v="V8X"/>
        <s v="VK3"/>
        <s v="VQK"/>
        <s v="VTB"/>
        <s v="VUP"/>
        <s v="VWD"/>
        <s v="VWE"/>
        <s v="VYW"/>
        <s v="W2D"/>
        <s v="WKQ"/>
        <s v="WKR"/>
        <s v="Z51"/>
        <s v="ZF1"/>
        <s v="ZYC"/>
        <s v="ZZ3"/>
      </sharedItems>
    </cacheField>
    <cacheField name="Name" numFmtId="0">
      <sharedItems>
        <s v="20-Spoke Tech Bronze Forged Aluminum Rims"/>
        <s v="15-spoke Bright polished aluminum wheels"/>
        <s v="Visible Carbon Fiber Mirror Covers"/>
        <s v="High Wing Spoiler- Carbon Fiber Weave"/>
        <s v="Black Ground Effects"/>
        <s v="Jake Logo wheel center caps"/>
        <s v="Carbon Flash Center Caps w/ Crossed Flags logo"/>
        <s v="High Wing Spoiler- Body color"/>
        <s v="Visible carbon fiber two-stanchion spoiler, LPO"/>
        <s v="High Wing Spoiler- Carbon Flash Painted"/>
        <s v="Coupe Engine Appearance Package"/>
        <s v="LT2 Engine Cover, Black"/>
        <s v="LPO, Engine Cover in Edge Red"/>
        <s v="LPO, Engine Cover in Sterling Silver"/>
        <s v="Plaque, personalized, custom-made with your name and VIN"/>
        <s v="Visible Carbon Fiber weave w/body color border roof panel"/>
        <s v="Contoured Cargo Area Liners w/ Jake logo"/>
        <s v="Transparent Glass roof panel"/>
        <s v="Body-Color Carbon Roof panel"/>
        <s v="Electrochromic Dimming Roof Panel"/>
        <s v="Body-Color roof and nacelles"/>
        <s v="Engine Bay, Lights only"/>
        <s v="Carbon Flash painted nacelles and roof"/>
        <s v="Carbon Flash painted nacelles and body color roof"/>
        <s v="Carbon Flash with Blue accent Full Length Dual Racing Stripes"/>
        <s v="Carbon Flash with Yellow accent Full Length Dual Racing Stripes"/>
        <s v="Carbon Flash with Orange accent Full Length Dual Racing Stripes"/>
        <s v="Carbon Flash with Red accent Full Length Dual Racing Stripes"/>
        <s v="Carbon Flash with Silver accent Full Length Dual Racing Stripes"/>
        <s v="Edge Orange Full Length Dual Racing Stripe"/>
        <s v="Edge Red Full Length Dual Racing Stripe"/>
        <s v="Competition Yellow Full Length Dual Racing Stripe"/>
        <s v="Carbon Flash Full Length Dual Racing Stripe"/>
        <s v="Sterling Silver Full Length Dual Racing Stripe"/>
        <s v="Asymmetrical Adrenaline Red/Carbon Flash Full Length Dual Racing Stripes"/>
        <s v="Edge Blue Full Length Dual Racing Stripe"/>
        <s v="Stinger Stripe, Carbon Flash/ Competition Yellow"/>
        <s v="Stinger Stripe, Carbon Flash/ Midnight Silver"/>
        <s v="Stinger Stripe, Carbon Flash/ Edge Red"/>
        <s v="Front lift adjustable height w/ memory"/>
        <s v="Carbon Flash exterior accents"/>
        <s v="Body Color exterior accents"/>
        <s v="Battery Protection Package"/>
        <s v="Chrome Exterior Badge Package"/>
        <s v="Carbon Flash Exterior Badge Package"/>
        <s v="Magnetic Selective Ride Control without Z51 package"/>
        <s v="Magnetic Selective Ride Control with PTM"/>
        <s v="Sebring Orange Tintcoat"/>
        <s v="Roswell Green Metallic exterior color (extra cost)"/>
        <s v="Arctic White"/>
        <s v="Black"/>
        <s v="Competition Yellow Tintcoat Metallic"/>
        <s v="Riptide Blue Metallic"/>
        <s v="Blade Silver Metallic exterior color"/>
        <s v="Torch Red"/>
        <s v="Red Mist Metallic Tintcoat"/>
        <s v="Hysteria Purple Metallic"/>
        <s v="Black Painted Calipers"/>
        <s v="Velocity Yellow Painted Calipers"/>
        <s v="Bright Red Painted Calipers"/>
        <s v="Edge Red Painted Calipers"/>
        <s v="Black Exhaust Tips"/>
        <s v="Performance Exhaust"/>
        <s v="Stingray Protection Package"/>
        <s v="Tech Bronze Accent Package"/>
        <s v="Stingray R Appearance Package"/>
        <s v="Roadside Safety Package"/>
        <s v="Contoured Liner Protection Package"/>
        <s v="Customer selectable VIN ending*"/>
        <s v="20 Spoke Bright Machined-face"/>
        <s v="20 Spoke Midnight Gray w/ Red Stripe"/>
        <s v="20 Spoke Gloss Black"/>
        <s v="5-split-spoke Satin Graphite with machined edge"/>
        <s v="5-split spoke machined-face Sterling Silver-painted"/>
        <s v="5-split spoke Black Painted"/>
        <s v="5-split-spoke Pearl Nickel forged aluminum wheels"/>
        <s v="NEW!  LPO, Illuminated crossed flags emblem"/>
        <s v="Corvette Museum Delivery"/>
        <s v="All Weather floor liner w/ Jake logo"/>
        <s v="Rear Corvette Script, Torch Red"/>
        <s v="Rear Corvette Script, Arctic White"/>
        <s v="Premium outdoor car cover, Gray, Stingray logo, access panels"/>
        <s v="Premium Indoor car cover, Black with crossed flags logo"/>
        <s v="Premium outdoor car cover, Gray w/ Crossed Flags logo &amp; Vette Silhouette"/>
        <s v="Cargo Area Organizer, collapsible"/>
        <s v="Silver wheel center caps w/ Stingray logo &amp; Red outline"/>
        <s v="Black wheel center caps with Gray Stingray logo"/>
        <s v="Visible Carbon Fiber Door Intake Trim"/>
        <s v="First Aid Kit, Genuine Corvette Accessory"/>
        <s v="Visible Carbon Fiber Grille Insert"/>
        <s v="Highway Safety Kit, Genuine Corvette Accessory"/>
        <s v="Premium Leather weekend travel bags"/>
        <s v="Chrome lug nuts"/>
        <s v="Corvette Racing themed graphics w/ Jake and Stingray R logos"/>
        <s v="Roof panel storage pouch"/>
        <s v="Black recovery hook"/>
        <s v="Wheel locks"/>
        <s v="Dark Stealth crossed flags emblem"/>
        <s v="Fender hash stripes, Silver with Carbon Flash Metallic accent"/>
        <s v="Jake Hood Graphic w/ Tech Bronze Accent"/>
        <s v="Fender hash stripes, Carbon Flash Metallic with Edge Red accent"/>
        <s v="Premium Indoor car cover, Red w/ Stingray Logo"/>
        <s v="Rear Corvette Script, Edge Red"/>
        <s v="Engine Specification Plaque"/>
        <s v="Red Strut Bracket"/>
        <s v="Visible Carbon Fiber Engine Cross Brace w/ Jake Logo"/>
        <s v="Fender hash stripes, Carbon Flash Metallic with Tech Bronze Accent"/>
        <s v="Black lug nuts"/>
        <s v="Black wheel locks"/>
        <s v="Composite rockers, molded in Black"/>
        <s v="Suede Frunk and Trunk Liner, Black"/>
        <s v="Suede Frunk and Trunk Liner, Red"/>
        <s v="Suede Frunk and Trunk Liner, Tan"/>
        <s v="Z51 Rear Spoiler"/>
        <s v="Low rear spoiler and front splitter"/>
        <s v="Visible Carbon Fiber Sill Plates"/>
        <s v="License Plate Bracket, Front"/>
        <s v="Custom splash guards, molded in Black"/>
        <s v="Rear Fascia/roof storage protector Black w/ Crossed flags logo"/>
        <s v="Engine Bay Closeout Graphics"/>
        <s v="Stingray R logo wheel center caps"/>
        <s v="Front radiator grille guards"/>
        <s v="Premium Floor mats, carpeted w/ Car silhouette logo"/>
        <s v="Cargo net set"/>
        <s v="Premium Indoor car cover, Black, crossed flags logo, access panels"/>
        <s v="NEW!  LPO, Premium indoor car cover, GT3.R, fully rendered"/>
        <s v="Z51 Performance Package"/>
        <s v="Aero Delete"/>
        <s v="Carbon Flash Metallic painted outside mirrors and spoiler"/>
        <s v="Convertible Engine Appearance Package"/>
      </sharedItems>
    </cacheField>
    <cacheField name="Price" numFmtId="0">
      <sharedItems containsSemiMixedTypes="0" containsString="0" containsNumber="1" containsInteger="1">
        <n v="3650.0"/>
        <n v="4695.0"/>
        <n v="1250.0"/>
        <n v="7995.0"/>
        <n v="625.0"/>
        <n v="250.0"/>
        <n v="1350.0"/>
        <n v="6225.0"/>
        <n v="1395.0"/>
        <n v="1695.0"/>
        <n v="0.0"/>
        <n v="495.0"/>
        <n v="595.0"/>
        <n v="295.0"/>
        <n v="2495.0"/>
        <n v="195.0"/>
        <n v="995.0"/>
        <n v="3000.0"/>
        <n v="100.0"/>
        <n v="1295.0"/>
        <n v="1195.0"/>
        <n v="500.0"/>
        <n v="2595.0"/>
        <n v="1895.0"/>
        <n v="695.0"/>
        <n v="395.0"/>
        <n v="4395.0"/>
        <n v="750.0"/>
        <n v="475.0"/>
        <n v="5000.0"/>
        <n v="1995.0"/>
        <n v="1495.0"/>
        <n v="265.0"/>
        <n v="425.0"/>
        <n v="175.0"/>
        <n v="3995.0"/>
        <n v="60.0"/>
        <n v="150.0"/>
        <n v="275.0"/>
        <n v="125.0"/>
        <n v="95.0"/>
        <n v="2895.0"/>
        <n v="320.0"/>
        <n v="1950.0"/>
        <n v="2295.0"/>
        <n v="40.0"/>
        <n v="255.0"/>
        <n v="570.0"/>
        <n v="525.0"/>
        <n v="298.0"/>
        <n v="1275.0"/>
        <n v="6345.0"/>
        <n v="1095.0"/>
      </sharedItems>
    </cacheField>
    <cacheField name="Detail" numFmtId="0">
      <sharedItems containsBlank="1">
        <s v="Comes as a Second Set of Wheels. Includes Bronze center caps, Black wheel locks and Black Lugnuts"/>
        <s v="Comes as a 2nd set of wheels"/>
        <s v="3LT/LZ only. Adds DRG carbon flash painted mirrors (N/C) "/>
        <s v="Not available at this time."/>
        <s v="Includes STI and Front splitter. "/>
        <m/>
        <s v="Deletes T0A Z51 rear spoiler when ordered with Z51 Performance Package."/>
        <s v="Deletes T0A Z51 rear spoiler when ordered with Z51 Performance Package"/>
        <s v="Dealer Installed. Deletes T0A Z51 rear spoiler when ordered with Z51 Performance Package."/>
        <s v="Includes Carbon Fiber Trim, D3V Engine Bay Lights, and SL9 Engine Specification Plaque"/>
        <s v="Standard on Coupe. Includes metal Corvette nameplate"/>
        <s v="Includes D3V Engine Bay Lights on Coupe. "/>
        <s v="Silver with metal Corvette nameplate."/>
        <s v="Personalized plaque is included in museum delivery R8C, Plaque is located between the seats on the speaker grille."/>
        <s v="Included w/PEF. Stingray and Z06 include both cargo areas. E-Ray and ZR1 rear trunk only"/>
        <s v="Standard"/>
        <s v="Electrochromic dimming, removable. "/>
        <s v="Coupe Only. Included with BCP, BCS, B6P, BCW."/>
        <s v="Not available w/ GBA Black"/>
        <s v="Not available with exterior color GJV Riptide Blue Metallic, GMO Rapid Blue, or GXL Hysteria Purple."/>
        <s v="Not available with exterior color GBK Competition Yellow Tintcoat Metallic."/>
        <s v="Not available with exterior color G26 Sebring Orange Tintcoat."/>
        <s v="Not available with exterior color GKZ Torch Red or GPH Red Mist Metallic Tintcoat."/>
        <s v=" Not available with exterior color (GKZ) Torch Red or (GPH) Red Mist Metallic Tintcoat."/>
        <s v="2LT/Z or 3LT/Z trim level only"/>
        <s v="Standard Carbon Flash.  Includes side vents and front/rear grille accents. Includes tonneau vent on convertible. Includes rockers on E-Ray and Z06"/>
        <s v="Includes side vents and front/rear grille accents. Includes tonneau vent on convertible. "/>
        <s v="Battery tender used to keep the battery charged when vehicle is stored for long periods of time."/>
        <s v="Includes badges on the nose and decklid, &quot;Corvette&quot; script on rear, and lower rocker badge on wide-body models."/>
        <s v="Standard. Includes badges on the nose and decklid, &quot;Corvette&quot; script on rear, and lower rocker badge on wide-body models."/>
        <s v="NON-Z51"/>
        <s v="Z51, Includes Performance Traction Management"/>
        <s v="Premium Tintcoat Color new"/>
        <s v="new Premium Color"/>
        <s v="new"/>
        <s v="Premium Tintcoat Color"/>
        <s v="Standard, Gloss finish. Not available with J57"/>
        <s v="Gloss finish"/>
        <s v="Darker shade of red, satin finish"/>
        <s v="Requires NPP (Stingray)"/>
        <s v="NON-Z51, Adds 5hp and 5lb/ft tq. Standard on Z51"/>
        <s v="Includes VWE front grille screens, STI black composite rocker extensions, and VQK splash guards. Not available with 5V7 ground effects."/>
        <s v="Includes 5DG, SFZ, SHT, and SNG"/>
        <s v="Includes SB7 and VWD"/>
        <s v="Includes First Aid Kit RYT and Highway Safety Kit S08"/>
        <s v="Includes CAV and RIA. ZR1 includes rear cargo liner only"/>
        <s v="This option is subject to restrictions and approval."/>
        <s v="(19&quot; x 8.5&quot; Front / 20&quot; x 11&quot; Rear) Forged Aluminum Rims"/>
        <s v="Standard (19&quot; x 8.5&quot; Front / 20&quot; x 11&quot; Rear) Forged Aluminum Rims"/>
        <s v="Not available at start of production."/>
        <s v="Guided VIP tour of the Corvette Assembly Plant (when available) for customer and 3 guests, Guided VIP tour of the NCM where the owner will see their Corvette on display, Quality, detailed orientation of the car by Delivery Team Guide, Celebratory drive ou"/>
        <s v="Included w/PEF"/>
        <s v="Not available with SL8, RIN"/>
        <s v="Not available with SL8, RIK"/>
        <s v="Not available with High Wing"/>
        <s v="Not available with (EFY) body-color exterior accents. "/>
        <s v="Included in PDY"/>
        <s v="Not available at this time, Not available with EFY body-color exterior accents."/>
        <s v="Set of 2"/>
        <s v="Dealer Installed"/>
        <s v="Keeps roof panel protected when storing OUTSIDE of car. Can NOT store roof panel in pouch and put in rear trunk; damage can occur to the roof panel and trunk lid."/>
        <s v="Not available with EYK Chrome Exterior Badge Package or any Full Length Dual Racing Stripes DPB, DPC, DPG, DPL, DPT, DSY, DSZ, DT0, DTB, DTH, DUB, DUW, Included with PCX/PCZ Tech Bronze Accent Package, LPO."/>
        <s v="Not available with RIK, RIN"/>
        <s v="Included with B6P/ZZ3 Engine Appearance Package new"/>
        <s v="Coupe only. LPO"/>
        <s v="Not available with RXI"/>
        <s v="Only available with Z51"/>
        <s v="No cost with Z51"/>
        <s v="Corvette Script and sillhouette logo"/>
        <s v="(Auto Shipped to Required States)"/>
        <s v="Z06 has Z06 logo instead of Car silhouette."/>
        <s v="1LT/LZ only"/>
        <s v="Includes (J55) Z51 performance brakes, (FE3) Z51 performance suspension, (NPP) performance exhaust, (GM7) performance rear axle ratio, (G96) Electronic Limited Slip Differential (eLSD), (T0A) Z51 rear spoiler, front splitter, (QUD) 245/35ZR19 front and 30"/>
        <s v="Also paints Spoiler IF equipped with Z51, TVS, or T0E"/>
        <s v="Includes window under tonneau cover, Black engine cover and (SL9) engine specification plaque."/>
      </sharedItems>
    </cacheField>
    <cacheField name="Compatibility" numFmtId="0">
      <sharedItems containsBlank="1">
        <s v="Not available w/ R8C"/>
        <s v="3LT/LZ only. Available with 1LZ on ZR1."/>
        <m/>
        <s v="Requires 5V5, 5ZU, 5ZZ"/>
        <s v="Requires exterior color G8G Arctic White, GBA Black or GKZ Torch Red, Not available with 5V5, 5ZW, 5ZZ, TVS, "/>
        <s v="Not available with 5V5, 5ZU, 5ZZ, TVS"/>
        <s v=" Not available with 5V5, 5ZW, 5ZZ, TVS, "/>
        <s v="Requires ZZ3 Engine appearance package on Convertible."/>
        <s v="When equipped with B6P on Coupe. Requires ZZ3 Engine appearance package on Convertible."/>
        <s v="Not Equipped with B6P. Requires ZZ3 Engine appearance package on Convertible."/>
        <s v="Not available on 1LT, 1LZ. Not available with any Full Length Dual Racing Stripes (DPB, DPC, DPG, DPL, DPT, DSY, DSZ, DT0, DTB, DTH, DUB, DUK, DUW)."/>
        <s v="Not available w/ GBA Black"/>
        <s v="Not available with exterior color GJV Riptide Blue Metallic, GMO Rapid Blue, or GXL Hysteria Purple."/>
        <s v="Not available with exterior color GBK Competition Yellow Tintcoat Metallic."/>
        <s v="Not available with exterior color G26 Sebring Orange Tintcoat."/>
        <s v="Not available with exterior color GKZ Torch Red or GPH Red Mist Metallic Tintcoat."/>
        <s v=" Not available with exterior color (GKZ) Torch Red or (GPH) Red Mist Metallic Tintcoat."/>
        <s v="2LT/Z or 3LT/Z trim level only"/>
        <s v="Not available with Black [GBA]"/>
        <s v="Without Z51"/>
        <s v="With Z51"/>
        <s v="Not available with J57 ceramic brakes"/>
        <s v="Requires NPP"/>
        <s v="Not available with 5V7 ground effects."/>
        <s v="Not available with EYK, PDV, SB7 or stripes DPB, DPC, DPG, DPL, DPT, DSY, DSZ, DT0, DTH, DUB, DUW, DZU, DZV, DZX"/>
        <s v="Not available with (SFZ) Dark Stealth crossed flags emblems, LPO, (EYK) Chrome Exterior Badge Package or any Full Length Dual Racing Stripes (DPB, DPC, DPG, DPL, DPT, DSY, DSZ, DT0, DTB, DTH, DUB, DUK, DUK, DUW)."/>
        <s v="Not available with SL8, RIN"/>
        <s v="Not available with SL8, RIK"/>
        <s v="Not available with High Wing"/>
        <s v="Not available with (EFY) body-color exterior accents. "/>
        <s v="Not available at this time, Not available with EFY body-color exterior accents."/>
        <s v="Coupe only"/>
        <s v="Not available with EYK Chrome Exterior Badge Package or any Full Length Dual Racing Stripes DPB, DPC, DPG, DPL, DPT, DSY, DSZ, DT0, DTB, DTH, DUB, DUW, Included with PCX/PCZ Tech Bronze Accent Package, LPO."/>
        <s v="Not available with RIK, RIN"/>
        <s v="Not available with RXI"/>
        <s v="Requires SPY Black lug nuts"/>
        <s v="Not available with (5V7) Black Ground Effects, LPO. Included with (PCU) Stingray Protection Package, LPO."/>
        <s v="1LT 1LZ only"/>
      </sharedItems>
    </cacheField>
    <cacheField name="Category" numFmtId="0">
      <sharedItems>
        <s v="lpo, wheels"/>
        <s v="carbon_fiber, lpo"/>
        <s v="spoilers, carbon_fiber"/>
        <s v="lpo"/>
        <s v="spoilers, lpo"/>
        <s v="engine_bay, carbon_fiber"/>
        <s v="engine_bay"/>
        <s v="engine_bay, lpo"/>
        <s v="customdelivery"/>
        <s v="roof, carbon_fiber"/>
        <s v="roof"/>
        <s v="stripes"/>
        <s v="mechanical"/>
        <s v="accents"/>
        <s v="badges"/>
        <s v="paint"/>
        <s v="calipers"/>
        <s v="lpo, wheels, stripes, badges"/>
        <s v="lpo, stripes"/>
        <s v="wheels"/>
        <s v="carbon_fiber, engine_bay, lpo"/>
        <s v="spoilers"/>
        <s v="lpo, engine_bay"/>
        <s v="mechanical, spoilers"/>
      </sharedItems>
    </cacheField>
    <cacheField name="Section" numFmtId="0">
      <sharedItems>
        <s v="Exterior Accessories"/>
        <s v="Carbon Fiber"/>
        <s v="Spoilers"/>
        <s v="Wheel Accessories"/>
        <s v="Engine Appearance"/>
        <s v="Custom Delivery"/>
        <s v="Coupe Roof Panel"/>
        <s v="Interior Accessories"/>
        <s v="Convertible Roof Panel"/>
        <s v="Stripes"/>
        <s v="Mechanical"/>
        <s v="Accents"/>
        <s v="Badges"/>
        <s v="Paint Color"/>
        <s v="Brake Calipers"/>
        <s v="LPO Packages"/>
        <s v="Wheels"/>
        <s v="Car Cover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rowGrandTotals="0" compact="0" compactData="0">
  <location ref="A3:C13" firstHeaderRow="0" firstDataRow="2" firstDataCol="0" rowPageCount="1" colPageCount="1"/>
  <pivotFields>
    <pivotField name="RPO Code" axis="axisRow" compact="0" outline="0" multipleItemSelectionAllowed="1" showAll="0" sortType="ascending" defaultSubtota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s>
    </pivotField>
    <pivotField name="Name" axis="axisRow" compact="0" outline="0" multipleItemSelectionAllowed="1" showAll="0" sortType="ascending">
      <items>
        <item x="1"/>
        <item x="69"/>
        <item x="71"/>
        <item x="70"/>
        <item x="0"/>
        <item x="74"/>
        <item x="73"/>
        <item x="75"/>
        <item x="72"/>
        <item x="127"/>
        <item x="78"/>
        <item x="49"/>
        <item x="34"/>
        <item x="42"/>
        <item x="50"/>
        <item x="61"/>
        <item x="4"/>
        <item x="107"/>
        <item x="57"/>
        <item x="95"/>
        <item x="86"/>
        <item x="108"/>
        <item x="53"/>
        <item x="41"/>
        <item x="18"/>
        <item x="20"/>
        <item x="59"/>
        <item x="6"/>
        <item x="40"/>
        <item x="44"/>
        <item x="32"/>
        <item x="128"/>
        <item x="23"/>
        <item x="22"/>
        <item x="24"/>
        <item x="26"/>
        <item x="27"/>
        <item x="28"/>
        <item x="25"/>
        <item x="84"/>
        <item x="123"/>
        <item x="43"/>
        <item x="92"/>
        <item x="31"/>
        <item x="51"/>
        <item x="109"/>
        <item x="16"/>
        <item x="67"/>
        <item x="129"/>
        <item x="77"/>
        <item x="93"/>
        <item x="10"/>
        <item x="117"/>
        <item x="68"/>
        <item x="97"/>
        <item x="35"/>
        <item x="29"/>
        <item x="30"/>
        <item x="60"/>
        <item x="19"/>
        <item x="119"/>
        <item x="21"/>
        <item x="103"/>
        <item x="100"/>
        <item x="106"/>
        <item x="98"/>
        <item x="88"/>
        <item x="39"/>
        <item x="121"/>
        <item x="7"/>
        <item x="3"/>
        <item x="9"/>
        <item x="90"/>
        <item x="56"/>
        <item x="99"/>
        <item x="5"/>
        <item x="116"/>
        <item x="114"/>
        <item x="12"/>
        <item x="13"/>
        <item x="11"/>
        <item x="46"/>
        <item x="45"/>
        <item x="76"/>
        <item x="125"/>
        <item x="62"/>
        <item x="14"/>
        <item x="122"/>
        <item x="82"/>
        <item x="124"/>
        <item x="101"/>
        <item x="91"/>
        <item x="83"/>
        <item x="81"/>
        <item x="80"/>
        <item x="102"/>
        <item x="79"/>
        <item x="118"/>
        <item x="55"/>
        <item x="104"/>
        <item x="52"/>
        <item x="66"/>
        <item x="94"/>
        <item x="48"/>
        <item x="47"/>
        <item x="85"/>
        <item x="33"/>
        <item x="36"/>
        <item x="38"/>
        <item x="37"/>
        <item x="63"/>
        <item x="65"/>
        <item x="120"/>
        <item x="110"/>
        <item x="111"/>
        <item x="112"/>
        <item x="64"/>
        <item x="54"/>
        <item x="17"/>
        <item x="58"/>
        <item x="87"/>
        <item x="105"/>
        <item x="89"/>
        <item x="2"/>
        <item x="115"/>
        <item x="8"/>
        <item x="15"/>
        <item x="96"/>
        <item x="126"/>
        <item x="113"/>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Det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Compatibil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Categor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ection" axis="axisPage" compact="0" outline="0" multipleItemSelectionAllowed="1" showAll="0">
      <items>
        <item h="1" x="0"/>
        <item h="1" x="1"/>
        <item h="1" x="2"/>
        <item h="1" x="3"/>
        <item h="1" x="4"/>
        <item h="1" x="5"/>
        <item h="1" x="6"/>
        <item h="1" x="7"/>
        <item h="1" x="8"/>
        <item h="1" x="9"/>
        <item h="1" x="10"/>
        <item h="1" x="11"/>
        <item h="1" x="12"/>
        <item x="13"/>
        <item h="1" x="14"/>
        <item h="1" x="15"/>
        <item h="1" x="16"/>
        <item h="1" x="17"/>
        <item t="default"/>
      </items>
    </pivotField>
  </pivotFields>
  <rowFields>
    <field x="0"/>
    <field x="1"/>
  </rowFields>
  <pageFields>
    <pageField fld="6"/>
  </pageFields>
</pivotTableDefinition>
</file>

<file path=xl/tables/table1.xml><?xml version="1.0" encoding="utf-8"?>
<table xmlns="http://schemas.openxmlformats.org/spreadsheetml/2006/main" ref="A1:G133" displayName="S" name="S" id="1">
  <autoFilter ref="$A$1:$G$133"/>
  <tableColumns count="7">
    <tableColumn name="RPO Code" id="1"/>
    <tableColumn name="Name" id="2"/>
    <tableColumn name="Price" id="3"/>
    <tableColumn name="Detail" id="4"/>
    <tableColumn name="Compatibility" id="5"/>
    <tableColumn name="Category" id="6"/>
    <tableColumn name="Section" id="7"/>
  </tableColumns>
  <tableStyleInfo name="STINGRAY-style" showColumnStripes="0" showFirstColumn="1" showLastColumn="1" showRowStripes="1"/>
</table>
</file>

<file path=xl/tables/table2.xml><?xml version="1.0" encoding="utf-8"?>
<table xmlns="http://schemas.openxmlformats.org/spreadsheetml/2006/main" ref="A1:L154" displayName="Stingray_int" name="Stingray_int" id="2">
  <tableColumns count="12">
    <tableColumn name="Section" id="1"/>
    <tableColumn name="Trim" id="2"/>
    <tableColumn name="Seat" id="3"/>
    <tableColumn name="RPO" id="4"/>
    <tableColumn name="Suede" id="5"/>
    <tableColumn name="Stitching" id="6"/>
    <tableColumn name="Two Tone" id="7"/>
    <tableColumn name="Name" id="8"/>
    <tableColumn name="Detail" id="9"/>
    <tableColumn name="Price" id="10"/>
    <tableColumn name="Category" id="11"/>
    <tableColumn name="Codes" id="12"/>
  </tableColumns>
  <tableStyleInfo name="STINGRAY_INT-style" showColumnStripes="0" showFirstColumn="1" showLastColumn="1" showRowStripes="1"/>
</table>
</file>

<file path=xl/tables/table3.xml><?xml version="1.0" encoding="utf-8"?>
<table xmlns="http://schemas.openxmlformats.org/spreadsheetml/2006/main" ref="A1:G115" displayName="E" name="E" id="3">
  <tableColumns count="7">
    <tableColumn name="RPO Code" id="1"/>
    <tableColumn name="Name" id="2"/>
    <tableColumn name="Price" id="3"/>
    <tableColumn name="Detail" id="4"/>
    <tableColumn name="Compatibility" id="5"/>
    <tableColumn name="Category" id="6"/>
    <tableColumn name="Section" id="7"/>
  </tableColumns>
  <tableStyleInfo name="ERAY-style" showColumnStripes="0" showFirstColumn="1" showLastColumn="1" showRowStripes="1"/>
</table>
</file>

<file path=xl/tables/table4.xml><?xml version="1.0" encoding="utf-8"?>
<table xmlns="http://schemas.openxmlformats.org/spreadsheetml/2006/main" ref="A1:G128" displayName="Z" name="Z" id="4">
  <tableColumns count="7">
    <tableColumn name="RPO Code" id="1"/>
    <tableColumn name="Name" id="2"/>
    <tableColumn name="Price" id="3"/>
    <tableColumn name="Detail" id="4"/>
    <tableColumn name="Compatibility" id="5"/>
    <tableColumn name="Category" id="6"/>
    <tableColumn name="Section" id="7"/>
  </tableColumns>
  <tableStyleInfo name="Z06-style" showColumnStripes="0" showFirstColumn="1" showLastColumn="1" showRowStripes="1"/>
</table>
</file>

<file path=xl/tables/table5.xml><?xml version="1.0" encoding="utf-8"?>
<table xmlns="http://schemas.openxmlformats.org/spreadsheetml/2006/main" ref="A1:G90" displayName="Z_R" name="Z_R" id="5">
  <tableColumns count="7">
    <tableColumn name="RPO Code" id="1"/>
    <tableColumn name="Name" id="2"/>
    <tableColumn name="Price" id="3"/>
    <tableColumn name="Detail" id="4"/>
    <tableColumn name="Compatibility" id="5"/>
    <tableColumn name="Category" id="6"/>
    <tableColumn name="Section" id="7"/>
  </tableColumns>
  <tableStyleInfo name="ZR1-style" showColumnStripes="0" showFirstColumn="1" showLastColumn="1" showRowStripes="1"/>
</table>
</file>

<file path=xl/tables/table6.xml><?xml version="1.0" encoding="utf-8"?>
<table xmlns="http://schemas.openxmlformats.org/spreadsheetml/2006/main" ref="A1:G90" displayName="Z_R_2" name="Z_R_2" id="6">
  <tableColumns count="7">
    <tableColumn name="RPO Code" id="1"/>
    <tableColumn name="Name" id="2"/>
    <tableColumn name="Price" id="3"/>
    <tableColumn name="Detail" id="4"/>
    <tableColumn name="Compatibility" id="5"/>
    <tableColumn name="Category" id="6"/>
    <tableColumn name="Section" id="7"/>
  </tableColumns>
  <tableStyleInfo name="ZR1X-style" showColumnStripes="0" showFirstColumn="1" showLastColumn="1" showRowStripes="1"/>
</table>
</file>

<file path=xl/tables/table7.xml><?xml version="1.0" encoding="utf-8"?>
<table xmlns="http://schemas.openxmlformats.org/spreadsheetml/2006/main" ref="A1:L158" displayName="ERAY_Z06_int" name="ERAY_Z06_int" id="7">
  <tableColumns count="12">
    <tableColumn name="Section" id="1"/>
    <tableColumn name="Trim" id="2"/>
    <tableColumn name="Seat" id="3"/>
    <tableColumn name="RPO" id="4"/>
    <tableColumn name="Suede" id="5"/>
    <tableColumn name="Stitching" id="6"/>
    <tableColumn name="Two Tone" id="7"/>
    <tableColumn name="Name" id="8"/>
    <tableColumn name="Detail" id="9"/>
    <tableColumn name="Category" id="10"/>
    <tableColumn name="Codes" id="11"/>
    <tableColumn name="Price" id="12"/>
  </tableColumns>
  <tableStyleInfo name="ERay.Z06_Int-style" showColumnStripes="0" showFirstColumn="1" showLastColumn="1" showRowStripes="1"/>
</table>
</file>

<file path=xl/tables/table8.xml><?xml version="1.0" encoding="utf-8"?>
<table xmlns="http://schemas.openxmlformats.org/spreadsheetml/2006/main" ref="A1:L109" displayName="ZR1_INT" name="ZR1_INT" id="8">
  <tableColumns count="12">
    <tableColumn name="Section" id="1"/>
    <tableColumn name="Trim" id="2"/>
    <tableColumn name="Seat" id="3"/>
    <tableColumn name="RPO" id="4"/>
    <tableColumn name="Suede" id="5"/>
    <tableColumn name="Stitching" id="6"/>
    <tableColumn name="Two Tone" id="7"/>
    <tableColumn name="Name" id="8"/>
    <tableColumn name="Detail" id="9"/>
    <tableColumn name="Category" id="10"/>
    <tableColumn name="Codes" id="11"/>
    <tableColumn name="Price" id="12"/>
  </tableColumns>
  <tableStyleInfo name="ZR1_INT-style" showColumnStripes="0" showFirstColumn="1" showLastColumn="1" showRowStripes="1"/>
</table>
</file>

<file path=xl/tables/table9.xml><?xml version="1.0" encoding="utf-8"?>
<table xmlns="http://schemas.openxmlformats.org/spreadsheetml/2006/main" ref="A1:D21" displayName="Table_1" name="Table_1" id="9">
  <tableColumns count="4">
    <tableColumn name="OptionType" id="1"/>
    <tableColumn name="Trim" id="2"/>
    <tableColumn name="Code" id="3"/>
    <tableColumn name="Price" id="4"/>
  </tableColumns>
  <tableStyleInfo name="PriceRef-style" showColumnStripes="0" showFirstColumn="1" showLastColumn="1" showRowStripes="1"/>
</table>
</file>

<file path=xl/tables/table10.xml><?xml version="1.0" encoding="utf-8"?>
<table xmlns="http://schemas.openxmlformats.org/spreadsheetml/2006/main" ref="A1:H221" displayName="Table1" name="Table1" id="10">
  <tableColumns count="8">
    <tableColumn name="LY Option Code" id="1"/>
    <tableColumn name="RPO" id="2"/>
    <tableColumn name="Description" id="3"/>
    <tableColumn name="MSRP(c)" id="4"/>
    <tableColumn name="Compat" id="5"/>
    <tableColumn name="LAST YEAR $$$" id="6"/>
    <tableColumn name="$ DIFF" id="7"/>
    <tableColumn name="Column 8" id="8"/>
  </tableColumns>
  <tableStyleInfo name="PriceSchedule-style" showColumnStripes="0" showFirstColumn="1" showLastColumn="1" showRowStripes="1"/>
</table>
</file>

<file path=xl/tables/table11.xml><?xml version="1.0" encoding="utf-8"?>
<table xmlns="http://schemas.openxmlformats.org/spreadsheetml/2006/main" ref="A1:J104" displayName="Table2" name="Table2" id="11">
  <tableColumns count="10">
    <tableColumn name="Orderable RPO Code" id="1"/>
    <tableColumn name="CATEGORY" id="2"/>
    <tableColumn name="Ref. Only RPO Code" id="3"/>
    <tableColumn name="Description" id="4"/>
    <tableColumn name="Coupe_x000a_1YC07_x000a_1LT" id="5"/>
    <tableColumn name="Coupe_x000a_1YC07_x000a_2LT" id="6"/>
    <tableColumn name="Coupe_x000a_1YC07_x000a_3LT" id="7"/>
    <tableColumn name="Convertible_x000a_1YC67_x000a_1LT" id="8"/>
    <tableColumn name="Convertible_x000a_1YC67_x000a_2LT" id="9"/>
    <tableColumn name="Convertible_x000a_1YC67_x000a_3LT" id="10"/>
  </tableColumns>
  <tableStyleInfo name="Standard Equipment STINGRAY-style" showColumnStripes="0" showFirstColumn="1" showLastColumn="1" showRowStripes="1"/>
</table>
</file>

<file path=xl/tables/table12.xml><?xml version="1.0" encoding="utf-8"?>
<table xmlns="http://schemas.openxmlformats.org/spreadsheetml/2006/main" ref="A1:J96" displayName="Table3" name="Table3" id="12">
  <tableColumns count="10">
    <tableColumn name="Orderable RPO Code" id="1"/>
    <tableColumn name="CATEGORY" id="2"/>
    <tableColumn name="Ref. Only RPO Code" id="3"/>
    <tableColumn name="Description" id="4"/>
    <tableColumn name="Z06 Coupe_x000a_1YH07_x000a_1LZ" id="5"/>
    <tableColumn name="Z06 Coupe_x000a_1YH07_x000a_2LZ" id="6"/>
    <tableColumn name="Z06 Coupe_x000a_1YH07_x000a_3LZ" id="7"/>
    <tableColumn name="Z06 Convertible_x000a_1YH67_x000a_1LZ" id="8"/>
    <tableColumn name="Z06 Convertible_x000a_1YH67_x000a_2LZ" id="9"/>
    <tableColumn name="Z06 Convertible_x000a_1YH67_x000a_3LZ" id="10"/>
  </tableColumns>
  <tableStyleInfo name="Standard Equipment Z06-style" showColumnStripes="0" showFirstColumn="1" showLastColumn="1" showRowStripes="1"/>
</table>
</file>

<file path=xl/tables/table13.xml><?xml version="1.0" encoding="utf-8"?>
<table xmlns="http://schemas.openxmlformats.org/spreadsheetml/2006/main" ref="A1:J98" displayName="Table4" name="Table4" id="13">
  <tableColumns count="10">
    <tableColumn name="Orderable RPO Code" id="1"/>
    <tableColumn name="CATEGORY" id="2"/>
    <tableColumn name="Ref. Only RPO Code" id="3"/>
    <tableColumn name="Description" id="4"/>
    <tableColumn name="E-Ray Coupe_x000a_1YG07_x000a_1LZ" id="5"/>
    <tableColumn name="E-Ray Coupe_x000a_1YG07_x000a_2LZ" id="6"/>
    <tableColumn name="E-Ray Coupe_x000a_1YG07_x000a_3LZ" id="7"/>
    <tableColumn name="E-Ray Convertible_x000a_1YG67_x000a_1LZ" id="8"/>
    <tableColumn name="E-Ray Convertible_x000a_1YG67_x000a_2LZ" id="9"/>
    <tableColumn name="E-Ray Convertible_x000a_1YG67_x000a_3LZ" id="10"/>
  </tableColumns>
  <tableStyleInfo name="Standard Equipment ERAY-style" showColumnStripes="0" showFirstColumn="1" showLastColumn="1" showRowStripes="1"/>
</table>
</file>

<file path=xl/tables/table14.xml><?xml version="1.0" encoding="utf-8"?>
<table xmlns="http://schemas.openxmlformats.org/spreadsheetml/2006/main" ref="A1:H102" displayName="Table5" name="Table5" id="14">
  <tableColumns count="8">
    <tableColumn name="Orderable RPO Code" id="1"/>
    <tableColumn name="CATEGORY" id="2"/>
    <tableColumn name="Ref. Only RPO Code" id="3"/>
    <tableColumn name="Description" id="4"/>
    <tableColumn name="ZR1 Coupe_x000a_1YR07_x000a_1LZ" id="5"/>
    <tableColumn name="ZR1 Coupe_x000a_1YR07_x000a_3LZ" id="6"/>
    <tableColumn name="ZR1 Convertible_x000a_1YR67_x000a_1LZ" id="7"/>
    <tableColumn name="ZR1 Convertible_x000a_1YR67_x000a_3LZ" id="8"/>
  </tableColumns>
  <tableStyleInfo name="Standard Equipment ZR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5.57"/>
    <col customWidth="1" min="2" max="2" width="53.14"/>
  </cols>
  <sheetData>
    <row r="1">
      <c r="A1" s="1" t="s">
        <v>0</v>
      </c>
    </row>
    <row r="2">
      <c r="A2" s="2" t="s">
        <v>1</v>
      </c>
      <c r="B2" s="2" t="s">
        <v>2</v>
      </c>
    </row>
    <row r="3">
      <c r="A3" s="3" t="s">
        <v>3</v>
      </c>
      <c r="B3" s="4">
        <f t="array" ref="B3">XLOOKUP(A3, modelPricing!$B:$B, modelPricing!$C:$C, "0", 0)</f>
        <v>218395</v>
      </c>
    </row>
    <row r="4">
      <c r="A4" s="3" t="s">
        <v>4</v>
      </c>
      <c r="B4" s="4">
        <f t="array" ref="B4">XLOOKUP(A4, PriceSchedule!$B:$B, PriceSchedule!$D:$D, "0", 0)</f>
        <v>2600</v>
      </c>
    </row>
    <row r="5">
      <c r="A5" s="3" t="s">
        <v>5</v>
      </c>
      <c r="B5" s="4">
        <f t="array" ref="B5">XLOOKUP(A5, PriceSchedule!$B:$B, PriceSchedule!$D:$D, "0", 0)</f>
        <v>495</v>
      </c>
    </row>
    <row r="6">
      <c r="A6" s="3" t="s">
        <v>6</v>
      </c>
      <c r="B6" s="4">
        <f t="array" ref="B6">XLOOKUP(A6, PriceSchedule!$B:$B, PriceSchedule!$D:$D, "0", 0)</f>
        <v>395</v>
      </c>
    </row>
    <row r="7">
      <c r="A7" s="3" t="s">
        <v>7</v>
      </c>
      <c r="B7" s="4">
        <f t="array" ref="B7">XLOOKUP(A7, PriceSchedule!$B:$B, PriceSchedule!$D:$D, "0", 0)</f>
        <v>475</v>
      </c>
    </row>
    <row r="8">
      <c r="A8" s="3" t="s">
        <v>8</v>
      </c>
      <c r="B8" s="4">
        <f t="array" ref="B8">XLOOKUP(A8, PriceSchedule!$B:$B, PriceSchedule!$D:$D, "0", 0)</f>
        <v>2350</v>
      </c>
    </row>
    <row r="9">
      <c r="A9" s="3" t="s">
        <v>9</v>
      </c>
      <c r="B9" s="4">
        <f t="array" ref="B9">XLOOKUP(A9, PriceSchedule!$B:$B, PriceSchedule!$D:$D, "0", 0)</f>
        <v>595</v>
      </c>
    </row>
    <row r="10">
      <c r="A10" s="3" t="s">
        <v>10</v>
      </c>
      <c r="B10" s="4">
        <f t="array" ref="B10">XLOOKUP(A10, PriceSchedule!$B:$B, PriceSchedule!$D:$D, "0", 0)</f>
        <v>2595</v>
      </c>
    </row>
    <row r="11">
      <c r="A11" s="3" t="s">
        <v>11</v>
      </c>
      <c r="B11" s="4">
        <f t="array" ref="B11">XLOOKUP(A11, PriceSchedule!$B:$B, PriceSchedule!$D:$D, "0", 0)</f>
        <v>995</v>
      </c>
    </row>
    <row r="12">
      <c r="A12" s="3" t="s">
        <v>12</v>
      </c>
      <c r="B12" s="4">
        <f t="array" ref="B12">XLOOKUP(A12, PriceSchedule!$B:$B, PriceSchedule!$D:$D, "0", 0)</f>
        <v>4995</v>
      </c>
    </row>
    <row r="13">
      <c r="A13" s="3" t="s">
        <v>13</v>
      </c>
      <c r="B13" s="4">
        <f t="array" ref="B13">XLOOKUP(A13, PriceSchedule!$B:$B, PriceSchedule!$D:$D, "0", 0)</f>
        <v>695</v>
      </c>
    </row>
    <row r="14">
      <c r="A14" s="3" t="s">
        <v>14</v>
      </c>
      <c r="B14" s="4">
        <f t="array" ref="B14">XLOOKUP(A14, PriceSchedule!$B:$B, PriceSchedule!$D:$D, "0", 0)</f>
        <v>195</v>
      </c>
    </row>
    <row r="15">
      <c r="A15" s="3" t="s">
        <v>15</v>
      </c>
      <c r="B15" s="4">
        <f t="array" ref="B15">XLOOKUP(A15, PriceSchedule!$B:$B, PriceSchedule!$D:$D, "0", 0)</f>
        <v>295</v>
      </c>
    </row>
    <row r="16">
      <c r="A16" s="3" t="s">
        <v>16</v>
      </c>
      <c r="B16" s="4">
        <f t="array" ref="B16">XLOOKUP(A16, PriceSchedule!$B:$B, PriceSchedule!$D:$D, "0", 0)</f>
        <v>1495</v>
      </c>
    </row>
    <row r="17">
      <c r="A17" s="3"/>
      <c r="B17" s="4" t="str">
        <f t="array" ref="B17">XLOOKUP(A17, PriceSchedule!$B:$B, PriceSchedule!$D:$D, "0", 0)</f>
        <v>0</v>
      </c>
    </row>
    <row r="18">
      <c r="A18" s="3"/>
      <c r="B18" s="4" t="str">
        <f t="array" ref="B18">XLOOKUP(A18, PriceSchedule!$B:$B, PriceSchedule!$D:$D, "0", 0)</f>
        <v>0</v>
      </c>
    </row>
    <row r="19">
      <c r="A19" s="3"/>
      <c r="B19" s="4" t="str">
        <f t="array" ref="B19">XLOOKUP(A19, PriceSchedule!$B:$B, PriceSchedule!$D:$D, "0", 0)</f>
        <v>0</v>
      </c>
    </row>
    <row r="20">
      <c r="A20" s="3"/>
      <c r="B20" s="4" t="str">
        <f t="array" ref="B20">XLOOKUP(A20, PriceSchedule!$B:$B, PriceSchedule!$D:$D, "0", 0)</f>
        <v>0</v>
      </c>
    </row>
    <row r="21" hidden="1">
      <c r="A21" s="3"/>
      <c r="B21" s="4" t="str">
        <f t="array" ref="B21">XLOOKUP(A21, PriceSchedule!$B:$B, PriceSchedule!$D:$D, "0", 0)</f>
        <v>0</v>
      </c>
    </row>
    <row r="22" hidden="1">
      <c r="A22" s="3"/>
      <c r="B22" s="4" t="str">
        <f t="array" ref="B22">XLOOKUP(A22, PriceSchedule!$B:$B, PriceSchedule!$D:$D, "0", 0)</f>
        <v>0</v>
      </c>
    </row>
    <row r="23" hidden="1">
      <c r="A23" s="3"/>
      <c r="B23" s="4" t="str">
        <f t="array" ref="B23">XLOOKUP(A23, PriceSchedule!$B:$B, PriceSchedule!$D:$D, "0", 0)</f>
        <v>0</v>
      </c>
    </row>
    <row r="24" hidden="1">
      <c r="A24" s="3"/>
      <c r="B24" s="4" t="str">
        <f t="array" ref="B24">XLOOKUP(A24, PriceSchedule!$B:$B, PriceSchedule!$D:$D, "0", 0)</f>
        <v>0</v>
      </c>
    </row>
    <row r="25" hidden="1">
      <c r="A25" s="3"/>
      <c r="B25" s="4" t="str">
        <f t="array" ref="B25">XLOOKUP(A25, PriceSchedule!$B:$B, PriceSchedule!$D:$D, "0", 0)</f>
        <v>0</v>
      </c>
    </row>
    <row r="26" hidden="1">
      <c r="A26" s="3"/>
      <c r="B26" s="4" t="str">
        <f t="array" ref="B26">XLOOKUP(A26, PriceSchedule!$B:$B, PriceSchedule!$D:$D, "0", 0)</f>
        <v>0</v>
      </c>
    </row>
    <row r="27" hidden="1">
      <c r="A27" s="3"/>
      <c r="B27" s="4" t="str">
        <f t="array" ref="B27">XLOOKUP(A27, PriceSchedule!$B:$B, PriceSchedule!$D:$D, "0", 0)</f>
        <v>0</v>
      </c>
    </row>
    <row r="28" hidden="1">
      <c r="A28" s="5"/>
      <c r="B28" s="6" t="str">
        <f t="array" ref="B28">XLOOKUP(A28, PriceSchedule!$B:$B, PriceSchedule!$D:$D, "0", 0)</f>
        <v>0</v>
      </c>
    </row>
    <row r="29">
      <c r="A29" s="7" t="s">
        <v>17</v>
      </c>
      <c r="B29" s="7">
        <f>SUM(B3:B28)</f>
        <v>236570</v>
      </c>
    </row>
  </sheetData>
  <mergeCells count="1">
    <mergeCell ref="A1:B1"/>
  </mergeCells>
  <dataValidations>
    <dataValidation type="list" allowBlank="1" showErrorMessage="1" sqref="A4:A28">
      <formula1>PriceSchedule!B:B</formula1>
    </dataValidation>
    <dataValidation type="list" allowBlank="1" showErrorMessage="1" sqref="A3">
      <formula1>modelPricing!B:B</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75"/>
  <cols>
    <col customWidth="1" min="1" max="1" width="8.29"/>
    <col customWidth="1" min="2" max="2" width="27.57"/>
    <col customWidth="1" min="3" max="4" width="11.29"/>
    <col customWidth="1" min="5" max="5" width="8.57"/>
    <col customWidth="1" min="6" max="8" width="14.71"/>
    <col customWidth="1" min="9" max="9" width="8.71"/>
    <col customWidth="1" min="10" max="12" width="10.71"/>
    <col customWidth="1" min="13" max="14" width="12.14"/>
  </cols>
  <sheetData>
    <row r="1">
      <c r="A1" s="8" t="s">
        <v>18</v>
      </c>
      <c r="B1" s="8" t="s">
        <v>19</v>
      </c>
      <c r="C1" s="9" t="s">
        <v>20</v>
      </c>
      <c r="D1" s="10" t="s">
        <v>21</v>
      </c>
      <c r="E1" s="11" t="s">
        <v>22</v>
      </c>
      <c r="F1" s="12" t="s">
        <v>23</v>
      </c>
      <c r="G1" s="10" t="s">
        <v>24</v>
      </c>
      <c r="H1" s="10" t="s">
        <v>25</v>
      </c>
      <c r="I1" s="13" t="s">
        <v>26</v>
      </c>
      <c r="J1" s="14" t="s">
        <v>27</v>
      </c>
      <c r="K1" s="14" t="s">
        <v>28</v>
      </c>
      <c r="L1" s="14" t="s">
        <v>29</v>
      </c>
      <c r="M1" s="14" t="s">
        <v>30</v>
      </c>
      <c r="N1" s="14" t="s">
        <v>31</v>
      </c>
    </row>
    <row r="2">
      <c r="A2" s="15" t="s">
        <v>32</v>
      </c>
      <c r="B2" s="16" t="s">
        <v>33</v>
      </c>
      <c r="C2" s="17">
        <v>71995.0</v>
      </c>
      <c r="D2" s="18">
        <v>70000.0</v>
      </c>
      <c r="E2" s="18">
        <v>2495.0</v>
      </c>
      <c r="F2" s="19">
        <f t="shared" ref="F2:F27" si="1">D2+E2</f>
        <v>72495</v>
      </c>
      <c r="G2" s="20">
        <v>0.0</v>
      </c>
      <c r="H2" s="18">
        <v>70195.0</v>
      </c>
      <c r="I2" s="21">
        <v>1800.0</v>
      </c>
      <c r="J2" s="22"/>
      <c r="K2" s="23">
        <f t="shared" ref="K2:K7" si="2">C2-C8</f>
        <v>-38600</v>
      </c>
      <c r="L2" s="23">
        <f t="shared" ref="L2:L7" si="3">C2-C14</f>
        <v>-47700</v>
      </c>
      <c r="M2" s="23">
        <f>C2-C20</f>
        <v>-110400</v>
      </c>
      <c r="N2" s="23">
        <f>C2-C24</f>
        <v>-135400</v>
      </c>
    </row>
    <row r="3">
      <c r="A3" s="24" t="s">
        <v>32</v>
      </c>
      <c r="B3" s="25" t="s">
        <v>34</v>
      </c>
      <c r="C3" s="26">
        <v>79095.0</v>
      </c>
      <c r="D3" s="20">
        <v>77100.0</v>
      </c>
      <c r="E3" s="20">
        <v>2495.0</v>
      </c>
      <c r="F3" s="19">
        <f t="shared" si="1"/>
        <v>79595</v>
      </c>
      <c r="G3" s="20">
        <v>0.0</v>
      </c>
      <c r="H3" s="20">
        <v>77295.0</v>
      </c>
      <c r="I3" s="27">
        <v>1800.0</v>
      </c>
      <c r="J3" s="22"/>
      <c r="K3" s="23">
        <f t="shared" si="2"/>
        <v>-37000</v>
      </c>
      <c r="L3" s="23">
        <f t="shared" si="3"/>
        <v>-49500</v>
      </c>
      <c r="M3" s="22"/>
      <c r="N3" s="22"/>
    </row>
    <row r="4">
      <c r="A4" s="24" t="s">
        <v>32</v>
      </c>
      <c r="B4" s="25" t="s">
        <v>35</v>
      </c>
      <c r="C4" s="26">
        <v>83745.0</v>
      </c>
      <c r="D4" s="20">
        <v>81750.0</v>
      </c>
      <c r="E4" s="20">
        <v>2495.0</v>
      </c>
      <c r="F4" s="19">
        <f t="shared" si="1"/>
        <v>84245</v>
      </c>
      <c r="G4" s="20">
        <v>0.0</v>
      </c>
      <c r="H4" s="20">
        <v>81945.0</v>
      </c>
      <c r="I4" s="27">
        <v>1800.0</v>
      </c>
      <c r="J4" s="22"/>
      <c r="K4" s="23">
        <f t="shared" si="2"/>
        <v>-37800</v>
      </c>
      <c r="L4" s="23">
        <f t="shared" si="3"/>
        <v>-49500</v>
      </c>
      <c r="M4" s="23">
        <f t="shared" ref="M4:M5" si="4">C4-C21</f>
        <v>-109650</v>
      </c>
      <c r="N4" s="23">
        <f t="shared" ref="N4:N5" si="5">C4-C25</f>
        <v>-134650</v>
      </c>
    </row>
    <row r="5">
      <c r="A5" s="24" t="s">
        <v>36</v>
      </c>
      <c r="B5" s="25" t="s">
        <v>37</v>
      </c>
      <c r="C5" s="26">
        <v>78995.0</v>
      </c>
      <c r="D5" s="20">
        <v>77000.0</v>
      </c>
      <c r="E5" s="20">
        <v>2495.0</v>
      </c>
      <c r="F5" s="19">
        <f t="shared" si="1"/>
        <v>79495</v>
      </c>
      <c r="G5" s="20">
        <v>0.0</v>
      </c>
      <c r="H5" s="20">
        <v>77195.0</v>
      </c>
      <c r="I5" s="27">
        <v>1800.0</v>
      </c>
      <c r="J5" s="22"/>
      <c r="K5" s="23">
        <f t="shared" si="2"/>
        <v>-38600</v>
      </c>
      <c r="L5" s="23">
        <f t="shared" si="3"/>
        <v>-47700</v>
      </c>
      <c r="M5" s="23">
        <f t="shared" si="4"/>
        <v>-113400</v>
      </c>
      <c r="N5" s="23">
        <f t="shared" si="5"/>
        <v>-138400</v>
      </c>
    </row>
    <row r="6">
      <c r="A6" s="24" t="s">
        <v>36</v>
      </c>
      <c r="B6" s="25" t="s">
        <v>38</v>
      </c>
      <c r="C6" s="26">
        <v>86095.0</v>
      </c>
      <c r="D6" s="20">
        <v>84100.0</v>
      </c>
      <c r="E6" s="20">
        <v>2495.0</v>
      </c>
      <c r="F6" s="19">
        <f t="shared" si="1"/>
        <v>86595</v>
      </c>
      <c r="G6" s="20">
        <v>0.0</v>
      </c>
      <c r="H6" s="20">
        <v>84295.0</v>
      </c>
      <c r="I6" s="27">
        <v>1800.0</v>
      </c>
      <c r="J6" s="22"/>
      <c r="K6" s="23">
        <f t="shared" si="2"/>
        <v>-37000</v>
      </c>
      <c r="L6" s="23">
        <f t="shared" si="3"/>
        <v>-49500</v>
      </c>
      <c r="M6" s="22"/>
      <c r="N6" s="22"/>
    </row>
    <row r="7">
      <c r="A7" s="28" t="s">
        <v>36</v>
      </c>
      <c r="B7" s="29" t="s">
        <v>39</v>
      </c>
      <c r="C7" s="30">
        <v>90745.0</v>
      </c>
      <c r="D7" s="31">
        <v>88750.0</v>
      </c>
      <c r="E7" s="31">
        <v>2495.0</v>
      </c>
      <c r="F7" s="32">
        <f t="shared" si="1"/>
        <v>91245</v>
      </c>
      <c r="G7" s="20">
        <v>0.0</v>
      </c>
      <c r="H7" s="31">
        <v>88945.0</v>
      </c>
      <c r="I7" s="33">
        <v>1800.0</v>
      </c>
      <c r="J7" s="22"/>
      <c r="K7" s="23">
        <f t="shared" si="2"/>
        <v>-37800</v>
      </c>
      <c r="L7" s="23">
        <f t="shared" si="3"/>
        <v>-49500</v>
      </c>
      <c r="M7" s="23">
        <f>C7-C23</f>
        <v>-112650</v>
      </c>
      <c r="N7" s="23">
        <f>C7-C27</f>
        <v>-137650</v>
      </c>
    </row>
    <row r="8">
      <c r="A8" s="15" t="s">
        <v>40</v>
      </c>
      <c r="B8" s="16" t="s">
        <v>41</v>
      </c>
      <c r="C8" s="17">
        <v>110595.0</v>
      </c>
      <c r="D8" s="18">
        <v>108600.0</v>
      </c>
      <c r="E8" s="20">
        <v>2495.0</v>
      </c>
      <c r="F8" s="19">
        <f t="shared" si="1"/>
        <v>111095</v>
      </c>
      <c r="G8" s="20">
        <v>0.0</v>
      </c>
      <c r="H8" s="18">
        <v>108795.0</v>
      </c>
      <c r="I8" s="21">
        <v>1800.0</v>
      </c>
      <c r="J8" s="23">
        <f t="shared" ref="J8:J13" si="6">C8-C2</f>
        <v>38600</v>
      </c>
      <c r="K8" s="22"/>
      <c r="L8" s="23">
        <f t="shared" ref="L8:L13" si="7">C8-C14</f>
        <v>-9100</v>
      </c>
      <c r="M8" s="22"/>
      <c r="N8" s="22"/>
    </row>
    <row r="9">
      <c r="A9" s="24" t="s">
        <v>40</v>
      </c>
      <c r="B9" s="25" t="s">
        <v>42</v>
      </c>
      <c r="C9" s="26">
        <v>116095.0</v>
      </c>
      <c r="D9" s="20">
        <v>114100.0</v>
      </c>
      <c r="E9" s="20">
        <v>2495.0</v>
      </c>
      <c r="F9" s="19">
        <f t="shared" si="1"/>
        <v>116595</v>
      </c>
      <c r="G9" s="20">
        <v>0.0</v>
      </c>
      <c r="H9" s="20">
        <v>114295.0</v>
      </c>
      <c r="I9" s="27">
        <v>1800.0</v>
      </c>
      <c r="J9" s="23">
        <f t="shared" si="6"/>
        <v>37000</v>
      </c>
      <c r="K9" s="22"/>
      <c r="L9" s="23">
        <f t="shared" si="7"/>
        <v>-12500</v>
      </c>
      <c r="M9" s="22"/>
      <c r="N9" s="22"/>
    </row>
    <row r="10">
      <c r="A10" s="24" t="s">
        <v>40</v>
      </c>
      <c r="B10" s="25" t="s">
        <v>43</v>
      </c>
      <c r="C10" s="26">
        <v>121545.0</v>
      </c>
      <c r="D10" s="20">
        <v>119550.0</v>
      </c>
      <c r="E10" s="20">
        <v>2495.0</v>
      </c>
      <c r="F10" s="19">
        <f t="shared" si="1"/>
        <v>122045</v>
      </c>
      <c r="G10" s="20">
        <v>0.0</v>
      </c>
      <c r="H10" s="20">
        <v>119745.0</v>
      </c>
      <c r="I10" s="27">
        <v>1800.0</v>
      </c>
      <c r="J10" s="23">
        <f t="shared" si="6"/>
        <v>37800</v>
      </c>
      <c r="K10" s="22"/>
      <c r="L10" s="23">
        <f t="shared" si="7"/>
        <v>-11700</v>
      </c>
      <c r="M10" s="22"/>
      <c r="N10" s="22"/>
    </row>
    <row r="11">
      <c r="A11" s="24" t="s">
        <v>44</v>
      </c>
      <c r="B11" s="25" t="s">
        <v>45</v>
      </c>
      <c r="C11" s="26">
        <v>117595.0</v>
      </c>
      <c r="D11" s="20">
        <v>115600.0</v>
      </c>
      <c r="E11" s="20">
        <v>2495.0</v>
      </c>
      <c r="F11" s="19">
        <f t="shared" si="1"/>
        <v>118095</v>
      </c>
      <c r="G11" s="20">
        <v>0.0</v>
      </c>
      <c r="H11" s="20">
        <v>115795.0</v>
      </c>
      <c r="I11" s="27">
        <v>1800.0</v>
      </c>
      <c r="J11" s="23">
        <f t="shared" si="6"/>
        <v>38600</v>
      </c>
      <c r="K11" s="22"/>
      <c r="L11" s="23">
        <f t="shared" si="7"/>
        <v>-9100</v>
      </c>
      <c r="M11" s="22"/>
      <c r="N11" s="22"/>
    </row>
    <row r="12">
      <c r="A12" s="24" t="s">
        <v>44</v>
      </c>
      <c r="B12" s="25" t="s">
        <v>46</v>
      </c>
      <c r="C12" s="26">
        <v>123095.0</v>
      </c>
      <c r="D12" s="20">
        <v>121100.0</v>
      </c>
      <c r="E12" s="20">
        <v>2495.0</v>
      </c>
      <c r="F12" s="19">
        <f t="shared" si="1"/>
        <v>123595</v>
      </c>
      <c r="G12" s="20">
        <v>0.0</v>
      </c>
      <c r="H12" s="20">
        <v>121295.0</v>
      </c>
      <c r="I12" s="27">
        <v>1800.0</v>
      </c>
      <c r="J12" s="23">
        <f t="shared" si="6"/>
        <v>37000</v>
      </c>
      <c r="K12" s="22"/>
      <c r="L12" s="23">
        <f t="shared" si="7"/>
        <v>-12500</v>
      </c>
      <c r="M12" s="22"/>
      <c r="N12" s="22"/>
    </row>
    <row r="13">
      <c r="A13" s="28" t="s">
        <v>44</v>
      </c>
      <c r="B13" s="29" t="s">
        <v>47</v>
      </c>
      <c r="C13" s="30">
        <v>128545.0</v>
      </c>
      <c r="D13" s="31">
        <v>126550.0</v>
      </c>
      <c r="E13" s="31">
        <v>2495.0</v>
      </c>
      <c r="F13" s="32">
        <f t="shared" si="1"/>
        <v>129045</v>
      </c>
      <c r="G13" s="20">
        <v>0.0</v>
      </c>
      <c r="H13" s="31">
        <v>126745.0</v>
      </c>
      <c r="I13" s="33">
        <v>1800.0</v>
      </c>
      <c r="J13" s="23">
        <f t="shared" si="6"/>
        <v>37800</v>
      </c>
      <c r="K13" s="22"/>
      <c r="L13" s="23">
        <f t="shared" si="7"/>
        <v>-11700</v>
      </c>
      <c r="M13" s="22"/>
      <c r="N13" s="22"/>
    </row>
    <row r="14">
      <c r="A14" s="15" t="s">
        <v>48</v>
      </c>
      <c r="B14" s="16" t="s">
        <v>49</v>
      </c>
      <c r="C14" s="17">
        <v>119695.0</v>
      </c>
      <c r="D14" s="18">
        <v>117700.0</v>
      </c>
      <c r="E14" s="20">
        <v>2495.0</v>
      </c>
      <c r="F14" s="19">
        <f t="shared" si="1"/>
        <v>120195</v>
      </c>
      <c r="G14" s="20"/>
      <c r="H14" s="18">
        <v>113995.0</v>
      </c>
      <c r="I14" s="21">
        <v>5700.0</v>
      </c>
      <c r="J14" s="23">
        <f t="shared" ref="J14:J19" si="8">C14-C2</f>
        <v>47700</v>
      </c>
      <c r="K14" s="23">
        <f t="shared" ref="K14:K19" si="9">C14-C8</f>
        <v>9100</v>
      </c>
      <c r="L14" s="22"/>
      <c r="M14" s="22"/>
      <c r="N14" s="22"/>
    </row>
    <row r="15">
      <c r="A15" s="24" t="s">
        <v>48</v>
      </c>
      <c r="B15" s="25" t="s">
        <v>50</v>
      </c>
      <c r="C15" s="26">
        <v>128595.0</v>
      </c>
      <c r="D15" s="20">
        <v>126600.0</v>
      </c>
      <c r="E15" s="20">
        <v>2495.0</v>
      </c>
      <c r="F15" s="19">
        <f t="shared" si="1"/>
        <v>129095</v>
      </c>
      <c r="G15" s="20"/>
      <c r="H15" s="20">
        <v>122895.0</v>
      </c>
      <c r="I15" s="27">
        <v>5700.0</v>
      </c>
      <c r="J15" s="23">
        <f t="shared" si="8"/>
        <v>49500</v>
      </c>
      <c r="K15" s="23">
        <f t="shared" si="9"/>
        <v>12500</v>
      </c>
      <c r="L15" s="22"/>
      <c r="M15" s="22"/>
      <c r="N15" s="22"/>
    </row>
    <row r="16">
      <c r="A16" s="24" t="s">
        <v>48</v>
      </c>
      <c r="B16" s="25" t="s">
        <v>51</v>
      </c>
      <c r="C16" s="26">
        <v>133245.0</v>
      </c>
      <c r="D16" s="20">
        <v>131250.0</v>
      </c>
      <c r="E16" s="20">
        <v>2495.0</v>
      </c>
      <c r="F16" s="19">
        <f t="shared" si="1"/>
        <v>133745</v>
      </c>
      <c r="G16" s="20"/>
      <c r="H16" s="20">
        <v>127545.0</v>
      </c>
      <c r="I16" s="27">
        <v>5700.0</v>
      </c>
      <c r="J16" s="23">
        <f t="shared" si="8"/>
        <v>49500</v>
      </c>
      <c r="K16" s="23">
        <f t="shared" si="9"/>
        <v>11700</v>
      </c>
      <c r="L16" s="22"/>
      <c r="M16" s="22"/>
      <c r="N16" s="22"/>
    </row>
    <row r="17">
      <c r="A17" s="24" t="s">
        <v>52</v>
      </c>
      <c r="B17" s="25" t="s">
        <v>53</v>
      </c>
      <c r="C17" s="26">
        <v>126695.0</v>
      </c>
      <c r="D17" s="20">
        <v>124700.0</v>
      </c>
      <c r="E17" s="20">
        <v>2495.0</v>
      </c>
      <c r="F17" s="19">
        <f t="shared" si="1"/>
        <v>127195</v>
      </c>
      <c r="G17" s="20"/>
      <c r="H17" s="20">
        <v>120995.0</v>
      </c>
      <c r="I17" s="27">
        <v>5700.0</v>
      </c>
      <c r="J17" s="23">
        <f t="shared" si="8"/>
        <v>47700</v>
      </c>
      <c r="K17" s="23">
        <f t="shared" si="9"/>
        <v>9100</v>
      </c>
      <c r="L17" s="22"/>
      <c r="M17" s="22"/>
      <c r="N17" s="22"/>
    </row>
    <row r="18">
      <c r="A18" s="24" t="s">
        <v>52</v>
      </c>
      <c r="B18" s="25" t="s">
        <v>54</v>
      </c>
      <c r="C18" s="26">
        <v>135595.0</v>
      </c>
      <c r="D18" s="20">
        <v>133600.0</v>
      </c>
      <c r="E18" s="20">
        <v>2495.0</v>
      </c>
      <c r="F18" s="19">
        <f t="shared" si="1"/>
        <v>136095</v>
      </c>
      <c r="G18" s="20"/>
      <c r="H18" s="20">
        <v>129895.0</v>
      </c>
      <c r="I18" s="27">
        <v>5700.0</v>
      </c>
      <c r="J18" s="23">
        <f t="shared" si="8"/>
        <v>49500</v>
      </c>
      <c r="K18" s="23">
        <f t="shared" si="9"/>
        <v>12500</v>
      </c>
      <c r="L18" s="22"/>
      <c r="M18" s="22"/>
      <c r="N18" s="22"/>
    </row>
    <row r="19">
      <c r="A19" s="28" t="s">
        <v>52</v>
      </c>
      <c r="B19" s="29" t="s">
        <v>55</v>
      </c>
      <c r="C19" s="30">
        <v>140245.0</v>
      </c>
      <c r="D19" s="31">
        <v>138250.0</v>
      </c>
      <c r="E19" s="31">
        <v>2495.0</v>
      </c>
      <c r="F19" s="32">
        <f t="shared" si="1"/>
        <v>140745</v>
      </c>
      <c r="G19" s="31"/>
      <c r="H19" s="31">
        <v>134545.0</v>
      </c>
      <c r="I19" s="33">
        <v>5700.0</v>
      </c>
      <c r="J19" s="23">
        <f t="shared" si="8"/>
        <v>49500</v>
      </c>
      <c r="K19" s="23">
        <f t="shared" si="9"/>
        <v>11700</v>
      </c>
      <c r="L19" s="22"/>
      <c r="M19" s="22"/>
      <c r="N19" s="22"/>
    </row>
    <row r="20">
      <c r="A20" s="15" t="s">
        <v>56</v>
      </c>
      <c r="B20" s="16" t="s">
        <v>57</v>
      </c>
      <c r="C20" s="17">
        <v>182395.0</v>
      </c>
      <c r="D20" s="18">
        <v>180400.0</v>
      </c>
      <c r="E20" s="20">
        <v>2495.0</v>
      </c>
      <c r="F20" s="19">
        <f t="shared" si="1"/>
        <v>182895</v>
      </c>
      <c r="G20" s="20"/>
      <c r="H20" s="18">
        <v>175195.0</v>
      </c>
      <c r="I20" s="21">
        <v>7200.0</v>
      </c>
      <c r="J20" s="23">
        <f>C20-C2</f>
        <v>110400</v>
      </c>
      <c r="K20" s="23">
        <f>C20-C8</f>
        <v>71800</v>
      </c>
      <c r="L20" s="22"/>
      <c r="M20" s="22"/>
      <c r="N20" s="22"/>
    </row>
    <row r="21">
      <c r="A21" s="24" t="s">
        <v>56</v>
      </c>
      <c r="B21" s="25" t="s">
        <v>58</v>
      </c>
      <c r="C21" s="26">
        <v>193395.0</v>
      </c>
      <c r="D21" s="20">
        <v>191400.0</v>
      </c>
      <c r="E21" s="20">
        <v>2495.0</v>
      </c>
      <c r="F21" s="19">
        <f t="shared" si="1"/>
        <v>193895</v>
      </c>
      <c r="G21" s="20"/>
      <c r="H21" s="20">
        <v>186195.0</v>
      </c>
      <c r="I21" s="27">
        <v>7200.0</v>
      </c>
      <c r="J21" s="23">
        <f t="shared" ref="J21:J22" si="10">C21-C4</f>
        <v>109650</v>
      </c>
      <c r="K21" s="23">
        <f t="shared" ref="K21:K22" si="11">C21-C10</f>
        <v>71850</v>
      </c>
      <c r="L21" s="22"/>
      <c r="M21" s="22"/>
      <c r="N21" s="22"/>
    </row>
    <row r="22">
      <c r="A22" s="24" t="s">
        <v>59</v>
      </c>
      <c r="B22" s="25" t="s">
        <v>60</v>
      </c>
      <c r="C22" s="26">
        <v>192395.0</v>
      </c>
      <c r="D22" s="20">
        <v>190400.0</v>
      </c>
      <c r="E22" s="20">
        <v>2495.0</v>
      </c>
      <c r="F22" s="19">
        <f t="shared" si="1"/>
        <v>192895</v>
      </c>
      <c r="G22" s="20"/>
      <c r="H22" s="20">
        <v>185195.0</v>
      </c>
      <c r="I22" s="27">
        <v>7200.0</v>
      </c>
      <c r="J22" s="23">
        <f t="shared" si="10"/>
        <v>113400</v>
      </c>
      <c r="K22" s="23">
        <f t="shared" si="11"/>
        <v>74800</v>
      </c>
      <c r="L22" s="22"/>
      <c r="M22" s="22"/>
      <c r="N22" s="22"/>
    </row>
    <row r="23">
      <c r="A23" s="28" t="s">
        <v>59</v>
      </c>
      <c r="B23" s="29" t="s">
        <v>61</v>
      </c>
      <c r="C23" s="30">
        <v>203395.0</v>
      </c>
      <c r="D23" s="31">
        <v>201400.0</v>
      </c>
      <c r="E23" s="31">
        <v>2495.0</v>
      </c>
      <c r="F23" s="32">
        <f t="shared" si="1"/>
        <v>203895</v>
      </c>
      <c r="G23" s="31"/>
      <c r="H23" s="31">
        <v>196195.0</v>
      </c>
      <c r="I23" s="33">
        <v>7200.0</v>
      </c>
      <c r="J23" s="23">
        <f>C23-C7</f>
        <v>112650</v>
      </c>
      <c r="K23" s="23">
        <f>C23-C13</f>
        <v>74850</v>
      </c>
      <c r="L23" s="22"/>
      <c r="M23" s="22"/>
      <c r="N23" s="22"/>
    </row>
    <row r="24">
      <c r="A24" s="15" t="s">
        <v>62</v>
      </c>
      <c r="B24" s="16" t="s">
        <v>63</v>
      </c>
      <c r="C24" s="17">
        <v>207395.0</v>
      </c>
      <c r="D24" s="18">
        <v>207100.0</v>
      </c>
      <c r="E24" s="20">
        <v>2495.0</v>
      </c>
      <c r="F24" s="19">
        <f t="shared" si="1"/>
        <v>209595</v>
      </c>
      <c r="G24" s="20"/>
      <c r="H24" s="18"/>
      <c r="I24" s="21"/>
      <c r="J24" s="23">
        <f>C24-C2</f>
        <v>135400</v>
      </c>
      <c r="K24" s="23">
        <f>C24-C8</f>
        <v>96800</v>
      </c>
      <c r="L24" s="22"/>
      <c r="M24" s="22"/>
      <c r="N24" s="22"/>
    </row>
    <row r="25">
      <c r="A25" s="24" t="s">
        <v>62</v>
      </c>
      <c r="B25" s="25" t="s">
        <v>3</v>
      </c>
      <c r="C25" s="26">
        <v>218395.0</v>
      </c>
      <c r="D25" s="20">
        <v>218100.0</v>
      </c>
      <c r="E25" s="20">
        <v>2495.0</v>
      </c>
      <c r="F25" s="19">
        <f t="shared" si="1"/>
        <v>220595</v>
      </c>
      <c r="G25" s="20"/>
      <c r="H25" s="20"/>
      <c r="I25" s="27"/>
      <c r="J25" s="23">
        <f t="shared" ref="J25:J26" si="12">C25-C4</f>
        <v>134650</v>
      </c>
      <c r="K25" s="23">
        <f t="shared" ref="K25:K26" si="13">C25-C10</f>
        <v>96850</v>
      </c>
      <c r="L25" s="22"/>
      <c r="M25" s="22"/>
      <c r="N25" s="22"/>
    </row>
    <row r="26">
      <c r="A26" s="24" t="s">
        <v>64</v>
      </c>
      <c r="B26" s="25" t="s">
        <v>65</v>
      </c>
      <c r="C26" s="26">
        <v>217395.0</v>
      </c>
      <c r="D26" s="20">
        <v>217100.0</v>
      </c>
      <c r="E26" s="20">
        <v>2495.0</v>
      </c>
      <c r="F26" s="19">
        <f t="shared" si="1"/>
        <v>219595</v>
      </c>
      <c r="G26" s="20"/>
      <c r="H26" s="20"/>
      <c r="I26" s="27"/>
      <c r="J26" s="23">
        <f t="shared" si="12"/>
        <v>138400</v>
      </c>
      <c r="K26" s="23">
        <f t="shared" si="13"/>
        <v>99800</v>
      </c>
      <c r="L26" s="22"/>
      <c r="M26" s="22"/>
      <c r="N26" s="22"/>
    </row>
    <row r="27">
      <c r="A27" s="28" t="s">
        <v>64</v>
      </c>
      <c r="B27" s="29" t="s">
        <v>66</v>
      </c>
      <c r="C27" s="30">
        <v>228395.0</v>
      </c>
      <c r="D27" s="31">
        <v>228100.0</v>
      </c>
      <c r="E27" s="31">
        <v>2495.0</v>
      </c>
      <c r="F27" s="32">
        <f t="shared" si="1"/>
        <v>230595</v>
      </c>
      <c r="G27" s="31"/>
      <c r="H27" s="31"/>
      <c r="I27" s="33"/>
      <c r="J27" s="23">
        <f>C27-C7</f>
        <v>137650</v>
      </c>
      <c r="K27" s="23">
        <f>C27-C13</f>
        <v>99850</v>
      </c>
      <c r="L27" s="22"/>
      <c r="M27" s="22"/>
      <c r="N27" s="22"/>
    </row>
  </sheetData>
  <printOptions gridLines="1" horizontalCentered="1"/>
  <pageMargins bottom="0.75" footer="0.0" header="0.0" left="0.7" right="0.7" top="0.75"/>
  <pageSetup fitToWidth="0"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0"/>
    <col customWidth="1" min="2" max="2" width="65.43"/>
    <col customWidth="1" min="3" max="3" width="14.43"/>
    <col customWidth="1" min="4" max="4" width="88.0"/>
    <col customWidth="1" min="5" max="5" width="48.86"/>
    <col customWidth="1" min="6" max="6" width="26.0"/>
    <col customWidth="1" min="7" max="8" width="20.71"/>
  </cols>
  <sheetData>
    <row r="1" ht="22.5" customHeight="1">
      <c r="A1" s="34" t="s">
        <v>67</v>
      </c>
      <c r="B1" s="34" t="s">
        <v>68</v>
      </c>
      <c r="C1" s="35" t="s">
        <v>2</v>
      </c>
      <c r="D1" s="36" t="s">
        <v>69</v>
      </c>
      <c r="E1" s="37" t="s">
        <v>70</v>
      </c>
      <c r="F1" s="38" t="s">
        <v>71</v>
      </c>
      <c r="G1" s="38" t="s">
        <v>72</v>
      </c>
      <c r="H1" s="39" t="s">
        <v>73</v>
      </c>
    </row>
    <row r="2" ht="22.5" customHeight="1">
      <c r="A2" s="40" t="s">
        <v>74</v>
      </c>
      <c r="B2" s="41" t="s">
        <v>75</v>
      </c>
      <c r="C2" s="42">
        <v>3650.0</v>
      </c>
      <c r="D2" s="43" t="s">
        <v>76</v>
      </c>
      <c r="E2" s="43" t="s">
        <v>77</v>
      </c>
      <c r="F2" s="41" t="s">
        <v>78</v>
      </c>
      <c r="G2" s="41" t="s">
        <v>79</v>
      </c>
      <c r="H2" s="44" t="str">
        <f t="array" ref="H2:H19">UNIQUE(G2:G133)</f>
        <v>Exterior Accessories</v>
      </c>
    </row>
    <row r="3" ht="22.5" customHeight="1">
      <c r="A3" s="40" t="s">
        <v>80</v>
      </c>
      <c r="B3" s="41" t="s">
        <v>81</v>
      </c>
      <c r="C3" s="42">
        <v>4695.0</v>
      </c>
      <c r="D3" s="43" t="s">
        <v>82</v>
      </c>
      <c r="E3" s="43" t="s">
        <v>77</v>
      </c>
      <c r="F3" s="41" t="s">
        <v>78</v>
      </c>
      <c r="G3" s="41" t="s">
        <v>79</v>
      </c>
      <c r="H3" s="44" t="s">
        <v>83</v>
      </c>
    </row>
    <row r="4" ht="22.5" customHeight="1">
      <c r="A4" s="40" t="s">
        <v>84</v>
      </c>
      <c r="B4" s="41" t="s">
        <v>85</v>
      </c>
      <c r="C4" s="42">
        <v>1250.0</v>
      </c>
      <c r="D4" s="43" t="s">
        <v>86</v>
      </c>
      <c r="E4" s="43" t="s">
        <v>87</v>
      </c>
      <c r="F4" s="41" t="s">
        <v>88</v>
      </c>
      <c r="G4" s="41" t="s">
        <v>83</v>
      </c>
      <c r="H4" s="44" t="s">
        <v>89</v>
      </c>
    </row>
    <row r="5" ht="22.5" customHeight="1">
      <c r="A5" s="40" t="s">
        <v>90</v>
      </c>
      <c r="B5" s="41" t="s">
        <v>91</v>
      </c>
      <c r="C5" s="42">
        <v>7995.0</v>
      </c>
      <c r="D5" s="43" t="s">
        <v>92</v>
      </c>
      <c r="E5" s="43"/>
      <c r="F5" s="41" t="s">
        <v>93</v>
      </c>
      <c r="G5" s="41" t="s">
        <v>89</v>
      </c>
      <c r="H5" s="44" t="s">
        <v>94</v>
      </c>
    </row>
    <row r="6" ht="22.5" customHeight="1">
      <c r="A6" s="40" t="s">
        <v>95</v>
      </c>
      <c r="B6" s="41" t="s">
        <v>96</v>
      </c>
      <c r="C6" s="42">
        <v>625.0</v>
      </c>
      <c r="D6" s="43" t="s">
        <v>97</v>
      </c>
      <c r="E6" s="43" t="s">
        <v>98</v>
      </c>
      <c r="F6" s="41" t="s">
        <v>99</v>
      </c>
      <c r="G6" s="41" t="s">
        <v>79</v>
      </c>
      <c r="H6" s="44" t="s">
        <v>100</v>
      </c>
    </row>
    <row r="7" ht="22.5" customHeight="1">
      <c r="A7" s="40" t="s">
        <v>101</v>
      </c>
      <c r="B7" s="41" t="s">
        <v>102</v>
      </c>
      <c r="C7" s="42">
        <v>250.0</v>
      </c>
      <c r="D7" s="45"/>
      <c r="E7" s="46"/>
      <c r="F7" s="41" t="s">
        <v>78</v>
      </c>
      <c r="G7" s="41" t="s">
        <v>94</v>
      </c>
      <c r="H7" s="44" t="s">
        <v>103</v>
      </c>
    </row>
    <row r="8" ht="22.5" customHeight="1">
      <c r="A8" s="41" t="s">
        <v>104</v>
      </c>
      <c r="B8" s="40" t="s">
        <v>105</v>
      </c>
      <c r="C8" s="42">
        <v>250.0</v>
      </c>
      <c r="D8" s="45"/>
      <c r="E8" s="46"/>
      <c r="F8" s="41" t="s">
        <v>78</v>
      </c>
      <c r="G8" s="41" t="s">
        <v>94</v>
      </c>
      <c r="H8" s="44" t="s">
        <v>106</v>
      </c>
    </row>
    <row r="9" ht="22.5" customHeight="1">
      <c r="A9" s="40" t="s">
        <v>107</v>
      </c>
      <c r="B9" s="41" t="s">
        <v>108</v>
      </c>
      <c r="C9" s="42">
        <v>1350.0</v>
      </c>
      <c r="D9" s="43" t="s">
        <v>109</v>
      </c>
      <c r="E9" s="43" t="s">
        <v>110</v>
      </c>
      <c r="F9" s="41" t="s">
        <v>111</v>
      </c>
      <c r="G9" s="41" t="s">
        <v>89</v>
      </c>
      <c r="H9" s="44" t="s">
        <v>112</v>
      </c>
    </row>
    <row r="10" ht="22.5" customHeight="1">
      <c r="A10" s="40" t="s">
        <v>113</v>
      </c>
      <c r="B10" s="41" t="s">
        <v>114</v>
      </c>
      <c r="C10" s="42">
        <v>6225.0</v>
      </c>
      <c r="D10" s="45" t="s">
        <v>115</v>
      </c>
      <c r="E10" s="46" t="s">
        <v>116</v>
      </c>
      <c r="F10" s="41" t="s">
        <v>93</v>
      </c>
      <c r="G10" s="41" t="s">
        <v>83</v>
      </c>
      <c r="H10" s="44" t="s">
        <v>117</v>
      </c>
    </row>
    <row r="11" ht="22.5" customHeight="1">
      <c r="A11" s="40" t="s">
        <v>118</v>
      </c>
      <c r="B11" s="41" t="s">
        <v>119</v>
      </c>
      <c r="C11" s="42">
        <v>1395.0</v>
      </c>
      <c r="D11" s="45" t="s">
        <v>120</v>
      </c>
      <c r="E11" s="46" t="s">
        <v>121</v>
      </c>
      <c r="F11" s="41" t="s">
        <v>111</v>
      </c>
      <c r="G11" s="41" t="s">
        <v>89</v>
      </c>
      <c r="H11" s="44" t="s">
        <v>122</v>
      </c>
    </row>
    <row r="12" ht="22.5" customHeight="1">
      <c r="A12" s="40" t="s">
        <v>123</v>
      </c>
      <c r="B12" s="41" t="s">
        <v>124</v>
      </c>
      <c r="C12" s="42">
        <v>1695.0</v>
      </c>
      <c r="D12" s="43" t="s">
        <v>125</v>
      </c>
      <c r="E12" s="43"/>
      <c r="F12" s="41" t="s">
        <v>126</v>
      </c>
      <c r="G12" s="41" t="s">
        <v>100</v>
      </c>
      <c r="H12" s="44" t="s">
        <v>127</v>
      </c>
    </row>
    <row r="13" ht="22.5" customHeight="1">
      <c r="A13" s="40" t="s">
        <v>128</v>
      </c>
      <c r="B13" s="41" t="s">
        <v>129</v>
      </c>
      <c r="C13" s="42">
        <v>0.0</v>
      </c>
      <c r="D13" s="43" t="s">
        <v>130</v>
      </c>
      <c r="E13" s="43" t="s">
        <v>131</v>
      </c>
      <c r="F13" s="41" t="s">
        <v>132</v>
      </c>
      <c r="G13" s="41" t="s">
        <v>100</v>
      </c>
      <c r="H13" s="44" t="s">
        <v>133</v>
      </c>
    </row>
    <row r="14" ht="22.5" customHeight="1">
      <c r="A14" s="40" t="s">
        <v>134</v>
      </c>
      <c r="B14" s="41" t="s">
        <v>135</v>
      </c>
      <c r="C14" s="42">
        <v>495.0</v>
      </c>
      <c r="D14" s="43" t="s">
        <v>136</v>
      </c>
      <c r="E14" s="43" t="s">
        <v>137</v>
      </c>
      <c r="F14" s="41" t="s">
        <v>138</v>
      </c>
      <c r="G14" s="41" t="s">
        <v>100</v>
      </c>
      <c r="H14" s="44" t="s">
        <v>139</v>
      </c>
    </row>
    <row r="15" ht="22.5" customHeight="1">
      <c r="A15" s="40" t="s">
        <v>140</v>
      </c>
      <c r="B15" s="41" t="s">
        <v>135</v>
      </c>
      <c r="C15" s="42">
        <v>595.0</v>
      </c>
      <c r="D15" s="43" t="s">
        <v>136</v>
      </c>
      <c r="E15" s="46" t="s">
        <v>141</v>
      </c>
      <c r="F15" s="41" t="s">
        <v>138</v>
      </c>
      <c r="G15" s="41" t="s">
        <v>100</v>
      </c>
      <c r="H15" s="44" t="s">
        <v>142</v>
      </c>
    </row>
    <row r="16" ht="22.5" customHeight="1">
      <c r="A16" s="41" t="s">
        <v>143</v>
      </c>
      <c r="B16" s="41" t="s">
        <v>144</v>
      </c>
      <c r="C16" s="42">
        <v>495.0</v>
      </c>
      <c r="D16" s="43" t="s">
        <v>145</v>
      </c>
      <c r="E16" s="43" t="s">
        <v>137</v>
      </c>
      <c r="F16" s="41" t="s">
        <v>138</v>
      </c>
      <c r="G16" s="41" t="s">
        <v>100</v>
      </c>
      <c r="H16" s="44" t="s">
        <v>146</v>
      </c>
    </row>
    <row r="17" ht="22.5" customHeight="1">
      <c r="A17" s="40" t="s">
        <v>147</v>
      </c>
      <c r="B17" s="40" t="s">
        <v>144</v>
      </c>
      <c r="C17" s="42">
        <v>595.0</v>
      </c>
      <c r="D17" s="45" t="s">
        <v>136</v>
      </c>
      <c r="E17" s="43" t="s">
        <v>141</v>
      </c>
      <c r="F17" s="41" t="s">
        <v>138</v>
      </c>
      <c r="G17" s="41" t="s">
        <v>100</v>
      </c>
      <c r="H17" s="44" t="s">
        <v>148</v>
      </c>
    </row>
    <row r="18" ht="22.5" customHeight="1">
      <c r="A18" s="41" t="s">
        <v>149</v>
      </c>
      <c r="B18" s="40" t="s">
        <v>150</v>
      </c>
      <c r="C18" s="42">
        <v>295.0</v>
      </c>
      <c r="D18" s="43" t="s">
        <v>151</v>
      </c>
      <c r="E18" s="43"/>
      <c r="F18" s="41" t="s">
        <v>152</v>
      </c>
      <c r="G18" s="41" t="s">
        <v>103</v>
      </c>
      <c r="H18" s="44" t="s">
        <v>153</v>
      </c>
    </row>
    <row r="19" ht="22.5" customHeight="1">
      <c r="A19" s="40" t="s">
        <v>154</v>
      </c>
      <c r="B19" s="40" t="s">
        <v>155</v>
      </c>
      <c r="C19" s="42">
        <v>2495.0</v>
      </c>
      <c r="D19" s="45"/>
      <c r="E19" s="43"/>
      <c r="F19" s="41" t="s">
        <v>156</v>
      </c>
      <c r="G19" s="41" t="s">
        <v>106</v>
      </c>
      <c r="H19" s="44" t="s">
        <v>157</v>
      </c>
    </row>
    <row r="20" ht="22.5" customHeight="1">
      <c r="A20" s="41" t="s">
        <v>158</v>
      </c>
      <c r="B20" s="40" t="s">
        <v>159</v>
      </c>
      <c r="C20" s="42">
        <v>195.0</v>
      </c>
      <c r="D20" s="43" t="s">
        <v>160</v>
      </c>
      <c r="E20" s="43"/>
      <c r="F20" s="41" t="s">
        <v>99</v>
      </c>
      <c r="G20" s="41" t="s">
        <v>112</v>
      </c>
      <c r="H20" s="44"/>
    </row>
    <row r="21" ht="22.5" customHeight="1">
      <c r="A21" s="40" t="s">
        <v>161</v>
      </c>
      <c r="B21" s="41" t="s">
        <v>162</v>
      </c>
      <c r="C21" s="42">
        <v>995.0</v>
      </c>
      <c r="D21" s="45"/>
      <c r="E21" s="43"/>
      <c r="F21" s="41" t="s">
        <v>163</v>
      </c>
      <c r="G21" s="41" t="s">
        <v>106</v>
      </c>
      <c r="H21" s="44"/>
    </row>
    <row r="22" ht="22.5" customHeight="1">
      <c r="A22" s="41" t="s">
        <v>164</v>
      </c>
      <c r="B22" s="41" t="s">
        <v>165</v>
      </c>
      <c r="C22" s="42">
        <v>0.0</v>
      </c>
      <c r="D22" s="43" t="s">
        <v>166</v>
      </c>
      <c r="E22" s="46"/>
      <c r="F22" s="41" t="s">
        <v>163</v>
      </c>
      <c r="G22" s="41" t="s">
        <v>106</v>
      </c>
      <c r="H22" s="44"/>
    </row>
    <row r="23" ht="22.5" customHeight="1">
      <c r="A23" s="40" t="s">
        <v>167</v>
      </c>
      <c r="B23" s="41" t="s">
        <v>168</v>
      </c>
      <c r="C23" s="42">
        <v>3000.0</v>
      </c>
      <c r="D23" s="45" t="s">
        <v>169</v>
      </c>
      <c r="E23" s="46" t="s">
        <v>170</v>
      </c>
      <c r="F23" s="41" t="s">
        <v>163</v>
      </c>
      <c r="G23" s="41" t="s">
        <v>106</v>
      </c>
      <c r="H23" s="44"/>
    </row>
    <row r="24" ht="22.5" customHeight="1">
      <c r="A24" s="40" t="s">
        <v>171</v>
      </c>
      <c r="B24" s="41" t="s">
        <v>172</v>
      </c>
      <c r="C24" s="42">
        <v>0.0</v>
      </c>
      <c r="D24" s="45" t="s">
        <v>166</v>
      </c>
      <c r="E24" s="46"/>
      <c r="F24" s="41" t="s">
        <v>163</v>
      </c>
      <c r="G24" s="41" t="s">
        <v>117</v>
      </c>
      <c r="H24" s="44"/>
    </row>
    <row r="25" ht="22.5" customHeight="1">
      <c r="A25" s="40" t="s">
        <v>173</v>
      </c>
      <c r="B25" s="41" t="s">
        <v>174</v>
      </c>
      <c r="C25" s="42">
        <v>100.0</v>
      </c>
      <c r="D25" s="45" t="s">
        <v>175</v>
      </c>
      <c r="E25" s="46"/>
      <c r="F25" s="41" t="s">
        <v>132</v>
      </c>
      <c r="G25" s="41" t="s">
        <v>100</v>
      </c>
      <c r="H25" s="44"/>
    </row>
    <row r="26" ht="22.5" customHeight="1">
      <c r="A26" s="40" t="s">
        <v>176</v>
      </c>
      <c r="B26" s="41" t="s">
        <v>177</v>
      </c>
      <c r="C26" s="42">
        <v>1295.0</v>
      </c>
      <c r="D26" s="43" t="s">
        <v>178</v>
      </c>
      <c r="E26" s="46" t="s">
        <v>178</v>
      </c>
      <c r="F26" s="41" t="s">
        <v>163</v>
      </c>
      <c r="G26" s="41" t="s">
        <v>117</v>
      </c>
      <c r="H26" s="44"/>
    </row>
    <row r="27" ht="22.5" customHeight="1">
      <c r="A27" s="41" t="s">
        <v>179</v>
      </c>
      <c r="B27" s="41" t="s">
        <v>180</v>
      </c>
      <c r="C27" s="42">
        <v>1295.0</v>
      </c>
      <c r="D27" s="43" t="s">
        <v>178</v>
      </c>
      <c r="E27" s="46" t="s">
        <v>178</v>
      </c>
      <c r="F27" s="41" t="s">
        <v>163</v>
      </c>
      <c r="G27" s="41" t="s">
        <v>117</v>
      </c>
      <c r="H27" s="44"/>
    </row>
    <row r="28" ht="22.5" customHeight="1">
      <c r="A28" s="40" t="s">
        <v>181</v>
      </c>
      <c r="B28" s="40" t="s">
        <v>182</v>
      </c>
      <c r="C28" s="42">
        <v>1195.0</v>
      </c>
      <c r="D28" s="45" t="s">
        <v>183</v>
      </c>
      <c r="E28" s="46" t="s">
        <v>183</v>
      </c>
      <c r="F28" s="41" t="s">
        <v>184</v>
      </c>
      <c r="G28" s="41" t="s">
        <v>122</v>
      </c>
      <c r="H28" s="44"/>
    </row>
    <row r="29" ht="22.5" customHeight="1">
      <c r="A29" s="40" t="s">
        <v>185</v>
      </c>
      <c r="B29" s="41" t="s">
        <v>186</v>
      </c>
      <c r="C29" s="42">
        <v>1195.0</v>
      </c>
      <c r="D29" s="43" t="s">
        <v>187</v>
      </c>
      <c r="E29" s="46" t="s">
        <v>187</v>
      </c>
      <c r="F29" s="41" t="s">
        <v>184</v>
      </c>
      <c r="G29" s="41" t="s">
        <v>122</v>
      </c>
      <c r="H29" s="44"/>
    </row>
    <row r="30" ht="22.5" customHeight="1">
      <c r="A30" s="47" t="s">
        <v>188</v>
      </c>
      <c r="B30" s="47" t="s">
        <v>189</v>
      </c>
      <c r="C30" s="42">
        <v>1195.0</v>
      </c>
      <c r="D30" s="45" t="s">
        <v>190</v>
      </c>
      <c r="E30" s="46" t="s">
        <v>190</v>
      </c>
      <c r="F30" s="48" t="s">
        <v>184</v>
      </c>
      <c r="G30" s="41" t="s">
        <v>122</v>
      </c>
      <c r="H30" s="44"/>
    </row>
    <row r="31" ht="22.5" customHeight="1">
      <c r="A31" s="40" t="s">
        <v>191</v>
      </c>
      <c r="B31" s="41" t="s">
        <v>192</v>
      </c>
      <c r="C31" s="42">
        <v>1195.0</v>
      </c>
      <c r="D31" s="43" t="s">
        <v>193</v>
      </c>
      <c r="E31" s="46" t="s">
        <v>193</v>
      </c>
      <c r="F31" s="48" t="s">
        <v>184</v>
      </c>
      <c r="G31" s="41" t="s">
        <v>122</v>
      </c>
      <c r="H31" s="44"/>
    </row>
    <row r="32" ht="22.5" customHeight="1">
      <c r="A32" s="40" t="s">
        <v>194</v>
      </c>
      <c r="B32" s="40" t="s">
        <v>195</v>
      </c>
      <c r="C32" s="42">
        <v>1195.0</v>
      </c>
      <c r="D32" s="45"/>
      <c r="E32" s="45"/>
      <c r="F32" s="41" t="s">
        <v>184</v>
      </c>
      <c r="G32" s="41" t="s">
        <v>122</v>
      </c>
      <c r="H32" s="44"/>
    </row>
    <row r="33" ht="22.5" customHeight="1">
      <c r="A33" s="40" t="s">
        <v>196</v>
      </c>
      <c r="B33" s="41" t="s">
        <v>197</v>
      </c>
      <c r="C33" s="42">
        <v>1195.0</v>
      </c>
      <c r="D33" s="43" t="s">
        <v>190</v>
      </c>
      <c r="E33" s="46" t="s">
        <v>190</v>
      </c>
      <c r="F33" s="41" t="s">
        <v>184</v>
      </c>
      <c r="G33" s="41" t="s">
        <v>122</v>
      </c>
      <c r="H33" s="44"/>
    </row>
    <row r="34" ht="22.5" customHeight="1">
      <c r="A34" s="40" t="s">
        <v>198</v>
      </c>
      <c r="B34" s="40" t="s">
        <v>199</v>
      </c>
      <c r="C34" s="42">
        <v>1195.0</v>
      </c>
      <c r="D34" s="43" t="s">
        <v>193</v>
      </c>
      <c r="E34" s="46" t="s">
        <v>193</v>
      </c>
      <c r="F34" s="41" t="s">
        <v>184</v>
      </c>
      <c r="G34" s="41" t="s">
        <v>122</v>
      </c>
      <c r="H34" s="44"/>
    </row>
    <row r="35" ht="22.5" customHeight="1">
      <c r="A35" s="40" t="s">
        <v>200</v>
      </c>
      <c r="B35" s="41" t="s">
        <v>201</v>
      </c>
      <c r="C35" s="42">
        <v>1195.0</v>
      </c>
      <c r="D35" s="43" t="s">
        <v>187</v>
      </c>
      <c r="E35" s="46" t="s">
        <v>187</v>
      </c>
      <c r="F35" s="41" t="s">
        <v>184</v>
      </c>
      <c r="G35" s="41" t="s">
        <v>122</v>
      </c>
      <c r="H35" s="44"/>
    </row>
    <row r="36" ht="22.5" customHeight="1">
      <c r="A36" s="40" t="s">
        <v>202</v>
      </c>
      <c r="B36" s="40" t="s">
        <v>203</v>
      </c>
      <c r="C36" s="42">
        <v>1195.0</v>
      </c>
      <c r="D36" s="45"/>
      <c r="E36" s="46"/>
      <c r="F36" s="41" t="s">
        <v>184</v>
      </c>
      <c r="G36" s="41" t="s">
        <v>122</v>
      </c>
      <c r="H36" s="44"/>
    </row>
    <row r="37" ht="22.5" customHeight="1">
      <c r="A37" s="40" t="s">
        <v>204</v>
      </c>
      <c r="B37" s="40" t="s">
        <v>205</v>
      </c>
      <c r="C37" s="42">
        <v>1195.0</v>
      </c>
      <c r="D37" s="45"/>
      <c r="E37" s="46"/>
      <c r="F37" s="41" t="s">
        <v>184</v>
      </c>
      <c r="G37" s="41" t="s">
        <v>122</v>
      </c>
      <c r="H37" s="44"/>
    </row>
    <row r="38" ht="22.5" customHeight="1">
      <c r="A38" s="40" t="s">
        <v>206</v>
      </c>
      <c r="B38" s="49" t="s">
        <v>207</v>
      </c>
      <c r="C38" s="42">
        <v>1195.0</v>
      </c>
      <c r="D38" s="45" t="s">
        <v>208</v>
      </c>
      <c r="E38" s="45" t="s">
        <v>208</v>
      </c>
      <c r="F38" s="41" t="s">
        <v>184</v>
      </c>
      <c r="G38" s="41" t="s">
        <v>122</v>
      </c>
      <c r="H38" s="44"/>
    </row>
    <row r="39" ht="22.5" customHeight="1">
      <c r="A39" s="40" t="s">
        <v>209</v>
      </c>
      <c r="B39" s="41" t="s">
        <v>210</v>
      </c>
      <c r="C39" s="42">
        <v>1195.0</v>
      </c>
      <c r="D39" s="43" t="s">
        <v>183</v>
      </c>
      <c r="E39" s="46" t="s">
        <v>183</v>
      </c>
      <c r="F39" s="41" t="s">
        <v>184</v>
      </c>
      <c r="G39" s="41" t="s">
        <v>122</v>
      </c>
      <c r="H39" s="44"/>
    </row>
    <row r="40" ht="22.5" customHeight="1">
      <c r="A40" s="40" t="s">
        <v>211</v>
      </c>
      <c r="B40" s="41" t="s">
        <v>212</v>
      </c>
      <c r="C40" s="42">
        <v>500.0</v>
      </c>
      <c r="D40" s="45" t="s">
        <v>187</v>
      </c>
      <c r="E40" s="46" t="s">
        <v>187</v>
      </c>
      <c r="F40" s="41" t="s">
        <v>184</v>
      </c>
      <c r="G40" s="41" t="s">
        <v>122</v>
      </c>
      <c r="H40" s="44"/>
    </row>
    <row r="41" ht="22.5" customHeight="1">
      <c r="A41" s="40" t="s">
        <v>213</v>
      </c>
      <c r="B41" s="41" t="s">
        <v>214</v>
      </c>
      <c r="C41" s="42">
        <v>500.0</v>
      </c>
      <c r="D41" s="45"/>
      <c r="E41" s="46"/>
      <c r="F41" s="41" t="s">
        <v>184</v>
      </c>
      <c r="G41" s="41" t="s">
        <v>122</v>
      </c>
      <c r="H41" s="44"/>
    </row>
    <row r="42" ht="22.5" customHeight="1">
      <c r="A42" s="40" t="s">
        <v>215</v>
      </c>
      <c r="B42" s="41" t="s">
        <v>216</v>
      </c>
      <c r="C42" s="42">
        <v>500.0</v>
      </c>
      <c r="D42" s="43" t="s">
        <v>193</v>
      </c>
      <c r="E42" s="46" t="s">
        <v>193</v>
      </c>
      <c r="F42" s="41" t="s">
        <v>184</v>
      </c>
      <c r="G42" s="41" t="s">
        <v>122</v>
      </c>
      <c r="H42" s="44"/>
    </row>
    <row r="43" ht="22.5" customHeight="1">
      <c r="A43" s="40" t="s">
        <v>10</v>
      </c>
      <c r="B43" s="40" t="s">
        <v>217</v>
      </c>
      <c r="C43" s="42">
        <v>2595.0</v>
      </c>
      <c r="D43" s="43" t="s">
        <v>218</v>
      </c>
      <c r="E43" s="46" t="s">
        <v>218</v>
      </c>
      <c r="F43" s="41" t="s">
        <v>219</v>
      </c>
      <c r="G43" s="41" t="s">
        <v>127</v>
      </c>
      <c r="H43" s="44"/>
    </row>
    <row r="44" ht="22.5" customHeight="1">
      <c r="A44" s="40" t="s">
        <v>220</v>
      </c>
      <c r="B44" s="40" t="s">
        <v>221</v>
      </c>
      <c r="C44" s="42">
        <v>0.0</v>
      </c>
      <c r="D44" s="43" t="s">
        <v>222</v>
      </c>
      <c r="E44" s="46"/>
      <c r="F44" s="41" t="s">
        <v>223</v>
      </c>
      <c r="G44" s="41" t="s">
        <v>133</v>
      </c>
      <c r="H44" s="44"/>
    </row>
    <row r="45" ht="22.5" customHeight="1">
      <c r="A45" s="40" t="s">
        <v>224</v>
      </c>
      <c r="B45" s="41" t="s">
        <v>225</v>
      </c>
      <c r="C45" s="42">
        <v>995.0</v>
      </c>
      <c r="D45" s="43" t="s">
        <v>226</v>
      </c>
      <c r="E45" s="46" t="s">
        <v>227</v>
      </c>
      <c r="F45" s="41" t="s">
        <v>223</v>
      </c>
      <c r="G45" s="41" t="s">
        <v>133</v>
      </c>
      <c r="H45" s="44"/>
    </row>
    <row r="46" ht="22.5" customHeight="1">
      <c r="A46" s="40" t="s">
        <v>228</v>
      </c>
      <c r="B46" s="41" t="s">
        <v>229</v>
      </c>
      <c r="C46" s="42">
        <v>100.0</v>
      </c>
      <c r="D46" s="43" t="s">
        <v>230</v>
      </c>
      <c r="E46" s="46"/>
      <c r="F46" s="41" t="s">
        <v>219</v>
      </c>
      <c r="G46" s="41" t="s">
        <v>127</v>
      </c>
      <c r="H46" s="44"/>
    </row>
    <row r="47" ht="22.5" customHeight="1">
      <c r="A47" s="40" t="s">
        <v>231</v>
      </c>
      <c r="B47" s="41" t="s">
        <v>232</v>
      </c>
      <c r="C47" s="42">
        <v>295.0</v>
      </c>
      <c r="D47" s="43" t="s">
        <v>233</v>
      </c>
      <c r="E47" s="46"/>
      <c r="F47" s="41" t="s">
        <v>234</v>
      </c>
      <c r="G47" s="41" t="s">
        <v>139</v>
      </c>
      <c r="H47" s="44"/>
    </row>
    <row r="48" ht="22.5" customHeight="1">
      <c r="A48" s="40" t="s">
        <v>235</v>
      </c>
      <c r="B48" s="40" t="s">
        <v>236</v>
      </c>
      <c r="C48" s="42">
        <v>0.0</v>
      </c>
      <c r="D48" s="43" t="s">
        <v>237</v>
      </c>
      <c r="E48" s="46"/>
      <c r="F48" s="41" t="s">
        <v>234</v>
      </c>
      <c r="G48" s="41" t="s">
        <v>139</v>
      </c>
      <c r="H48" s="44"/>
    </row>
    <row r="49" ht="22.5" customHeight="1">
      <c r="A49" s="40" t="s">
        <v>238</v>
      </c>
      <c r="B49" s="40" t="s">
        <v>239</v>
      </c>
      <c r="C49" s="42">
        <v>1895.0</v>
      </c>
      <c r="D49" s="43" t="s">
        <v>240</v>
      </c>
      <c r="E49" s="46" t="s">
        <v>241</v>
      </c>
      <c r="F49" s="41" t="s">
        <v>219</v>
      </c>
      <c r="G49" s="41" t="s">
        <v>127</v>
      </c>
      <c r="H49" s="44"/>
    </row>
    <row r="50" ht="22.5" customHeight="1">
      <c r="A50" s="40" t="s">
        <v>242</v>
      </c>
      <c r="B50" s="40" t="s">
        <v>243</v>
      </c>
      <c r="C50" s="42">
        <v>1895.0</v>
      </c>
      <c r="D50" s="43" t="s">
        <v>244</v>
      </c>
      <c r="E50" s="46" t="s">
        <v>245</v>
      </c>
      <c r="F50" s="41" t="s">
        <v>219</v>
      </c>
      <c r="G50" s="41" t="s">
        <v>127</v>
      </c>
      <c r="H50" s="44"/>
    </row>
    <row r="51" ht="22.5" customHeight="1">
      <c r="A51" s="40" t="s">
        <v>246</v>
      </c>
      <c r="B51" s="40" t="s">
        <v>247</v>
      </c>
      <c r="C51" s="42">
        <v>995.0</v>
      </c>
      <c r="D51" s="45" t="s">
        <v>248</v>
      </c>
      <c r="E51" s="46"/>
      <c r="F51" s="41" t="s">
        <v>249</v>
      </c>
      <c r="G51" s="41" t="s">
        <v>142</v>
      </c>
      <c r="H51" s="44"/>
    </row>
    <row r="52" ht="22.5" customHeight="1">
      <c r="A52" s="49" t="s">
        <v>250</v>
      </c>
      <c r="B52" s="49" t="s">
        <v>251</v>
      </c>
      <c r="C52" s="42">
        <v>500.0</v>
      </c>
      <c r="D52" s="45" t="s">
        <v>252</v>
      </c>
      <c r="E52" s="46"/>
      <c r="F52" s="41" t="s">
        <v>249</v>
      </c>
      <c r="G52" s="41" t="s">
        <v>142</v>
      </c>
      <c r="H52" s="44"/>
    </row>
    <row r="53" ht="22.5" customHeight="1">
      <c r="A53" s="40" t="s">
        <v>253</v>
      </c>
      <c r="B53" s="40" t="s">
        <v>254</v>
      </c>
      <c r="C53" s="42">
        <v>0.0</v>
      </c>
      <c r="D53" s="45"/>
      <c r="E53" s="46"/>
      <c r="F53" s="41" t="s">
        <v>249</v>
      </c>
      <c r="G53" s="41" t="s">
        <v>142</v>
      </c>
      <c r="H53" s="44"/>
    </row>
    <row r="54" ht="22.5" customHeight="1">
      <c r="A54" s="40" t="s">
        <v>255</v>
      </c>
      <c r="B54" s="41" t="s">
        <v>256</v>
      </c>
      <c r="C54" s="42">
        <v>0.0</v>
      </c>
      <c r="D54" s="45"/>
      <c r="E54" s="46"/>
      <c r="F54" s="41" t="s">
        <v>249</v>
      </c>
      <c r="G54" s="41" t="s">
        <v>142</v>
      </c>
      <c r="H54" s="44"/>
    </row>
    <row r="55" ht="22.5" customHeight="1">
      <c r="A55" s="40" t="s">
        <v>257</v>
      </c>
      <c r="B55" s="41" t="s">
        <v>258</v>
      </c>
      <c r="C55" s="42">
        <v>995.0</v>
      </c>
      <c r="D55" s="43" t="s">
        <v>248</v>
      </c>
      <c r="E55" s="46"/>
      <c r="F55" s="41" t="s">
        <v>249</v>
      </c>
      <c r="G55" s="41" t="s">
        <v>142</v>
      </c>
      <c r="H55" s="44"/>
    </row>
    <row r="56" ht="22.5" customHeight="1">
      <c r="A56" s="40" t="s">
        <v>259</v>
      </c>
      <c r="B56" s="40" t="s">
        <v>260</v>
      </c>
      <c r="C56" s="42">
        <v>0.0</v>
      </c>
      <c r="D56" s="45"/>
      <c r="E56" s="46"/>
      <c r="F56" s="41" t="s">
        <v>249</v>
      </c>
      <c r="G56" s="41" t="s">
        <v>142</v>
      </c>
      <c r="H56" s="44"/>
    </row>
    <row r="57" ht="22.5" customHeight="1">
      <c r="A57" s="49" t="s">
        <v>261</v>
      </c>
      <c r="B57" s="49" t="s">
        <v>262</v>
      </c>
      <c r="C57" s="42">
        <v>0.0</v>
      </c>
      <c r="D57" s="45" t="s">
        <v>263</v>
      </c>
      <c r="E57" s="46"/>
      <c r="F57" s="41" t="s">
        <v>249</v>
      </c>
      <c r="G57" s="41" t="s">
        <v>142</v>
      </c>
      <c r="H57" s="44"/>
    </row>
    <row r="58" ht="22.5" customHeight="1">
      <c r="A58" s="47" t="s">
        <v>264</v>
      </c>
      <c r="B58" s="50" t="s">
        <v>265</v>
      </c>
      <c r="C58" s="42">
        <v>0.0</v>
      </c>
      <c r="D58" s="45"/>
      <c r="E58" s="46"/>
      <c r="F58" s="41" t="s">
        <v>249</v>
      </c>
      <c r="G58" s="41" t="s">
        <v>142</v>
      </c>
      <c r="H58" s="44"/>
    </row>
    <row r="59" ht="22.5" customHeight="1">
      <c r="A59" s="40" t="s">
        <v>266</v>
      </c>
      <c r="B59" s="41" t="s">
        <v>267</v>
      </c>
      <c r="C59" s="42">
        <v>995.0</v>
      </c>
      <c r="D59" s="43" t="s">
        <v>268</v>
      </c>
      <c r="E59" s="46"/>
      <c r="F59" s="41" t="s">
        <v>249</v>
      </c>
      <c r="G59" s="41" t="s">
        <v>142</v>
      </c>
      <c r="H59" s="44"/>
    </row>
    <row r="60" ht="22.5" customHeight="1">
      <c r="A60" s="49" t="s">
        <v>269</v>
      </c>
      <c r="B60" s="49" t="s">
        <v>270</v>
      </c>
      <c r="C60" s="42">
        <v>0.0</v>
      </c>
      <c r="D60" s="45"/>
      <c r="E60" s="46"/>
      <c r="F60" s="41" t="s">
        <v>249</v>
      </c>
      <c r="G60" s="41" t="s">
        <v>142</v>
      </c>
      <c r="H60" s="44"/>
    </row>
    <row r="61" ht="22.5" customHeight="1">
      <c r="A61" s="40" t="s">
        <v>271</v>
      </c>
      <c r="B61" s="41" t="s">
        <v>272</v>
      </c>
      <c r="C61" s="42">
        <v>0.0</v>
      </c>
      <c r="D61" s="43" t="s">
        <v>273</v>
      </c>
      <c r="E61" s="46" t="s">
        <v>274</v>
      </c>
      <c r="F61" s="41" t="s">
        <v>275</v>
      </c>
      <c r="G61" s="41" t="s">
        <v>146</v>
      </c>
      <c r="H61" s="44"/>
    </row>
    <row r="62" ht="22.5" customHeight="1">
      <c r="A62" s="40" t="s">
        <v>13</v>
      </c>
      <c r="B62" s="40" t="s">
        <v>276</v>
      </c>
      <c r="C62" s="42">
        <v>695.0</v>
      </c>
      <c r="D62" s="43" t="s">
        <v>277</v>
      </c>
      <c r="E62" s="46"/>
      <c r="F62" s="41" t="s">
        <v>275</v>
      </c>
      <c r="G62" s="41" t="s">
        <v>146</v>
      </c>
      <c r="H62" s="44"/>
    </row>
    <row r="63" ht="22.5" customHeight="1">
      <c r="A63" s="40" t="s">
        <v>278</v>
      </c>
      <c r="B63" s="41" t="s">
        <v>279</v>
      </c>
      <c r="C63" s="42">
        <v>695.0</v>
      </c>
      <c r="D63" s="43" t="s">
        <v>277</v>
      </c>
      <c r="E63" s="43"/>
      <c r="F63" s="41" t="s">
        <v>275</v>
      </c>
      <c r="G63" s="41" t="s">
        <v>146</v>
      </c>
      <c r="H63" s="44"/>
    </row>
    <row r="64" ht="22.5" customHeight="1">
      <c r="A64" s="41" t="s">
        <v>280</v>
      </c>
      <c r="B64" s="41" t="s">
        <v>281</v>
      </c>
      <c r="C64" s="42">
        <v>695.0</v>
      </c>
      <c r="D64" s="43" t="s">
        <v>282</v>
      </c>
      <c r="E64" s="46"/>
      <c r="F64" s="41" t="s">
        <v>275</v>
      </c>
      <c r="G64" s="41" t="s">
        <v>146</v>
      </c>
      <c r="H64" s="44"/>
    </row>
    <row r="65" ht="22.5" customHeight="1">
      <c r="A65" s="40" t="s">
        <v>6</v>
      </c>
      <c r="B65" s="40" t="s">
        <v>283</v>
      </c>
      <c r="C65" s="42">
        <v>395.0</v>
      </c>
      <c r="D65" s="43" t="s">
        <v>284</v>
      </c>
      <c r="E65" s="46" t="s">
        <v>285</v>
      </c>
      <c r="F65" s="41" t="s">
        <v>219</v>
      </c>
      <c r="G65" s="41" t="s">
        <v>127</v>
      </c>
      <c r="H65" s="44"/>
    </row>
    <row r="66" ht="22.5" customHeight="1">
      <c r="A66" s="40" t="s">
        <v>286</v>
      </c>
      <c r="B66" s="41" t="s">
        <v>287</v>
      </c>
      <c r="C66" s="42">
        <v>1195.0</v>
      </c>
      <c r="D66" s="43" t="s">
        <v>288</v>
      </c>
      <c r="E66" s="46"/>
      <c r="F66" s="41" t="s">
        <v>219</v>
      </c>
      <c r="G66" s="41" t="s">
        <v>127</v>
      </c>
      <c r="H66" s="44"/>
    </row>
    <row r="67" ht="22.5" customHeight="1">
      <c r="A67" s="40" t="s">
        <v>289</v>
      </c>
      <c r="B67" s="49" t="s">
        <v>290</v>
      </c>
      <c r="C67" s="42">
        <v>1195.0</v>
      </c>
      <c r="D67" s="45" t="s">
        <v>291</v>
      </c>
      <c r="E67" s="46" t="s">
        <v>292</v>
      </c>
      <c r="F67" s="41" t="s">
        <v>99</v>
      </c>
      <c r="G67" s="41" t="s">
        <v>148</v>
      </c>
      <c r="H67" s="44"/>
    </row>
    <row r="68" ht="22.5" customHeight="1">
      <c r="A68" s="40" t="s">
        <v>293</v>
      </c>
      <c r="B68" s="40" t="s">
        <v>294</v>
      </c>
      <c r="C68" s="42">
        <v>4395.0</v>
      </c>
      <c r="D68" s="43" t="s">
        <v>295</v>
      </c>
      <c r="E68" s="46" t="s">
        <v>296</v>
      </c>
      <c r="F68" s="41" t="s">
        <v>297</v>
      </c>
      <c r="G68" s="41" t="s">
        <v>148</v>
      </c>
      <c r="H68" s="44"/>
    </row>
    <row r="69" ht="22.5" customHeight="1">
      <c r="A69" s="40" t="s">
        <v>298</v>
      </c>
      <c r="B69" s="41" t="s">
        <v>299</v>
      </c>
      <c r="C69" s="42">
        <v>750.0</v>
      </c>
      <c r="D69" s="43" t="s">
        <v>300</v>
      </c>
      <c r="E69" s="46"/>
      <c r="F69" s="41" t="s">
        <v>301</v>
      </c>
      <c r="G69" s="41" t="s">
        <v>148</v>
      </c>
      <c r="H69" s="44"/>
    </row>
    <row r="70" ht="22.5" customHeight="1">
      <c r="A70" s="41" t="s">
        <v>302</v>
      </c>
      <c r="B70" s="41" t="s">
        <v>303</v>
      </c>
      <c r="C70" s="42">
        <v>195.0</v>
      </c>
      <c r="D70" s="43" t="s">
        <v>304</v>
      </c>
      <c r="E70" s="46"/>
      <c r="F70" s="41" t="s">
        <v>99</v>
      </c>
      <c r="G70" s="41" t="s">
        <v>148</v>
      </c>
      <c r="H70" s="44"/>
    </row>
    <row r="71" ht="22.5" customHeight="1">
      <c r="A71" s="50" t="s">
        <v>7</v>
      </c>
      <c r="B71" s="50" t="s">
        <v>305</v>
      </c>
      <c r="C71" s="42">
        <v>475.0</v>
      </c>
      <c r="D71" s="45" t="s">
        <v>306</v>
      </c>
      <c r="E71" s="46"/>
      <c r="F71" s="41" t="s">
        <v>99</v>
      </c>
      <c r="G71" s="41" t="s">
        <v>148</v>
      </c>
      <c r="H71" s="44"/>
    </row>
    <row r="72" ht="22.5" customHeight="1">
      <c r="A72" s="40" t="s">
        <v>307</v>
      </c>
      <c r="B72" s="40" t="s">
        <v>308</v>
      </c>
      <c r="C72" s="42">
        <v>5000.0</v>
      </c>
      <c r="D72" s="45" t="s">
        <v>309</v>
      </c>
      <c r="E72" s="46"/>
      <c r="F72" s="41" t="s">
        <v>152</v>
      </c>
      <c r="G72" s="41" t="s">
        <v>103</v>
      </c>
      <c r="H72" s="44"/>
    </row>
    <row r="73" ht="22.5" customHeight="1">
      <c r="A73" s="40" t="s">
        <v>310</v>
      </c>
      <c r="B73" s="40" t="s">
        <v>311</v>
      </c>
      <c r="C73" s="42">
        <v>1995.0</v>
      </c>
      <c r="D73" s="45" t="s">
        <v>312</v>
      </c>
      <c r="E73" s="46"/>
      <c r="F73" s="41" t="s">
        <v>313</v>
      </c>
      <c r="G73" s="41" t="s">
        <v>153</v>
      </c>
      <c r="H73" s="44"/>
    </row>
    <row r="74" ht="22.5" customHeight="1">
      <c r="A74" s="41" t="s">
        <v>314</v>
      </c>
      <c r="B74" s="41" t="s">
        <v>315</v>
      </c>
      <c r="C74" s="42">
        <v>1495.0</v>
      </c>
      <c r="D74" s="43" t="s">
        <v>312</v>
      </c>
      <c r="E74" s="46"/>
      <c r="F74" s="41" t="s">
        <v>313</v>
      </c>
      <c r="G74" s="41" t="s">
        <v>153</v>
      </c>
      <c r="H74" s="44"/>
    </row>
    <row r="75" ht="22.5" customHeight="1">
      <c r="A75" s="40" t="s">
        <v>316</v>
      </c>
      <c r="B75" s="40" t="s">
        <v>317</v>
      </c>
      <c r="C75" s="42">
        <v>995.0</v>
      </c>
      <c r="D75" s="45" t="s">
        <v>312</v>
      </c>
      <c r="E75" s="46"/>
      <c r="F75" s="41" t="s">
        <v>313</v>
      </c>
      <c r="G75" s="41" t="s">
        <v>153</v>
      </c>
      <c r="H75" s="44"/>
    </row>
    <row r="76" ht="22.5" customHeight="1">
      <c r="A76" s="50" t="s">
        <v>318</v>
      </c>
      <c r="B76" s="50" t="s">
        <v>319</v>
      </c>
      <c r="C76" s="42">
        <v>995.0</v>
      </c>
      <c r="D76" s="45" t="s">
        <v>312</v>
      </c>
      <c r="E76" s="46"/>
      <c r="F76" s="41" t="s">
        <v>313</v>
      </c>
      <c r="G76" s="41" t="s">
        <v>153</v>
      </c>
      <c r="H76" s="44"/>
    </row>
    <row r="77" ht="22.5" customHeight="1">
      <c r="A77" s="40" t="s">
        <v>320</v>
      </c>
      <c r="B77" s="40" t="s">
        <v>321</v>
      </c>
      <c r="C77" s="42">
        <v>995.0</v>
      </c>
      <c r="D77" s="45" t="s">
        <v>312</v>
      </c>
      <c r="E77" s="46"/>
      <c r="F77" s="41" t="s">
        <v>313</v>
      </c>
      <c r="G77" s="41" t="s">
        <v>153</v>
      </c>
      <c r="H77" s="44"/>
    </row>
    <row r="78" ht="22.5" customHeight="1">
      <c r="A78" s="40" t="s">
        <v>322</v>
      </c>
      <c r="B78" s="41" t="s">
        <v>323</v>
      </c>
      <c r="C78" s="42">
        <v>995.0</v>
      </c>
      <c r="D78" s="43" t="s">
        <v>312</v>
      </c>
      <c r="E78" s="46"/>
      <c r="F78" s="41" t="s">
        <v>313</v>
      </c>
      <c r="G78" s="41" t="s">
        <v>153</v>
      </c>
      <c r="H78" s="44"/>
    </row>
    <row r="79" ht="22.5" customHeight="1">
      <c r="A79" s="40" t="s">
        <v>324</v>
      </c>
      <c r="B79" s="50" t="s">
        <v>325</v>
      </c>
      <c r="C79" s="42">
        <v>0.0</v>
      </c>
      <c r="D79" s="43" t="s">
        <v>326</v>
      </c>
      <c r="E79" s="46"/>
      <c r="F79" s="41" t="s">
        <v>313</v>
      </c>
      <c r="G79" s="41" t="s">
        <v>153</v>
      </c>
      <c r="H79" s="44"/>
    </row>
    <row r="80" ht="22.5" customHeight="1">
      <c r="A80" s="41" t="s">
        <v>327</v>
      </c>
      <c r="B80" s="41" t="s">
        <v>328</v>
      </c>
      <c r="C80" s="42">
        <v>495.0</v>
      </c>
      <c r="D80" s="43" t="s">
        <v>329</v>
      </c>
      <c r="E80" s="43" t="s">
        <v>330</v>
      </c>
      <c r="F80" s="41" t="s">
        <v>99</v>
      </c>
      <c r="G80" s="41" t="s">
        <v>79</v>
      </c>
      <c r="H80" s="44"/>
    </row>
    <row r="81" ht="22.5" customHeight="1">
      <c r="A81" s="40" t="s">
        <v>331</v>
      </c>
      <c r="B81" s="41" t="s">
        <v>332</v>
      </c>
      <c r="C81" s="42">
        <v>1495.0</v>
      </c>
      <c r="D81" s="43" t="s">
        <v>333</v>
      </c>
      <c r="E81" s="46"/>
      <c r="F81" s="41" t="s">
        <v>152</v>
      </c>
      <c r="G81" s="41" t="s">
        <v>103</v>
      </c>
      <c r="H81" s="44"/>
    </row>
    <row r="82" ht="22.5" customHeight="1">
      <c r="A82" s="50" t="s">
        <v>334</v>
      </c>
      <c r="B82" s="50" t="s">
        <v>335</v>
      </c>
      <c r="C82" s="42">
        <v>265.0</v>
      </c>
      <c r="D82" s="45" t="s">
        <v>336</v>
      </c>
      <c r="E82" s="46"/>
      <c r="F82" s="41" t="s">
        <v>99</v>
      </c>
      <c r="G82" s="41" t="s">
        <v>112</v>
      </c>
      <c r="H82" s="44"/>
    </row>
    <row r="83" ht="22.5" customHeight="1">
      <c r="A83" s="40" t="s">
        <v>337</v>
      </c>
      <c r="B83" s="41" t="s">
        <v>338</v>
      </c>
      <c r="C83" s="42">
        <v>425.0</v>
      </c>
      <c r="D83" s="43" t="s">
        <v>339</v>
      </c>
      <c r="E83" s="46" t="s">
        <v>339</v>
      </c>
      <c r="F83" s="41" t="s">
        <v>99</v>
      </c>
      <c r="G83" s="41" t="s">
        <v>79</v>
      </c>
      <c r="H83" s="44"/>
    </row>
    <row r="84" ht="22.5" customHeight="1">
      <c r="A84" s="40" t="s">
        <v>340</v>
      </c>
      <c r="B84" s="41" t="s">
        <v>341</v>
      </c>
      <c r="C84" s="42">
        <v>395.0</v>
      </c>
      <c r="D84" s="43" t="s">
        <v>342</v>
      </c>
      <c r="E84" s="46" t="s">
        <v>342</v>
      </c>
      <c r="F84" s="41" t="s">
        <v>99</v>
      </c>
      <c r="G84" s="41" t="s">
        <v>79</v>
      </c>
      <c r="H84" s="44"/>
    </row>
    <row r="85" ht="22.5" customHeight="1">
      <c r="A85" s="40" t="s">
        <v>343</v>
      </c>
      <c r="B85" s="41" t="s">
        <v>344</v>
      </c>
      <c r="C85" s="42">
        <v>495.0</v>
      </c>
      <c r="D85" s="43" t="s">
        <v>345</v>
      </c>
      <c r="E85" s="46" t="s">
        <v>345</v>
      </c>
      <c r="F85" s="41" t="s">
        <v>99</v>
      </c>
      <c r="G85" s="41" t="s">
        <v>157</v>
      </c>
      <c r="H85" s="44"/>
    </row>
    <row r="86" ht="22.5" customHeight="1">
      <c r="A86" s="40" t="s">
        <v>346</v>
      </c>
      <c r="B86" s="41" t="s">
        <v>347</v>
      </c>
      <c r="C86" s="42">
        <v>495.0</v>
      </c>
      <c r="D86" s="45"/>
      <c r="E86" s="46"/>
      <c r="F86" s="41" t="s">
        <v>99</v>
      </c>
      <c r="G86" s="41" t="s">
        <v>157</v>
      </c>
      <c r="H86" s="44"/>
    </row>
    <row r="87" ht="22.5" customHeight="1">
      <c r="A87" s="41" t="s">
        <v>348</v>
      </c>
      <c r="B87" s="41" t="s">
        <v>349</v>
      </c>
      <c r="C87" s="42">
        <v>495.0</v>
      </c>
      <c r="D87" s="45"/>
      <c r="E87" s="46"/>
      <c r="F87" s="41" t="s">
        <v>99</v>
      </c>
      <c r="G87" s="41" t="s">
        <v>157</v>
      </c>
      <c r="H87" s="44"/>
    </row>
    <row r="88" ht="22.5" customHeight="1">
      <c r="A88" s="40" t="s">
        <v>350</v>
      </c>
      <c r="B88" s="41" t="s">
        <v>351</v>
      </c>
      <c r="C88" s="42">
        <v>175.0</v>
      </c>
      <c r="D88" s="45"/>
      <c r="E88" s="46"/>
      <c r="F88" s="41" t="s">
        <v>99</v>
      </c>
      <c r="G88" s="41" t="s">
        <v>112</v>
      </c>
      <c r="H88" s="44"/>
    </row>
    <row r="89" ht="22.5" customHeight="1">
      <c r="A89" s="40" t="s">
        <v>352</v>
      </c>
      <c r="B89" s="41" t="s">
        <v>353</v>
      </c>
      <c r="C89" s="42">
        <v>250.0</v>
      </c>
      <c r="D89" s="45"/>
      <c r="E89" s="46"/>
      <c r="F89" s="41" t="s">
        <v>78</v>
      </c>
      <c r="G89" s="41" t="s">
        <v>94</v>
      </c>
      <c r="H89" s="44"/>
    </row>
    <row r="90" ht="22.5" customHeight="1">
      <c r="A90" s="40" t="s">
        <v>354</v>
      </c>
      <c r="B90" s="41" t="s">
        <v>355</v>
      </c>
      <c r="C90" s="42">
        <v>250.0</v>
      </c>
      <c r="D90" s="45"/>
      <c r="E90" s="46"/>
      <c r="F90" s="41" t="s">
        <v>78</v>
      </c>
      <c r="G90" s="41" t="s">
        <v>94</v>
      </c>
      <c r="H90" s="44"/>
    </row>
    <row r="91" ht="22.5" customHeight="1">
      <c r="A91" s="40" t="s">
        <v>356</v>
      </c>
      <c r="B91" s="41" t="s">
        <v>357</v>
      </c>
      <c r="C91" s="42">
        <v>3995.0</v>
      </c>
      <c r="D91" s="43" t="s">
        <v>358</v>
      </c>
      <c r="E91" s="46" t="s">
        <v>358</v>
      </c>
      <c r="F91" s="41" t="s">
        <v>88</v>
      </c>
      <c r="G91" s="41" t="s">
        <v>83</v>
      </c>
      <c r="H91" s="44"/>
    </row>
    <row r="92" ht="22.5" customHeight="1">
      <c r="A92" s="40" t="s">
        <v>359</v>
      </c>
      <c r="B92" s="41" t="s">
        <v>360</v>
      </c>
      <c r="C92" s="42">
        <v>60.0</v>
      </c>
      <c r="D92" s="43" t="s">
        <v>361</v>
      </c>
      <c r="E92" s="46"/>
      <c r="F92" s="41" t="s">
        <v>99</v>
      </c>
      <c r="G92" s="41" t="s">
        <v>112</v>
      </c>
      <c r="H92" s="44"/>
    </row>
    <row r="93" ht="22.5" customHeight="1">
      <c r="A93" s="41" t="s">
        <v>362</v>
      </c>
      <c r="B93" s="41" t="s">
        <v>363</v>
      </c>
      <c r="C93" s="42">
        <v>2495.0</v>
      </c>
      <c r="D93" s="43" t="s">
        <v>364</v>
      </c>
      <c r="E93" s="46" t="s">
        <v>364</v>
      </c>
      <c r="F93" s="41" t="s">
        <v>88</v>
      </c>
      <c r="G93" s="41" t="s">
        <v>83</v>
      </c>
      <c r="H93" s="44"/>
    </row>
    <row r="94" ht="22.5" customHeight="1">
      <c r="A94" s="40" t="s">
        <v>365</v>
      </c>
      <c r="B94" s="41" t="s">
        <v>366</v>
      </c>
      <c r="C94" s="42">
        <v>150.0</v>
      </c>
      <c r="D94" s="43" t="s">
        <v>361</v>
      </c>
      <c r="E94" s="46"/>
      <c r="F94" s="41" t="s">
        <v>99</v>
      </c>
      <c r="G94" s="41" t="s">
        <v>112</v>
      </c>
      <c r="H94" s="44"/>
    </row>
    <row r="95" ht="22.5" customHeight="1">
      <c r="A95" s="40" t="s">
        <v>367</v>
      </c>
      <c r="B95" s="41" t="s">
        <v>368</v>
      </c>
      <c r="C95" s="42">
        <v>1695.0</v>
      </c>
      <c r="D95" s="43" t="s">
        <v>369</v>
      </c>
      <c r="E95" s="46"/>
      <c r="F95" s="41" t="s">
        <v>99</v>
      </c>
      <c r="G95" s="41" t="s">
        <v>112</v>
      </c>
      <c r="H95" s="44"/>
    </row>
    <row r="96" ht="22.5" customHeight="1">
      <c r="A96" s="47" t="s">
        <v>370</v>
      </c>
      <c r="B96" s="50" t="s">
        <v>371</v>
      </c>
      <c r="C96" s="42">
        <v>275.0</v>
      </c>
      <c r="D96" s="45"/>
      <c r="E96" s="46"/>
      <c r="F96" s="48" t="s">
        <v>78</v>
      </c>
      <c r="G96" s="41" t="s">
        <v>94</v>
      </c>
      <c r="H96" s="44"/>
    </row>
    <row r="97" ht="22.5" customHeight="1">
      <c r="A97" s="40" t="s">
        <v>372</v>
      </c>
      <c r="B97" s="41" t="s">
        <v>373</v>
      </c>
      <c r="C97" s="42">
        <v>495.0</v>
      </c>
      <c r="D97" s="43" t="s">
        <v>374</v>
      </c>
      <c r="E97" s="46"/>
      <c r="F97" s="41" t="s">
        <v>184</v>
      </c>
      <c r="G97" s="41" t="s">
        <v>122</v>
      </c>
      <c r="H97" s="44"/>
    </row>
    <row r="98" ht="22.5" customHeight="1">
      <c r="A98" s="40" t="s">
        <v>375</v>
      </c>
      <c r="B98" s="41" t="s">
        <v>376</v>
      </c>
      <c r="C98" s="42">
        <v>195.0</v>
      </c>
      <c r="D98" s="43" t="s">
        <v>377</v>
      </c>
      <c r="E98" s="43" t="s">
        <v>378</v>
      </c>
      <c r="F98" s="41" t="s">
        <v>99</v>
      </c>
      <c r="G98" s="41" t="s">
        <v>79</v>
      </c>
      <c r="H98" s="44"/>
    </row>
    <row r="99" ht="22.5" customHeight="1">
      <c r="A99" s="40" t="s">
        <v>379</v>
      </c>
      <c r="B99" s="41" t="s">
        <v>380</v>
      </c>
      <c r="C99" s="42">
        <v>125.0</v>
      </c>
      <c r="D99" s="45"/>
      <c r="E99" s="46"/>
      <c r="F99" s="41" t="s">
        <v>99</v>
      </c>
      <c r="G99" s="41" t="s">
        <v>79</v>
      </c>
      <c r="H99" s="44"/>
    </row>
    <row r="100" ht="22.5" customHeight="1">
      <c r="A100" s="40" t="s">
        <v>381</v>
      </c>
      <c r="B100" s="41" t="s">
        <v>382</v>
      </c>
      <c r="C100" s="42">
        <v>125.0</v>
      </c>
      <c r="D100" s="45"/>
      <c r="E100" s="46"/>
      <c r="F100" s="41" t="s">
        <v>78</v>
      </c>
      <c r="G100" s="41" t="s">
        <v>94</v>
      </c>
      <c r="H100" s="44"/>
    </row>
    <row r="101" ht="22.5" customHeight="1">
      <c r="A101" s="40" t="s">
        <v>383</v>
      </c>
      <c r="B101" s="41" t="s">
        <v>384</v>
      </c>
      <c r="C101" s="42">
        <v>275.0</v>
      </c>
      <c r="D101" s="43" t="s">
        <v>385</v>
      </c>
      <c r="E101" s="46" t="s">
        <v>385</v>
      </c>
      <c r="F101" s="41" t="s">
        <v>99</v>
      </c>
      <c r="G101" s="41" t="s">
        <v>79</v>
      </c>
      <c r="H101" s="44"/>
    </row>
    <row r="102" ht="22.5" customHeight="1">
      <c r="A102" s="40" t="s">
        <v>386</v>
      </c>
      <c r="B102" s="41" t="s">
        <v>387</v>
      </c>
      <c r="C102" s="42">
        <v>275.0</v>
      </c>
      <c r="D102" s="43" t="s">
        <v>374</v>
      </c>
      <c r="E102" s="46"/>
      <c r="F102" s="41" t="s">
        <v>184</v>
      </c>
      <c r="G102" s="41" t="s">
        <v>122</v>
      </c>
      <c r="H102" s="44"/>
    </row>
    <row r="103" ht="22.5" customHeight="1">
      <c r="A103" s="40" t="s">
        <v>388</v>
      </c>
      <c r="B103" s="41" t="s">
        <v>389</v>
      </c>
      <c r="C103" s="42">
        <v>495.0</v>
      </c>
      <c r="D103" s="43" t="s">
        <v>374</v>
      </c>
      <c r="E103" s="46"/>
      <c r="F103" s="41" t="s">
        <v>184</v>
      </c>
      <c r="G103" s="41" t="s">
        <v>122</v>
      </c>
      <c r="H103" s="44"/>
    </row>
    <row r="104" ht="22.5" customHeight="1">
      <c r="A104" s="40" t="s">
        <v>390</v>
      </c>
      <c r="B104" s="41" t="s">
        <v>391</v>
      </c>
      <c r="C104" s="42">
        <v>275.0</v>
      </c>
      <c r="D104" s="43" t="s">
        <v>374</v>
      </c>
      <c r="E104" s="46"/>
      <c r="F104" s="41" t="s">
        <v>184</v>
      </c>
      <c r="G104" s="41" t="s">
        <v>122</v>
      </c>
      <c r="H104" s="44"/>
    </row>
    <row r="105" ht="22.5" customHeight="1">
      <c r="A105" s="40" t="s">
        <v>392</v>
      </c>
      <c r="B105" s="41" t="s">
        <v>393</v>
      </c>
      <c r="C105" s="42">
        <v>475.0</v>
      </c>
      <c r="D105" s="45"/>
      <c r="E105" s="46"/>
      <c r="F105" s="41" t="s">
        <v>99</v>
      </c>
      <c r="G105" s="41" t="s">
        <v>157</v>
      </c>
      <c r="H105" s="44"/>
    </row>
    <row r="106" ht="22.5" customHeight="1">
      <c r="A106" s="40" t="s">
        <v>394</v>
      </c>
      <c r="B106" s="41" t="s">
        <v>395</v>
      </c>
      <c r="C106" s="42">
        <v>395.0</v>
      </c>
      <c r="D106" s="43" t="s">
        <v>396</v>
      </c>
      <c r="E106" s="46" t="s">
        <v>396</v>
      </c>
      <c r="F106" s="41" t="s">
        <v>99</v>
      </c>
      <c r="G106" s="41" t="s">
        <v>79</v>
      </c>
      <c r="H106" s="44"/>
    </row>
    <row r="107" ht="22.5" customHeight="1">
      <c r="A107" s="40" t="s">
        <v>397</v>
      </c>
      <c r="B107" s="41" t="s">
        <v>398</v>
      </c>
      <c r="C107" s="42">
        <v>95.0</v>
      </c>
      <c r="D107" s="43" t="s">
        <v>399</v>
      </c>
      <c r="E107" s="46"/>
      <c r="F107" s="41" t="s">
        <v>132</v>
      </c>
      <c r="G107" s="41" t="s">
        <v>100</v>
      </c>
      <c r="H107" s="44"/>
    </row>
    <row r="108" ht="22.5" customHeight="1">
      <c r="A108" s="41" t="s">
        <v>400</v>
      </c>
      <c r="B108" s="41" t="s">
        <v>401</v>
      </c>
      <c r="C108" s="42">
        <v>1995.0</v>
      </c>
      <c r="D108" s="43" t="s">
        <v>402</v>
      </c>
      <c r="E108" s="46"/>
      <c r="F108" s="41" t="s">
        <v>138</v>
      </c>
      <c r="G108" s="41" t="s">
        <v>100</v>
      </c>
      <c r="H108" s="44"/>
    </row>
    <row r="109" ht="22.5" customHeight="1">
      <c r="A109" s="47" t="s">
        <v>403</v>
      </c>
      <c r="B109" s="50" t="s">
        <v>404</v>
      </c>
      <c r="C109" s="42">
        <v>2895.0</v>
      </c>
      <c r="D109" s="43" t="s">
        <v>405</v>
      </c>
      <c r="E109" s="46" t="s">
        <v>405</v>
      </c>
      <c r="F109" s="41" t="s">
        <v>406</v>
      </c>
      <c r="G109" s="41" t="s">
        <v>83</v>
      </c>
      <c r="H109" s="44"/>
    </row>
    <row r="110" ht="22.5" customHeight="1">
      <c r="A110" s="40" t="s">
        <v>407</v>
      </c>
      <c r="B110" s="41" t="s">
        <v>408</v>
      </c>
      <c r="C110" s="42">
        <v>320.0</v>
      </c>
      <c r="D110" s="43" t="s">
        <v>374</v>
      </c>
      <c r="E110" s="46"/>
      <c r="F110" s="41" t="s">
        <v>184</v>
      </c>
      <c r="G110" s="41" t="s">
        <v>122</v>
      </c>
      <c r="H110" s="44"/>
    </row>
    <row r="111" ht="22.5" customHeight="1">
      <c r="A111" s="40" t="s">
        <v>15</v>
      </c>
      <c r="B111" s="41" t="s">
        <v>409</v>
      </c>
      <c r="C111" s="42">
        <v>295.0</v>
      </c>
      <c r="D111" s="45"/>
      <c r="E111" s="46"/>
      <c r="F111" s="41" t="s">
        <v>78</v>
      </c>
      <c r="G111" s="41" t="s">
        <v>94</v>
      </c>
      <c r="H111" s="44"/>
    </row>
    <row r="112" ht="22.5" customHeight="1">
      <c r="A112" s="40" t="s">
        <v>410</v>
      </c>
      <c r="B112" s="41" t="s">
        <v>411</v>
      </c>
      <c r="C112" s="42">
        <v>175.0</v>
      </c>
      <c r="D112" s="45"/>
      <c r="E112" s="46" t="s">
        <v>412</v>
      </c>
      <c r="F112" s="41" t="s">
        <v>78</v>
      </c>
      <c r="G112" s="41" t="s">
        <v>94</v>
      </c>
      <c r="H112" s="44"/>
    </row>
    <row r="113" ht="22.5" customHeight="1">
      <c r="A113" s="40" t="s">
        <v>413</v>
      </c>
      <c r="B113" s="41" t="s">
        <v>414</v>
      </c>
      <c r="C113" s="42">
        <v>625.0</v>
      </c>
      <c r="D113" s="45"/>
      <c r="E113" s="43" t="s">
        <v>415</v>
      </c>
      <c r="F113" s="41" t="s">
        <v>99</v>
      </c>
      <c r="G113" s="41" t="s">
        <v>79</v>
      </c>
      <c r="H113" s="44"/>
    </row>
    <row r="114" ht="22.5" customHeight="1">
      <c r="A114" s="40" t="s">
        <v>416</v>
      </c>
      <c r="B114" s="41" t="s">
        <v>417</v>
      </c>
      <c r="C114" s="42">
        <v>1950.0</v>
      </c>
      <c r="D114" s="45"/>
      <c r="E114" s="46"/>
      <c r="F114" s="41" t="s">
        <v>99</v>
      </c>
      <c r="G114" s="41" t="s">
        <v>112</v>
      </c>
      <c r="H114" s="44"/>
    </row>
    <row r="115" ht="22.5" customHeight="1">
      <c r="A115" s="40" t="s">
        <v>418</v>
      </c>
      <c r="B115" s="41" t="s">
        <v>419</v>
      </c>
      <c r="C115" s="42">
        <v>1950.0</v>
      </c>
      <c r="D115" s="45"/>
      <c r="E115" s="46"/>
      <c r="F115" s="41" t="s">
        <v>99</v>
      </c>
      <c r="G115" s="41" t="s">
        <v>112</v>
      </c>
      <c r="H115" s="44"/>
    </row>
    <row r="116" ht="22.5" customHeight="1">
      <c r="A116" s="40" t="s">
        <v>420</v>
      </c>
      <c r="B116" s="41" t="s">
        <v>421</v>
      </c>
      <c r="C116" s="42">
        <v>2295.0</v>
      </c>
      <c r="D116" s="45"/>
      <c r="E116" s="46"/>
      <c r="F116" s="41" t="s">
        <v>99</v>
      </c>
      <c r="G116" s="41" t="s">
        <v>112</v>
      </c>
      <c r="H116" s="44"/>
    </row>
    <row r="117" ht="22.5" customHeight="1">
      <c r="A117" s="40" t="s">
        <v>422</v>
      </c>
      <c r="B117" s="50" t="s">
        <v>423</v>
      </c>
      <c r="C117" s="42">
        <v>0.0</v>
      </c>
      <c r="D117" s="45" t="s">
        <v>424</v>
      </c>
      <c r="E117" s="46"/>
      <c r="F117" s="41" t="s">
        <v>425</v>
      </c>
      <c r="G117" s="41" t="s">
        <v>89</v>
      </c>
      <c r="H117" s="44"/>
    </row>
    <row r="118" ht="22.5" customHeight="1">
      <c r="A118" s="40" t="s">
        <v>426</v>
      </c>
      <c r="B118" s="41" t="s">
        <v>427</v>
      </c>
      <c r="C118" s="42">
        <v>595.0</v>
      </c>
      <c r="D118" s="43" t="s">
        <v>428</v>
      </c>
      <c r="E118" s="46"/>
      <c r="F118" s="41" t="s">
        <v>425</v>
      </c>
      <c r="G118" s="41" t="s">
        <v>89</v>
      </c>
      <c r="H118" s="44"/>
    </row>
    <row r="119" ht="22.5" customHeight="1">
      <c r="A119" s="40" t="s">
        <v>429</v>
      </c>
      <c r="B119" s="41" t="s">
        <v>430</v>
      </c>
      <c r="C119" s="42">
        <v>1995.0</v>
      </c>
      <c r="D119" s="43" t="s">
        <v>431</v>
      </c>
      <c r="E119" s="46"/>
      <c r="F119" s="41" t="s">
        <v>88</v>
      </c>
      <c r="G119" s="41" t="s">
        <v>83</v>
      </c>
      <c r="H119" s="44"/>
    </row>
    <row r="120" ht="22.5" customHeight="1">
      <c r="A120" s="40" t="s">
        <v>432</v>
      </c>
      <c r="B120" s="41" t="s">
        <v>433</v>
      </c>
      <c r="C120" s="42">
        <v>40.0</v>
      </c>
      <c r="D120" s="45" t="s">
        <v>434</v>
      </c>
      <c r="E120" s="46"/>
      <c r="F120" s="41" t="s">
        <v>99</v>
      </c>
      <c r="G120" s="41" t="s">
        <v>79</v>
      </c>
      <c r="H120" s="44"/>
    </row>
    <row r="121" ht="22.5" customHeight="1">
      <c r="A121" s="40" t="s">
        <v>435</v>
      </c>
      <c r="B121" s="41" t="s">
        <v>436</v>
      </c>
      <c r="C121" s="42">
        <v>255.0</v>
      </c>
      <c r="D121" s="45"/>
      <c r="E121" s="46"/>
      <c r="F121" s="41" t="s">
        <v>99</v>
      </c>
      <c r="G121" s="41" t="s">
        <v>79</v>
      </c>
      <c r="H121" s="44"/>
    </row>
    <row r="122" ht="22.5" customHeight="1">
      <c r="A122" s="40" t="s">
        <v>437</v>
      </c>
      <c r="B122" s="41" t="s">
        <v>438</v>
      </c>
      <c r="C122" s="42">
        <v>150.0</v>
      </c>
      <c r="D122" s="45"/>
      <c r="E122" s="46"/>
      <c r="F122" s="41" t="s">
        <v>99</v>
      </c>
      <c r="G122" s="41" t="s">
        <v>112</v>
      </c>
      <c r="H122" s="44"/>
    </row>
    <row r="123" ht="22.5" customHeight="1">
      <c r="A123" s="40" t="s">
        <v>439</v>
      </c>
      <c r="B123" s="41" t="s">
        <v>440</v>
      </c>
      <c r="C123" s="42">
        <v>570.0</v>
      </c>
      <c r="D123" s="45" t="s">
        <v>402</v>
      </c>
      <c r="E123" s="46"/>
      <c r="F123" s="41" t="s">
        <v>441</v>
      </c>
      <c r="G123" s="41" t="s">
        <v>100</v>
      </c>
      <c r="H123" s="44"/>
    </row>
    <row r="124" ht="22.5" customHeight="1">
      <c r="A124" s="40" t="s">
        <v>442</v>
      </c>
      <c r="B124" s="41" t="s">
        <v>443</v>
      </c>
      <c r="C124" s="42">
        <v>250.0</v>
      </c>
      <c r="D124" s="45"/>
      <c r="E124" s="46"/>
      <c r="F124" s="41" t="s">
        <v>78</v>
      </c>
      <c r="G124" s="41" t="s">
        <v>94</v>
      </c>
      <c r="H124" s="44"/>
    </row>
    <row r="125" ht="22.5" customHeight="1">
      <c r="A125" s="40" t="s">
        <v>444</v>
      </c>
      <c r="B125" s="41" t="s">
        <v>445</v>
      </c>
      <c r="C125" s="42">
        <v>525.0</v>
      </c>
      <c r="D125" s="45"/>
      <c r="E125" s="46"/>
      <c r="F125" s="41" t="s">
        <v>99</v>
      </c>
      <c r="G125" s="41" t="s">
        <v>79</v>
      </c>
      <c r="H125" s="44"/>
    </row>
    <row r="126" ht="22.5" customHeight="1">
      <c r="A126" s="40" t="s">
        <v>446</v>
      </c>
      <c r="B126" s="41" t="s">
        <v>447</v>
      </c>
      <c r="C126" s="42">
        <v>298.0</v>
      </c>
      <c r="D126" s="43" t="s">
        <v>448</v>
      </c>
      <c r="E126" s="46"/>
      <c r="F126" s="41" t="s">
        <v>99</v>
      </c>
      <c r="G126" s="41" t="s">
        <v>112</v>
      </c>
      <c r="H126" s="44"/>
    </row>
    <row r="127" ht="22.5" customHeight="1">
      <c r="A127" s="40" t="s">
        <v>449</v>
      </c>
      <c r="B127" s="41" t="s">
        <v>450</v>
      </c>
      <c r="C127" s="42">
        <v>95.0</v>
      </c>
      <c r="D127" s="43" t="s">
        <v>451</v>
      </c>
      <c r="E127" s="46" t="s">
        <v>452</v>
      </c>
      <c r="F127" s="41" t="s">
        <v>99</v>
      </c>
      <c r="G127" s="41" t="s">
        <v>112</v>
      </c>
      <c r="H127" s="44"/>
    </row>
    <row r="128" ht="22.5" customHeight="1">
      <c r="A128" s="40" t="s">
        <v>453</v>
      </c>
      <c r="B128" s="41" t="s">
        <v>454</v>
      </c>
      <c r="C128" s="42">
        <v>495.0</v>
      </c>
      <c r="D128" s="43" t="s">
        <v>345</v>
      </c>
      <c r="E128" s="46" t="s">
        <v>345</v>
      </c>
      <c r="F128" s="41" t="s">
        <v>99</v>
      </c>
      <c r="G128" s="41" t="s">
        <v>157</v>
      </c>
      <c r="H128" s="44"/>
    </row>
    <row r="129" ht="22.5" customHeight="1">
      <c r="A129" s="40" t="s">
        <v>455</v>
      </c>
      <c r="B129" s="41" t="s">
        <v>456</v>
      </c>
      <c r="C129" s="42">
        <v>1275.0</v>
      </c>
      <c r="D129" s="45"/>
      <c r="E129" s="46"/>
      <c r="F129" s="41" t="s">
        <v>99</v>
      </c>
      <c r="G129" s="41" t="s">
        <v>157</v>
      </c>
      <c r="H129" s="44"/>
    </row>
    <row r="130" ht="22.5" customHeight="1">
      <c r="A130" s="40" t="s">
        <v>457</v>
      </c>
      <c r="B130" s="41" t="s">
        <v>458</v>
      </c>
      <c r="C130" s="42">
        <v>6345.0</v>
      </c>
      <c r="D130" s="43" t="s">
        <v>459</v>
      </c>
      <c r="E130" s="46"/>
      <c r="F130" s="41" t="s">
        <v>460</v>
      </c>
      <c r="G130" s="41" t="s">
        <v>127</v>
      </c>
      <c r="H130" s="44"/>
    </row>
    <row r="131" ht="22.5" customHeight="1">
      <c r="A131" s="40" t="s">
        <v>461</v>
      </c>
      <c r="B131" s="41" t="s">
        <v>462</v>
      </c>
      <c r="C131" s="42">
        <v>0.0</v>
      </c>
      <c r="D131" s="43" t="s">
        <v>424</v>
      </c>
      <c r="E131" s="46"/>
      <c r="F131" s="41" t="s">
        <v>425</v>
      </c>
      <c r="G131" s="41" t="s">
        <v>89</v>
      </c>
      <c r="H131" s="44"/>
    </row>
    <row r="132" ht="22.5" customHeight="1">
      <c r="A132" s="40" t="s">
        <v>14</v>
      </c>
      <c r="B132" s="41" t="s">
        <v>463</v>
      </c>
      <c r="C132" s="42">
        <v>195.0</v>
      </c>
      <c r="D132" s="43" t="s">
        <v>464</v>
      </c>
      <c r="E132" s="46"/>
      <c r="F132" s="41" t="s">
        <v>425</v>
      </c>
      <c r="G132" s="41" t="s">
        <v>89</v>
      </c>
      <c r="H132" s="44"/>
    </row>
    <row r="133" ht="22.5" customHeight="1">
      <c r="A133" s="40" t="s">
        <v>465</v>
      </c>
      <c r="B133" s="41" t="s">
        <v>466</v>
      </c>
      <c r="C133" s="42">
        <v>1095.0</v>
      </c>
      <c r="D133" s="45" t="s">
        <v>467</v>
      </c>
      <c r="E133" s="46"/>
      <c r="F133" s="41" t="s">
        <v>126</v>
      </c>
      <c r="G133" s="41" t="s">
        <v>100</v>
      </c>
      <c r="H133" s="44"/>
    </row>
  </sheetData>
  <printOptions gridLines="1" horizontalCentered="1"/>
  <pageMargins bottom="0.75" footer="0.0" header="0.0" left="0.25" right="0.25" top="0.75"/>
  <pageSetup fitToHeight="0"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3.14"/>
    <col customWidth="1" min="2" max="4" width="7.14"/>
    <col customWidth="1" min="5" max="5" width="3.14"/>
    <col customWidth="1" min="6" max="6" width="1.71"/>
    <col customWidth="1" min="7" max="7" width="3.86"/>
    <col customWidth="1" min="8" max="8" width="19.86"/>
  </cols>
  <sheetData>
    <row r="1">
      <c r="A1" s="51" t="s">
        <v>468</v>
      </c>
      <c r="B1" s="51" t="s">
        <v>469</v>
      </c>
      <c r="C1" s="51" t="s">
        <v>469</v>
      </c>
      <c r="D1" s="51" t="s">
        <v>469</v>
      </c>
      <c r="E1" s="44" t="s">
        <v>470</v>
      </c>
      <c r="F1" s="44" t="s">
        <v>471</v>
      </c>
      <c r="G1" s="44" t="s">
        <v>472</v>
      </c>
      <c r="H1" s="52" t="str">
        <f t="shared" ref="H1:H131" si="1">textjoin("",true,E1,B1,F1,C1,G1,D1)</f>
        <v>[if 6157][6157][/if 6157]</v>
      </c>
    </row>
    <row r="2">
      <c r="A2" s="51" t="s">
        <v>473</v>
      </c>
      <c r="B2" s="51" t="s">
        <v>474</v>
      </c>
      <c r="C2" s="51" t="s">
        <v>474</v>
      </c>
      <c r="D2" s="51" t="s">
        <v>474</v>
      </c>
      <c r="E2" s="44" t="s">
        <v>470</v>
      </c>
      <c r="F2" s="44" t="s">
        <v>471</v>
      </c>
      <c r="G2" s="44" t="s">
        <v>472</v>
      </c>
      <c r="H2" s="52" t="str">
        <f t="shared" si="1"/>
        <v>[if 6158][6158][/if 6158]</v>
      </c>
    </row>
    <row r="3">
      <c r="A3" s="51" t="s">
        <v>475</v>
      </c>
      <c r="B3" s="51" t="s">
        <v>476</v>
      </c>
      <c r="C3" s="51" t="s">
        <v>476</v>
      </c>
      <c r="D3" s="51" t="s">
        <v>476</v>
      </c>
      <c r="E3" s="44" t="s">
        <v>470</v>
      </c>
      <c r="F3" s="44" t="s">
        <v>471</v>
      </c>
      <c r="G3" s="44" t="s">
        <v>472</v>
      </c>
      <c r="H3" s="52" t="str">
        <f t="shared" si="1"/>
        <v>[if 6164][6164][/if 6164]</v>
      </c>
    </row>
    <row r="4">
      <c r="A4" s="51" t="s">
        <v>477</v>
      </c>
      <c r="B4" s="51" t="s">
        <v>478</v>
      </c>
      <c r="C4" s="51" t="s">
        <v>478</v>
      </c>
      <c r="D4" s="51" t="s">
        <v>478</v>
      </c>
      <c r="E4" s="44" t="s">
        <v>470</v>
      </c>
      <c r="F4" s="44" t="s">
        <v>471</v>
      </c>
      <c r="G4" s="44" t="s">
        <v>472</v>
      </c>
      <c r="H4" s="52" t="str">
        <f t="shared" si="1"/>
        <v>[if 6165][6165][/if 6165]</v>
      </c>
    </row>
    <row r="5">
      <c r="A5" s="51" t="s">
        <v>479</v>
      </c>
      <c r="B5" s="51" t="s">
        <v>480</v>
      </c>
      <c r="C5" s="51" t="s">
        <v>480</v>
      </c>
      <c r="D5" s="51" t="s">
        <v>480</v>
      </c>
      <c r="E5" s="44" t="s">
        <v>470</v>
      </c>
      <c r="F5" s="44" t="s">
        <v>471</v>
      </c>
      <c r="G5" s="44" t="s">
        <v>472</v>
      </c>
      <c r="H5" s="52" t="str">
        <f t="shared" si="1"/>
        <v>[if 6168][6168][/if 6168]</v>
      </c>
    </row>
    <row r="6">
      <c r="A6" s="51" t="s">
        <v>153</v>
      </c>
      <c r="B6" s="51" t="s">
        <v>481</v>
      </c>
      <c r="C6" s="51" t="s">
        <v>481</v>
      </c>
      <c r="D6" s="51" t="s">
        <v>481</v>
      </c>
      <c r="E6" s="44" t="s">
        <v>470</v>
      </c>
      <c r="F6" s="44" t="s">
        <v>471</v>
      </c>
      <c r="G6" s="44" t="s">
        <v>472</v>
      </c>
      <c r="H6" s="52" t="str">
        <f t="shared" si="1"/>
        <v>[if 6169][6169][/if 6169]</v>
      </c>
    </row>
    <row r="7">
      <c r="A7" s="51" t="s">
        <v>482</v>
      </c>
      <c r="B7" s="51" t="s">
        <v>483</v>
      </c>
      <c r="C7" s="51" t="s">
        <v>483</v>
      </c>
      <c r="D7" s="51" t="s">
        <v>483</v>
      </c>
      <c r="E7" s="44" t="s">
        <v>470</v>
      </c>
      <c r="F7" s="44" t="s">
        <v>471</v>
      </c>
      <c r="G7" s="44" t="s">
        <v>472</v>
      </c>
      <c r="H7" s="52" t="str">
        <f t="shared" si="1"/>
        <v>[if 6172][6172][/if 6172]</v>
      </c>
    </row>
    <row r="8">
      <c r="A8" s="51" t="s">
        <v>146</v>
      </c>
      <c r="B8" s="51" t="s">
        <v>484</v>
      </c>
      <c r="C8" s="51" t="s">
        <v>484</v>
      </c>
      <c r="D8" s="51" t="s">
        <v>484</v>
      </c>
      <c r="E8" s="44" t="s">
        <v>470</v>
      </c>
      <c r="F8" s="44" t="s">
        <v>471</v>
      </c>
      <c r="G8" s="44" t="s">
        <v>472</v>
      </c>
      <c r="H8" s="52" t="str">
        <f t="shared" si="1"/>
        <v>[if 6174][6174][/if 6174]</v>
      </c>
    </row>
    <row r="9">
      <c r="A9" s="51" t="s">
        <v>106</v>
      </c>
      <c r="B9" s="51" t="s">
        <v>485</v>
      </c>
      <c r="C9" s="51" t="s">
        <v>485</v>
      </c>
      <c r="D9" s="51" t="s">
        <v>485</v>
      </c>
      <c r="E9" s="44" t="s">
        <v>470</v>
      </c>
      <c r="F9" s="44" t="s">
        <v>471</v>
      </c>
      <c r="G9" s="44" t="s">
        <v>472</v>
      </c>
      <c r="H9" s="52" t="str">
        <f t="shared" si="1"/>
        <v>[if 6175][6175][/if 6175]</v>
      </c>
    </row>
    <row r="10">
      <c r="A10" s="51" t="s">
        <v>486</v>
      </c>
      <c r="B10" s="51" t="s">
        <v>487</v>
      </c>
      <c r="C10" s="51" t="s">
        <v>487</v>
      </c>
      <c r="D10" s="51" t="s">
        <v>487</v>
      </c>
      <c r="E10" s="44" t="s">
        <v>470</v>
      </c>
      <c r="F10" s="44" t="s">
        <v>471</v>
      </c>
      <c r="G10" s="44" t="s">
        <v>472</v>
      </c>
      <c r="H10" s="52" t="str">
        <f t="shared" si="1"/>
        <v>[if 6176][6176][/if 6176]</v>
      </c>
    </row>
    <row r="11">
      <c r="A11" s="51" t="s">
        <v>488</v>
      </c>
      <c r="B11" s="51" t="s">
        <v>489</v>
      </c>
      <c r="C11" s="51" t="s">
        <v>489</v>
      </c>
      <c r="D11" s="51" t="s">
        <v>489</v>
      </c>
      <c r="E11" s="44" t="s">
        <v>470</v>
      </c>
      <c r="F11" s="44" t="s">
        <v>471</v>
      </c>
      <c r="G11" s="44" t="s">
        <v>472</v>
      </c>
      <c r="H11" s="52" t="str">
        <f t="shared" si="1"/>
        <v>[if 6177][6177][/if 6177]</v>
      </c>
    </row>
    <row r="12">
      <c r="A12" s="51" t="s">
        <v>139</v>
      </c>
      <c r="B12" s="51" t="s">
        <v>490</v>
      </c>
      <c r="C12" s="51" t="s">
        <v>490</v>
      </c>
      <c r="D12" s="51" t="s">
        <v>490</v>
      </c>
      <c r="E12" s="44" t="s">
        <v>470</v>
      </c>
      <c r="F12" s="44" t="s">
        <v>471</v>
      </c>
      <c r="G12" s="44" t="s">
        <v>472</v>
      </c>
      <c r="H12" s="52" t="str">
        <f t="shared" si="1"/>
        <v>[if 6178][6178][/if 6178]</v>
      </c>
    </row>
    <row r="13">
      <c r="A13" s="51" t="s">
        <v>133</v>
      </c>
      <c r="B13" s="51" t="s">
        <v>491</v>
      </c>
      <c r="C13" s="51" t="s">
        <v>491</v>
      </c>
      <c r="D13" s="51" t="s">
        <v>491</v>
      </c>
      <c r="E13" s="44" t="s">
        <v>470</v>
      </c>
      <c r="F13" s="44" t="s">
        <v>471</v>
      </c>
      <c r="G13" s="44" t="s">
        <v>472</v>
      </c>
      <c r="H13" s="52" t="str">
        <f t="shared" si="1"/>
        <v>[if 6179][6179][/if 6179]</v>
      </c>
    </row>
    <row r="14">
      <c r="A14" s="51" t="s">
        <v>492</v>
      </c>
      <c r="B14" s="51" t="s">
        <v>493</v>
      </c>
      <c r="C14" s="51" t="s">
        <v>493</v>
      </c>
      <c r="D14" s="51" t="s">
        <v>493</v>
      </c>
      <c r="E14" s="44" t="s">
        <v>470</v>
      </c>
      <c r="F14" s="44" t="s">
        <v>471</v>
      </c>
      <c r="G14" s="44" t="s">
        <v>472</v>
      </c>
      <c r="H14" s="52" t="str">
        <f t="shared" si="1"/>
        <v>[if 6180][6180][/if 6180]</v>
      </c>
    </row>
    <row r="15">
      <c r="A15" s="51" t="s">
        <v>494</v>
      </c>
      <c r="B15" s="51" t="s">
        <v>495</v>
      </c>
      <c r="C15" s="51" t="s">
        <v>495</v>
      </c>
      <c r="D15" s="51" t="s">
        <v>495</v>
      </c>
      <c r="E15" s="44" t="s">
        <v>470</v>
      </c>
      <c r="F15" s="44" t="s">
        <v>471</v>
      </c>
      <c r="G15" s="44" t="s">
        <v>472</v>
      </c>
      <c r="H15" s="52" t="str">
        <f t="shared" si="1"/>
        <v>[if 6181][6181][/if 6181]</v>
      </c>
    </row>
    <row r="16">
      <c r="A16" s="51" t="s">
        <v>496</v>
      </c>
      <c r="B16" s="51" t="s">
        <v>497</v>
      </c>
      <c r="C16" s="51" t="s">
        <v>497</v>
      </c>
      <c r="D16" s="51" t="s">
        <v>497</v>
      </c>
      <c r="E16" s="44" t="s">
        <v>470</v>
      </c>
      <c r="F16" s="44" t="s">
        <v>471</v>
      </c>
      <c r="G16" s="44" t="s">
        <v>472</v>
      </c>
      <c r="H16" s="52" t="str">
        <f t="shared" si="1"/>
        <v>[if 6183][6183][/if 6183]</v>
      </c>
    </row>
    <row r="17">
      <c r="A17" s="51" t="s">
        <v>498</v>
      </c>
      <c r="B17" s="51" t="s">
        <v>499</v>
      </c>
      <c r="C17" s="51" t="s">
        <v>499</v>
      </c>
      <c r="D17" s="51" t="s">
        <v>499</v>
      </c>
      <c r="E17" s="44" t="s">
        <v>470</v>
      </c>
      <c r="F17" s="44" t="s">
        <v>471</v>
      </c>
      <c r="G17" s="44" t="s">
        <v>472</v>
      </c>
      <c r="H17" s="52" t="str">
        <f t="shared" si="1"/>
        <v>[if 6186][6186][/if 6186]</v>
      </c>
    </row>
    <row r="18">
      <c r="A18" s="51" t="s">
        <v>500</v>
      </c>
      <c r="B18" s="51" t="s">
        <v>501</v>
      </c>
      <c r="C18" s="51" t="s">
        <v>501</v>
      </c>
      <c r="D18" s="51" t="s">
        <v>501</v>
      </c>
      <c r="E18" s="44" t="s">
        <v>470</v>
      </c>
      <c r="F18" s="44" t="s">
        <v>471</v>
      </c>
      <c r="G18" s="44" t="s">
        <v>472</v>
      </c>
      <c r="H18" s="52" t="str">
        <f t="shared" si="1"/>
        <v>[if 6187][6187][/if 6187]</v>
      </c>
    </row>
    <row r="19">
      <c r="A19" s="51" t="s">
        <v>502</v>
      </c>
      <c r="B19" s="51" t="s">
        <v>503</v>
      </c>
      <c r="C19" s="51" t="s">
        <v>503</v>
      </c>
      <c r="D19" s="51" t="s">
        <v>503</v>
      </c>
      <c r="E19" s="44" t="s">
        <v>470</v>
      </c>
      <c r="F19" s="44" t="s">
        <v>471</v>
      </c>
      <c r="G19" s="44" t="s">
        <v>472</v>
      </c>
      <c r="H19" s="52" t="str">
        <f t="shared" si="1"/>
        <v>[if 6188][6188][/if 6188]</v>
      </c>
    </row>
    <row r="20">
      <c r="A20" s="51" t="s">
        <v>504</v>
      </c>
      <c r="B20" s="51" t="s">
        <v>505</v>
      </c>
      <c r="C20" s="51" t="s">
        <v>505</v>
      </c>
      <c r="D20" s="51" t="s">
        <v>505</v>
      </c>
      <c r="E20" s="44" t="s">
        <v>470</v>
      </c>
      <c r="F20" s="44" t="s">
        <v>471</v>
      </c>
      <c r="G20" s="44" t="s">
        <v>472</v>
      </c>
      <c r="H20" s="52" t="str">
        <f t="shared" si="1"/>
        <v>[if 6189][6189][/if 6189]</v>
      </c>
    </row>
    <row r="21">
      <c r="A21" s="51" t="s">
        <v>506</v>
      </c>
      <c r="B21" s="51" t="s">
        <v>507</v>
      </c>
      <c r="C21" s="51" t="s">
        <v>507</v>
      </c>
      <c r="D21" s="51" t="s">
        <v>507</v>
      </c>
      <c r="E21" s="44" t="s">
        <v>470</v>
      </c>
      <c r="F21" s="44" t="s">
        <v>471</v>
      </c>
      <c r="G21" s="44" t="s">
        <v>472</v>
      </c>
      <c r="H21" s="52" t="str">
        <f t="shared" si="1"/>
        <v>[if 6190][6190][/if 6190]</v>
      </c>
    </row>
    <row r="22">
      <c r="A22" s="51" t="s">
        <v>508</v>
      </c>
      <c r="B22" s="51" t="s">
        <v>509</v>
      </c>
      <c r="C22" s="51" t="s">
        <v>509</v>
      </c>
      <c r="D22" s="51" t="s">
        <v>509</v>
      </c>
      <c r="E22" s="44" t="s">
        <v>470</v>
      </c>
      <c r="F22" s="44" t="s">
        <v>471</v>
      </c>
      <c r="G22" s="44" t="s">
        <v>472</v>
      </c>
      <c r="H22" s="52" t="str">
        <f t="shared" si="1"/>
        <v>[if 6191][6191][/if 6191]</v>
      </c>
    </row>
    <row r="23">
      <c r="A23" s="51" t="s">
        <v>510</v>
      </c>
      <c r="B23" s="51" t="s">
        <v>511</v>
      </c>
      <c r="C23" s="51" t="s">
        <v>511</v>
      </c>
      <c r="D23" s="51" t="s">
        <v>511</v>
      </c>
      <c r="E23" s="44" t="s">
        <v>470</v>
      </c>
      <c r="F23" s="44" t="s">
        <v>471</v>
      </c>
      <c r="G23" s="44" t="s">
        <v>472</v>
      </c>
      <c r="H23" s="52" t="str">
        <f t="shared" si="1"/>
        <v>[if 6192][6192][/if 6192]</v>
      </c>
    </row>
    <row r="24">
      <c r="A24" s="51" t="s">
        <v>512</v>
      </c>
      <c r="B24" s="51" t="s">
        <v>513</v>
      </c>
      <c r="C24" s="51" t="s">
        <v>513</v>
      </c>
      <c r="D24" s="51" t="s">
        <v>513</v>
      </c>
      <c r="E24" s="44" t="s">
        <v>470</v>
      </c>
      <c r="F24" s="44" t="s">
        <v>471</v>
      </c>
      <c r="G24" s="44" t="s">
        <v>472</v>
      </c>
      <c r="H24" s="52" t="str">
        <f t="shared" si="1"/>
        <v>[if 6195][6195][/if 6195]</v>
      </c>
    </row>
    <row r="25">
      <c r="A25" s="51" t="s">
        <v>514</v>
      </c>
      <c r="B25" s="51" t="s">
        <v>515</v>
      </c>
      <c r="C25" s="51" t="s">
        <v>515</v>
      </c>
      <c r="D25" s="51" t="s">
        <v>515</v>
      </c>
      <c r="E25" s="44" t="s">
        <v>470</v>
      </c>
      <c r="F25" s="44" t="s">
        <v>471</v>
      </c>
      <c r="G25" s="44" t="s">
        <v>472</v>
      </c>
      <c r="H25" s="52" t="str">
        <f t="shared" si="1"/>
        <v>[if 6196][6196][/if 6196]</v>
      </c>
    </row>
    <row r="26">
      <c r="A26" s="51" t="s">
        <v>516</v>
      </c>
      <c r="B26" s="51" t="s">
        <v>517</v>
      </c>
      <c r="C26" s="51" t="s">
        <v>517</v>
      </c>
      <c r="D26" s="51" t="s">
        <v>517</v>
      </c>
      <c r="E26" s="44" t="s">
        <v>470</v>
      </c>
      <c r="F26" s="44" t="s">
        <v>471</v>
      </c>
      <c r="G26" s="44" t="s">
        <v>472</v>
      </c>
      <c r="H26" s="52" t="str">
        <f t="shared" si="1"/>
        <v>[if 6197][6197][/if 6197]</v>
      </c>
    </row>
    <row r="27">
      <c r="A27" s="51" t="s">
        <v>518</v>
      </c>
      <c r="B27" s="51" t="s">
        <v>519</v>
      </c>
      <c r="C27" s="51" t="s">
        <v>519</v>
      </c>
      <c r="D27" s="51" t="s">
        <v>519</v>
      </c>
      <c r="E27" s="44" t="s">
        <v>470</v>
      </c>
      <c r="F27" s="44" t="s">
        <v>471</v>
      </c>
      <c r="G27" s="44" t="s">
        <v>472</v>
      </c>
      <c r="H27" s="52" t="str">
        <f t="shared" si="1"/>
        <v>[if 6199][6199][/if 6199]</v>
      </c>
    </row>
    <row r="28">
      <c r="A28" s="51" t="s">
        <v>520</v>
      </c>
      <c r="B28" s="51" t="s">
        <v>521</v>
      </c>
      <c r="C28" s="51" t="s">
        <v>521</v>
      </c>
      <c r="D28" s="51" t="s">
        <v>521</v>
      </c>
      <c r="E28" s="44" t="s">
        <v>470</v>
      </c>
      <c r="F28" s="44" t="s">
        <v>471</v>
      </c>
      <c r="G28" s="44" t="s">
        <v>472</v>
      </c>
      <c r="H28" s="52" t="str">
        <f t="shared" si="1"/>
        <v>[if 6201][6201][/if 6201]</v>
      </c>
    </row>
    <row r="29">
      <c r="A29" s="51" t="s">
        <v>522</v>
      </c>
      <c r="B29" s="51" t="s">
        <v>523</v>
      </c>
      <c r="C29" s="51" t="s">
        <v>523</v>
      </c>
      <c r="D29" s="51" t="s">
        <v>523</v>
      </c>
      <c r="E29" s="44" t="s">
        <v>470</v>
      </c>
      <c r="F29" s="44" t="s">
        <v>471</v>
      </c>
      <c r="G29" s="44" t="s">
        <v>472</v>
      </c>
      <c r="H29" s="52" t="str">
        <f t="shared" si="1"/>
        <v>[if 6202][6202][/if 6202]</v>
      </c>
    </row>
    <row r="30">
      <c r="A30" s="51" t="s">
        <v>524</v>
      </c>
      <c r="B30" s="51" t="s">
        <v>525</v>
      </c>
      <c r="C30" s="51" t="s">
        <v>525</v>
      </c>
      <c r="D30" s="51" t="s">
        <v>525</v>
      </c>
      <c r="E30" s="44" t="s">
        <v>470</v>
      </c>
      <c r="F30" s="44" t="s">
        <v>471</v>
      </c>
      <c r="G30" s="44" t="s">
        <v>472</v>
      </c>
      <c r="H30" s="52" t="str">
        <f t="shared" si="1"/>
        <v>[if 6203][6203][/if 6203]</v>
      </c>
    </row>
    <row r="31">
      <c r="A31" s="51" t="s">
        <v>526</v>
      </c>
      <c r="B31" s="51" t="s">
        <v>527</v>
      </c>
      <c r="C31" s="51" t="s">
        <v>527</v>
      </c>
      <c r="D31" s="51" t="s">
        <v>527</v>
      </c>
      <c r="E31" s="44" t="s">
        <v>470</v>
      </c>
      <c r="F31" s="44" t="s">
        <v>471</v>
      </c>
      <c r="G31" s="44" t="s">
        <v>472</v>
      </c>
      <c r="H31" s="52" t="str">
        <f t="shared" si="1"/>
        <v>[if 6205][6205][/if 6205]</v>
      </c>
    </row>
    <row r="32">
      <c r="A32" s="51" t="s">
        <v>528</v>
      </c>
      <c r="B32" s="51" t="s">
        <v>529</v>
      </c>
      <c r="C32" s="51" t="s">
        <v>529</v>
      </c>
      <c r="D32" s="51" t="s">
        <v>529</v>
      </c>
      <c r="E32" s="44" t="s">
        <v>470</v>
      </c>
      <c r="F32" s="44" t="s">
        <v>471</v>
      </c>
      <c r="G32" s="44" t="s">
        <v>472</v>
      </c>
      <c r="H32" s="52" t="str">
        <f t="shared" si="1"/>
        <v>[if 6206][6206][/if 6206]</v>
      </c>
    </row>
    <row r="33">
      <c r="A33" s="51" t="s">
        <v>530</v>
      </c>
      <c r="B33" s="51" t="s">
        <v>531</v>
      </c>
      <c r="C33" s="51" t="s">
        <v>531</v>
      </c>
      <c r="D33" s="51" t="s">
        <v>531</v>
      </c>
      <c r="E33" s="44" t="s">
        <v>470</v>
      </c>
      <c r="F33" s="44" t="s">
        <v>471</v>
      </c>
      <c r="G33" s="44" t="s">
        <v>472</v>
      </c>
      <c r="H33" s="52" t="str">
        <f t="shared" si="1"/>
        <v>[if 6209][6209][/if 6209]</v>
      </c>
    </row>
    <row r="34">
      <c r="A34" s="51" t="s">
        <v>532</v>
      </c>
      <c r="B34" s="51" t="s">
        <v>533</v>
      </c>
      <c r="C34" s="51" t="s">
        <v>533</v>
      </c>
      <c r="D34" s="51" t="s">
        <v>533</v>
      </c>
      <c r="E34" s="44" t="s">
        <v>470</v>
      </c>
      <c r="F34" s="44" t="s">
        <v>471</v>
      </c>
      <c r="G34" s="44" t="s">
        <v>472</v>
      </c>
      <c r="H34" s="52" t="str">
        <f t="shared" si="1"/>
        <v>[if 6213][6213][/if 6213]</v>
      </c>
    </row>
    <row r="35">
      <c r="A35" s="51" t="s">
        <v>534</v>
      </c>
      <c r="B35" s="51" t="s">
        <v>535</v>
      </c>
      <c r="C35" s="51" t="s">
        <v>535</v>
      </c>
      <c r="D35" s="51" t="s">
        <v>535</v>
      </c>
      <c r="E35" s="44" t="s">
        <v>470</v>
      </c>
      <c r="F35" s="44" t="s">
        <v>471</v>
      </c>
      <c r="G35" s="44" t="s">
        <v>472</v>
      </c>
      <c r="H35" s="52" t="str">
        <f t="shared" si="1"/>
        <v>[if 6214][6214][/if 6214]</v>
      </c>
    </row>
    <row r="36">
      <c r="A36" s="51" t="s">
        <v>536</v>
      </c>
      <c r="B36" s="51" t="s">
        <v>537</v>
      </c>
      <c r="C36" s="51" t="s">
        <v>537</v>
      </c>
      <c r="D36" s="51" t="s">
        <v>537</v>
      </c>
      <c r="E36" s="44" t="s">
        <v>470</v>
      </c>
      <c r="F36" s="44" t="s">
        <v>471</v>
      </c>
      <c r="G36" s="44" t="s">
        <v>472</v>
      </c>
      <c r="H36" s="52" t="str">
        <f t="shared" si="1"/>
        <v>[if 6217][6217][/if 6217]</v>
      </c>
    </row>
    <row r="37">
      <c r="A37" s="51" t="s">
        <v>538</v>
      </c>
      <c r="B37" s="51" t="s">
        <v>539</v>
      </c>
      <c r="C37" s="51" t="s">
        <v>539</v>
      </c>
      <c r="D37" s="51" t="s">
        <v>539</v>
      </c>
      <c r="E37" s="44" t="s">
        <v>470</v>
      </c>
      <c r="F37" s="44" t="s">
        <v>471</v>
      </c>
      <c r="G37" s="44" t="s">
        <v>472</v>
      </c>
      <c r="H37" s="52" t="str">
        <f t="shared" si="1"/>
        <v>[if 6218][6218][/if 6218]</v>
      </c>
    </row>
    <row r="38">
      <c r="A38" s="51" t="s">
        <v>540</v>
      </c>
      <c r="B38" s="51" t="s">
        <v>541</v>
      </c>
      <c r="C38" s="51" t="s">
        <v>541</v>
      </c>
      <c r="D38" s="51" t="s">
        <v>541</v>
      </c>
      <c r="E38" s="44" t="s">
        <v>470</v>
      </c>
      <c r="F38" s="44" t="s">
        <v>471</v>
      </c>
      <c r="G38" s="44" t="s">
        <v>472</v>
      </c>
      <c r="H38" s="52" t="str">
        <f t="shared" si="1"/>
        <v>[if 6220][6220][/if 6220]</v>
      </c>
    </row>
    <row r="39">
      <c r="A39" s="51" t="s">
        <v>542</v>
      </c>
      <c r="B39" s="51" t="s">
        <v>543</v>
      </c>
      <c r="C39" s="51" t="s">
        <v>543</v>
      </c>
      <c r="D39" s="51" t="s">
        <v>543</v>
      </c>
      <c r="E39" s="44" t="s">
        <v>470</v>
      </c>
      <c r="F39" s="44" t="s">
        <v>471</v>
      </c>
      <c r="G39" s="44" t="s">
        <v>472</v>
      </c>
      <c r="H39" s="52" t="str">
        <f t="shared" si="1"/>
        <v>[if 6221][6221][/if 6221]</v>
      </c>
    </row>
    <row r="40">
      <c r="A40" s="51" t="s">
        <v>287</v>
      </c>
      <c r="B40" s="51" t="s">
        <v>544</v>
      </c>
      <c r="C40" s="51" t="s">
        <v>544</v>
      </c>
      <c r="D40" s="51" t="s">
        <v>544</v>
      </c>
      <c r="E40" s="44" t="s">
        <v>470</v>
      </c>
      <c r="F40" s="44" t="s">
        <v>471</v>
      </c>
      <c r="G40" s="44" t="s">
        <v>472</v>
      </c>
      <c r="H40" s="52" t="str">
        <f t="shared" si="1"/>
        <v>[if 6222][6222][/if 6222]</v>
      </c>
    </row>
    <row r="41">
      <c r="A41" s="51" t="s">
        <v>545</v>
      </c>
      <c r="B41" s="51" t="s">
        <v>546</v>
      </c>
      <c r="C41" s="51" t="s">
        <v>546</v>
      </c>
      <c r="D41" s="51" t="s">
        <v>546</v>
      </c>
      <c r="E41" s="44" t="s">
        <v>470</v>
      </c>
      <c r="F41" s="44" t="s">
        <v>471</v>
      </c>
      <c r="G41" s="44" t="s">
        <v>472</v>
      </c>
      <c r="H41" s="52" t="str">
        <f t="shared" si="1"/>
        <v>[if 6223][6223][/if 6223]</v>
      </c>
    </row>
    <row r="42">
      <c r="A42" s="51" t="s">
        <v>229</v>
      </c>
      <c r="B42" s="51" t="s">
        <v>547</v>
      </c>
      <c r="C42" s="51" t="s">
        <v>547</v>
      </c>
      <c r="D42" s="51" t="s">
        <v>547</v>
      </c>
      <c r="E42" s="44" t="s">
        <v>470</v>
      </c>
      <c r="F42" s="44" t="s">
        <v>471</v>
      </c>
      <c r="G42" s="44" t="s">
        <v>472</v>
      </c>
      <c r="H42" s="52" t="str">
        <f t="shared" si="1"/>
        <v>[if 6224][6224][/if 6224]</v>
      </c>
    </row>
    <row r="43">
      <c r="A43" s="51" t="s">
        <v>548</v>
      </c>
      <c r="B43" s="51" t="s">
        <v>549</v>
      </c>
      <c r="C43" s="51" t="s">
        <v>549</v>
      </c>
      <c r="D43" s="51" t="s">
        <v>549</v>
      </c>
      <c r="E43" s="44" t="s">
        <v>470</v>
      </c>
      <c r="F43" s="44" t="s">
        <v>471</v>
      </c>
      <c r="G43" s="44" t="s">
        <v>472</v>
      </c>
      <c r="H43" s="52" t="str">
        <f t="shared" si="1"/>
        <v>[if 6225][6225][/if 6225]</v>
      </c>
    </row>
    <row r="44">
      <c r="A44" s="51" t="s">
        <v>550</v>
      </c>
      <c r="B44" s="51" t="s">
        <v>551</v>
      </c>
      <c r="C44" s="51" t="s">
        <v>551</v>
      </c>
      <c r="D44" s="51" t="s">
        <v>551</v>
      </c>
      <c r="E44" s="44" t="s">
        <v>470</v>
      </c>
      <c r="F44" s="44" t="s">
        <v>471</v>
      </c>
      <c r="G44" s="44" t="s">
        <v>472</v>
      </c>
      <c r="H44" s="52" t="str">
        <f t="shared" si="1"/>
        <v>[if 6226][6226][/if 6226]</v>
      </c>
    </row>
    <row r="45">
      <c r="A45" s="51" t="s">
        <v>552</v>
      </c>
      <c r="B45" s="51" t="s">
        <v>553</v>
      </c>
      <c r="C45" s="51" t="s">
        <v>553</v>
      </c>
      <c r="D45" s="51" t="s">
        <v>553</v>
      </c>
      <c r="E45" s="44" t="s">
        <v>470</v>
      </c>
      <c r="F45" s="44" t="s">
        <v>471</v>
      </c>
      <c r="G45" s="44" t="s">
        <v>472</v>
      </c>
      <c r="H45" s="52" t="str">
        <f t="shared" si="1"/>
        <v>[if 6228][6228][/if 6228]</v>
      </c>
    </row>
    <row r="46">
      <c r="A46" s="51" t="s">
        <v>554</v>
      </c>
      <c r="B46" s="51" t="s">
        <v>555</v>
      </c>
      <c r="C46" s="51" t="s">
        <v>555</v>
      </c>
      <c r="D46" s="51" t="s">
        <v>555</v>
      </c>
      <c r="E46" s="44" t="s">
        <v>470</v>
      </c>
      <c r="F46" s="44" t="s">
        <v>471</v>
      </c>
      <c r="G46" s="44" t="s">
        <v>472</v>
      </c>
      <c r="H46" s="52" t="str">
        <f t="shared" si="1"/>
        <v>[if 6229][6229][/if 6229]</v>
      </c>
    </row>
    <row r="47">
      <c r="A47" s="51" t="s">
        <v>556</v>
      </c>
      <c r="B47" s="51" t="s">
        <v>557</v>
      </c>
      <c r="C47" s="51" t="s">
        <v>557</v>
      </c>
      <c r="D47" s="51" t="s">
        <v>557</v>
      </c>
      <c r="E47" s="44" t="s">
        <v>470</v>
      </c>
      <c r="F47" s="44" t="s">
        <v>471</v>
      </c>
      <c r="G47" s="44" t="s">
        <v>472</v>
      </c>
      <c r="H47" s="52" t="str">
        <f t="shared" si="1"/>
        <v>[if 6233][6233][/if 6233]</v>
      </c>
    </row>
    <row r="48">
      <c r="A48" s="51" t="s">
        <v>558</v>
      </c>
      <c r="B48" s="51" t="s">
        <v>559</v>
      </c>
      <c r="C48" s="51" t="s">
        <v>559</v>
      </c>
      <c r="D48" s="51" t="s">
        <v>559</v>
      </c>
      <c r="E48" s="44" t="s">
        <v>470</v>
      </c>
      <c r="F48" s="44" t="s">
        <v>471</v>
      </c>
      <c r="G48" s="44" t="s">
        <v>472</v>
      </c>
      <c r="H48" s="52" t="str">
        <f t="shared" si="1"/>
        <v>[if 6235][6235][/if 6235]</v>
      </c>
    </row>
    <row r="49">
      <c r="A49" s="51" t="s">
        <v>560</v>
      </c>
      <c r="B49" s="51" t="s">
        <v>561</v>
      </c>
      <c r="C49" s="51" t="s">
        <v>561</v>
      </c>
      <c r="D49" s="51" t="s">
        <v>561</v>
      </c>
      <c r="E49" s="44" t="s">
        <v>470</v>
      </c>
      <c r="F49" s="44" t="s">
        <v>471</v>
      </c>
      <c r="G49" s="44" t="s">
        <v>472</v>
      </c>
      <c r="H49" s="52" t="str">
        <f t="shared" si="1"/>
        <v>[if 6238][6238][/if 6238]</v>
      </c>
    </row>
    <row r="50">
      <c r="A50" s="51" t="s">
        <v>562</v>
      </c>
      <c r="B50" s="51" t="s">
        <v>563</v>
      </c>
      <c r="C50" s="51" t="s">
        <v>563</v>
      </c>
      <c r="D50" s="51" t="s">
        <v>563</v>
      </c>
      <c r="E50" s="44" t="s">
        <v>470</v>
      </c>
      <c r="F50" s="44" t="s">
        <v>471</v>
      </c>
      <c r="G50" s="44" t="s">
        <v>472</v>
      </c>
      <c r="H50" s="52" t="str">
        <f t="shared" si="1"/>
        <v>[if 6239][6239][/if 6239]</v>
      </c>
    </row>
    <row r="51">
      <c r="A51" s="51" t="s">
        <v>564</v>
      </c>
      <c r="B51" s="51" t="s">
        <v>565</v>
      </c>
      <c r="C51" s="51" t="s">
        <v>565</v>
      </c>
      <c r="D51" s="51" t="s">
        <v>565</v>
      </c>
      <c r="E51" s="44" t="s">
        <v>470</v>
      </c>
      <c r="F51" s="44" t="s">
        <v>471</v>
      </c>
      <c r="G51" s="44" t="s">
        <v>472</v>
      </c>
      <c r="H51" s="52" t="str">
        <f t="shared" si="1"/>
        <v>[if 6241][6241][/if 6241]</v>
      </c>
    </row>
    <row r="52">
      <c r="A52" s="51" t="s">
        <v>566</v>
      </c>
      <c r="B52" s="51" t="s">
        <v>567</v>
      </c>
      <c r="C52" s="51" t="s">
        <v>567</v>
      </c>
      <c r="D52" s="51" t="s">
        <v>567</v>
      </c>
      <c r="E52" s="44" t="s">
        <v>470</v>
      </c>
      <c r="F52" s="44" t="s">
        <v>471</v>
      </c>
      <c r="G52" s="44" t="s">
        <v>472</v>
      </c>
      <c r="H52" s="52" t="str">
        <f t="shared" si="1"/>
        <v>[if 6242][6242][/if 6242]</v>
      </c>
    </row>
    <row r="53">
      <c r="A53" s="51" t="s">
        <v>568</v>
      </c>
      <c r="B53" s="51" t="s">
        <v>569</v>
      </c>
      <c r="C53" s="51" t="s">
        <v>569</v>
      </c>
      <c r="D53" s="51" t="s">
        <v>569</v>
      </c>
      <c r="E53" s="44" t="s">
        <v>470</v>
      </c>
      <c r="F53" s="44" t="s">
        <v>471</v>
      </c>
      <c r="G53" s="44" t="s">
        <v>472</v>
      </c>
      <c r="H53" s="52" t="str">
        <f t="shared" si="1"/>
        <v>[if 6244][6244][/if 6244]</v>
      </c>
    </row>
    <row r="54">
      <c r="A54" s="51" t="s">
        <v>570</v>
      </c>
      <c r="B54" s="51" t="s">
        <v>571</v>
      </c>
      <c r="C54" s="51" t="s">
        <v>571</v>
      </c>
      <c r="D54" s="51" t="s">
        <v>571</v>
      </c>
      <c r="E54" s="44" t="s">
        <v>470</v>
      </c>
      <c r="F54" s="44" t="s">
        <v>471</v>
      </c>
      <c r="G54" s="44" t="s">
        <v>472</v>
      </c>
      <c r="H54" s="52" t="str">
        <f t="shared" si="1"/>
        <v>[if 6247][6247][/if 6247]</v>
      </c>
    </row>
    <row r="55">
      <c r="A55" s="51" t="s">
        <v>572</v>
      </c>
      <c r="B55" s="51" t="s">
        <v>573</v>
      </c>
      <c r="C55" s="51" t="s">
        <v>573</v>
      </c>
      <c r="D55" s="51" t="s">
        <v>573</v>
      </c>
      <c r="E55" s="44" t="s">
        <v>470</v>
      </c>
      <c r="F55" s="44" t="s">
        <v>471</v>
      </c>
      <c r="G55" s="44" t="s">
        <v>472</v>
      </c>
      <c r="H55" s="52" t="str">
        <f t="shared" si="1"/>
        <v>[if 6248][6248][/if 6248]</v>
      </c>
    </row>
    <row r="56">
      <c r="A56" s="51" t="s">
        <v>574</v>
      </c>
      <c r="B56" s="51" t="s">
        <v>575</v>
      </c>
      <c r="C56" s="51" t="s">
        <v>575</v>
      </c>
      <c r="D56" s="51" t="s">
        <v>575</v>
      </c>
      <c r="E56" s="44" t="s">
        <v>470</v>
      </c>
      <c r="F56" s="44" t="s">
        <v>471</v>
      </c>
      <c r="G56" s="44" t="s">
        <v>472</v>
      </c>
      <c r="H56" s="52" t="str">
        <f t="shared" si="1"/>
        <v>[if 6251][6251][/if 6251]</v>
      </c>
    </row>
    <row r="57">
      <c r="A57" s="51" t="s">
        <v>576</v>
      </c>
      <c r="B57" s="51" t="s">
        <v>577</v>
      </c>
      <c r="C57" s="51" t="s">
        <v>577</v>
      </c>
      <c r="D57" s="51" t="s">
        <v>577</v>
      </c>
      <c r="E57" s="44" t="s">
        <v>470</v>
      </c>
      <c r="F57" s="44" t="s">
        <v>471</v>
      </c>
      <c r="G57" s="44" t="s">
        <v>472</v>
      </c>
      <c r="H57" s="52" t="str">
        <f t="shared" si="1"/>
        <v>[if 6253][6253][/if 6253]</v>
      </c>
    </row>
    <row r="58">
      <c r="A58" s="51" t="s">
        <v>578</v>
      </c>
      <c r="B58" s="51" t="s">
        <v>579</v>
      </c>
      <c r="C58" s="51" t="s">
        <v>579</v>
      </c>
      <c r="D58" s="51" t="s">
        <v>579</v>
      </c>
      <c r="E58" s="44" t="s">
        <v>470</v>
      </c>
      <c r="F58" s="44" t="s">
        <v>471</v>
      </c>
      <c r="G58" s="44" t="s">
        <v>472</v>
      </c>
      <c r="H58" s="52" t="str">
        <f t="shared" si="1"/>
        <v>[if 6254][6254][/if 6254]</v>
      </c>
    </row>
    <row r="59">
      <c r="A59" s="51" t="s">
        <v>580</v>
      </c>
      <c r="B59" s="51" t="s">
        <v>581</v>
      </c>
      <c r="C59" s="51" t="s">
        <v>581</v>
      </c>
      <c r="D59" s="51" t="s">
        <v>581</v>
      </c>
      <c r="E59" s="44" t="s">
        <v>470</v>
      </c>
      <c r="F59" s="44" t="s">
        <v>471</v>
      </c>
      <c r="G59" s="44" t="s">
        <v>472</v>
      </c>
      <c r="H59" s="52" t="str">
        <f t="shared" si="1"/>
        <v>[if 6256][6256][/if 6256]</v>
      </c>
    </row>
    <row r="60">
      <c r="A60" s="51" t="s">
        <v>582</v>
      </c>
      <c r="B60" s="51" t="s">
        <v>583</v>
      </c>
      <c r="C60" s="51" t="s">
        <v>583</v>
      </c>
      <c r="D60" s="51" t="s">
        <v>583</v>
      </c>
      <c r="E60" s="44" t="s">
        <v>470</v>
      </c>
      <c r="F60" s="44" t="s">
        <v>471</v>
      </c>
      <c r="G60" s="44" t="s">
        <v>472</v>
      </c>
      <c r="H60" s="52" t="str">
        <f t="shared" si="1"/>
        <v>[if 6259][6259][/if 6259]</v>
      </c>
    </row>
    <row r="61">
      <c r="A61" s="51" t="s">
        <v>572</v>
      </c>
      <c r="B61" s="51" t="s">
        <v>584</v>
      </c>
      <c r="C61" s="51" t="s">
        <v>584</v>
      </c>
      <c r="D61" s="51" t="s">
        <v>584</v>
      </c>
      <c r="E61" s="44" t="s">
        <v>470</v>
      </c>
      <c r="F61" s="44" t="s">
        <v>471</v>
      </c>
      <c r="G61" s="44" t="s">
        <v>472</v>
      </c>
      <c r="H61" s="52" t="str">
        <f t="shared" si="1"/>
        <v>[if 6260][6260][/if 6260]</v>
      </c>
    </row>
    <row r="62">
      <c r="A62" s="51" t="s">
        <v>585</v>
      </c>
      <c r="B62" s="51" t="s">
        <v>586</v>
      </c>
      <c r="C62" s="51" t="s">
        <v>586</v>
      </c>
      <c r="D62" s="51" t="s">
        <v>586</v>
      </c>
      <c r="E62" s="44" t="s">
        <v>470</v>
      </c>
      <c r="F62" s="44" t="s">
        <v>471</v>
      </c>
      <c r="G62" s="44" t="s">
        <v>472</v>
      </c>
      <c r="H62" s="52" t="str">
        <f t="shared" si="1"/>
        <v>[if 6263][6263][/if 6263]</v>
      </c>
    </row>
    <row r="63">
      <c r="A63" s="51" t="s">
        <v>572</v>
      </c>
      <c r="B63" s="51" t="s">
        <v>587</v>
      </c>
      <c r="C63" s="51" t="s">
        <v>587</v>
      </c>
      <c r="D63" s="51" t="s">
        <v>587</v>
      </c>
      <c r="E63" s="44" t="s">
        <v>470</v>
      </c>
      <c r="F63" s="44" t="s">
        <v>471</v>
      </c>
      <c r="G63" s="44" t="s">
        <v>472</v>
      </c>
      <c r="H63" s="52" t="str">
        <f t="shared" si="1"/>
        <v>[if 6264][6264][/if 6264]</v>
      </c>
    </row>
    <row r="64">
      <c r="A64" s="51" t="s">
        <v>588</v>
      </c>
      <c r="B64" s="51" t="s">
        <v>589</v>
      </c>
      <c r="C64" s="51" t="s">
        <v>589</v>
      </c>
      <c r="D64" s="51" t="s">
        <v>589</v>
      </c>
      <c r="E64" s="44" t="s">
        <v>470</v>
      </c>
      <c r="F64" s="44" t="s">
        <v>471</v>
      </c>
      <c r="G64" s="44" t="s">
        <v>472</v>
      </c>
      <c r="H64" s="52" t="str">
        <f t="shared" si="1"/>
        <v>[if 6267][6267][/if 6267]</v>
      </c>
    </row>
    <row r="65">
      <c r="A65" s="51" t="s">
        <v>590</v>
      </c>
      <c r="B65" s="51" t="s">
        <v>591</v>
      </c>
      <c r="C65" s="51" t="s">
        <v>591</v>
      </c>
      <c r="D65" s="51" t="s">
        <v>591</v>
      </c>
      <c r="E65" s="44" t="s">
        <v>470</v>
      </c>
      <c r="F65" s="44" t="s">
        <v>471</v>
      </c>
      <c r="G65" s="44" t="s">
        <v>472</v>
      </c>
      <c r="H65" s="52" t="str">
        <f t="shared" si="1"/>
        <v>[if 6270][6270][/if 6270]</v>
      </c>
    </row>
    <row r="66">
      <c r="A66" s="51" t="s">
        <v>592</v>
      </c>
      <c r="B66" s="51" t="s">
        <v>593</v>
      </c>
      <c r="C66" s="51" t="s">
        <v>593</v>
      </c>
      <c r="D66" s="51" t="s">
        <v>593</v>
      </c>
      <c r="E66" s="44" t="s">
        <v>470</v>
      </c>
      <c r="F66" s="44" t="s">
        <v>471</v>
      </c>
      <c r="G66" s="44" t="s">
        <v>472</v>
      </c>
      <c r="H66" s="52" t="str">
        <f t="shared" si="1"/>
        <v>[if 6272][6272][/if 6272]</v>
      </c>
    </row>
    <row r="67">
      <c r="A67" s="51" t="s">
        <v>594</v>
      </c>
      <c r="B67" s="51" t="s">
        <v>595</v>
      </c>
      <c r="C67" s="51" t="s">
        <v>595</v>
      </c>
      <c r="D67" s="51" t="s">
        <v>595</v>
      </c>
      <c r="E67" s="44" t="s">
        <v>470</v>
      </c>
      <c r="F67" s="44" t="s">
        <v>471</v>
      </c>
      <c r="G67" s="44" t="s">
        <v>472</v>
      </c>
      <c r="H67" s="52" t="str">
        <f t="shared" si="1"/>
        <v>[if 6273][6273][/if 6273]</v>
      </c>
    </row>
    <row r="68">
      <c r="A68" s="51" t="s">
        <v>596</v>
      </c>
      <c r="B68" s="51" t="s">
        <v>597</v>
      </c>
      <c r="C68" s="51" t="s">
        <v>597</v>
      </c>
      <c r="D68" s="51" t="s">
        <v>597</v>
      </c>
      <c r="E68" s="44" t="s">
        <v>470</v>
      </c>
      <c r="F68" s="44" t="s">
        <v>471</v>
      </c>
      <c r="G68" s="44" t="s">
        <v>472</v>
      </c>
      <c r="H68" s="52" t="str">
        <f t="shared" si="1"/>
        <v>[if 6274][6274][/if 6274]</v>
      </c>
    </row>
    <row r="69">
      <c r="A69" s="51" t="s">
        <v>598</v>
      </c>
      <c r="B69" s="51" t="s">
        <v>599</v>
      </c>
      <c r="C69" s="51" t="s">
        <v>599</v>
      </c>
      <c r="D69" s="51" t="s">
        <v>599</v>
      </c>
      <c r="E69" s="44" t="s">
        <v>470</v>
      </c>
      <c r="F69" s="44" t="s">
        <v>471</v>
      </c>
      <c r="G69" s="44" t="s">
        <v>472</v>
      </c>
      <c r="H69" s="52" t="str">
        <f t="shared" si="1"/>
        <v>[if 6275][6275][/if 6275]</v>
      </c>
    </row>
    <row r="70">
      <c r="A70" s="51" t="s">
        <v>600</v>
      </c>
      <c r="B70" s="51" t="s">
        <v>601</v>
      </c>
      <c r="C70" s="51" t="s">
        <v>601</v>
      </c>
      <c r="D70" s="51" t="s">
        <v>601</v>
      </c>
      <c r="E70" s="44" t="s">
        <v>470</v>
      </c>
      <c r="F70" s="44" t="s">
        <v>471</v>
      </c>
      <c r="G70" s="44" t="s">
        <v>472</v>
      </c>
      <c r="H70" s="52" t="str">
        <f t="shared" si="1"/>
        <v>[if 6276][6276][/if 6276]</v>
      </c>
    </row>
    <row r="71">
      <c r="A71" s="51" t="s">
        <v>602</v>
      </c>
      <c r="B71" s="51" t="s">
        <v>603</v>
      </c>
      <c r="C71" s="51" t="s">
        <v>603</v>
      </c>
      <c r="D71" s="51" t="s">
        <v>603</v>
      </c>
      <c r="E71" s="44" t="s">
        <v>470</v>
      </c>
      <c r="F71" s="44" t="s">
        <v>471</v>
      </c>
      <c r="G71" s="44" t="s">
        <v>472</v>
      </c>
      <c r="H71" s="52" t="str">
        <f t="shared" si="1"/>
        <v>[if 6278][6278][/if 6278]</v>
      </c>
    </row>
    <row r="72">
      <c r="A72" s="51" t="s">
        <v>604</v>
      </c>
      <c r="B72" s="51" t="s">
        <v>605</v>
      </c>
      <c r="C72" s="51" t="s">
        <v>605</v>
      </c>
      <c r="D72" s="51" t="s">
        <v>605</v>
      </c>
      <c r="E72" s="44" t="s">
        <v>470</v>
      </c>
      <c r="F72" s="44" t="s">
        <v>471</v>
      </c>
      <c r="G72" s="44" t="s">
        <v>472</v>
      </c>
      <c r="H72" s="52" t="str">
        <f t="shared" si="1"/>
        <v>[if 6280][6280][/if 6280]</v>
      </c>
    </row>
    <row r="73">
      <c r="A73" s="51" t="s">
        <v>606</v>
      </c>
      <c r="B73" s="51" t="s">
        <v>607</v>
      </c>
      <c r="C73" s="51" t="s">
        <v>607</v>
      </c>
      <c r="D73" s="51" t="s">
        <v>607</v>
      </c>
      <c r="E73" s="44" t="s">
        <v>470</v>
      </c>
      <c r="F73" s="44" t="s">
        <v>471</v>
      </c>
      <c r="G73" s="44" t="s">
        <v>472</v>
      </c>
      <c r="H73" s="52" t="str">
        <f t="shared" si="1"/>
        <v>[if 6391][6391][/if 6391]</v>
      </c>
    </row>
    <row r="74">
      <c r="A74" s="51" t="s">
        <v>608</v>
      </c>
      <c r="B74" s="51" t="s">
        <v>609</v>
      </c>
      <c r="C74" s="51" t="s">
        <v>609</v>
      </c>
      <c r="D74" s="51" t="s">
        <v>609</v>
      </c>
      <c r="E74" s="44" t="s">
        <v>470</v>
      </c>
      <c r="F74" s="44" t="s">
        <v>471</v>
      </c>
      <c r="G74" s="44" t="s">
        <v>472</v>
      </c>
      <c r="H74" s="52" t="str">
        <f t="shared" si="1"/>
        <v>[if 6281][6281][/if 6281]</v>
      </c>
    </row>
    <row r="75">
      <c r="A75" s="51" t="s">
        <v>610</v>
      </c>
      <c r="B75" s="51" t="s">
        <v>611</v>
      </c>
      <c r="C75" s="51" t="s">
        <v>611</v>
      </c>
      <c r="D75" s="51" t="s">
        <v>611</v>
      </c>
      <c r="E75" s="44" t="s">
        <v>470</v>
      </c>
      <c r="F75" s="44" t="s">
        <v>471</v>
      </c>
      <c r="G75" s="44" t="s">
        <v>472</v>
      </c>
      <c r="H75" s="52" t="str">
        <f t="shared" si="1"/>
        <v>[if 6284][6284][/if 6284]</v>
      </c>
    </row>
    <row r="76">
      <c r="A76" s="51" t="s">
        <v>612</v>
      </c>
      <c r="B76" s="51" t="s">
        <v>613</v>
      </c>
      <c r="C76" s="51" t="s">
        <v>613</v>
      </c>
      <c r="D76" s="51" t="s">
        <v>613</v>
      </c>
      <c r="E76" s="44" t="s">
        <v>470</v>
      </c>
      <c r="F76" s="44" t="s">
        <v>471</v>
      </c>
      <c r="G76" s="44" t="s">
        <v>472</v>
      </c>
      <c r="H76" s="52" t="str">
        <f t="shared" si="1"/>
        <v>[if 6285][6285][/if 6285]</v>
      </c>
    </row>
    <row r="77">
      <c r="A77" s="51" t="s">
        <v>614</v>
      </c>
      <c r="B77" s="51" t="s">
        <v>615</v>
      </c>
      <c r="C77" s="51" t="s">
        <v>615</v>
      </c>
      <c r="D77" s="51" t="s">
        <v>615</v>
      </c>
      <c r="E77" s="44" t="s">
        <v>470</v>
      </c>
      <c r="F77" s="44" t="s">
        <v>471</v>
      </c>
      <c r="G77" s="44" t="s">
        <v>472</v>
      </c>
      <c r="H77" s="52" t="str">
        <f t="shared" si="1"/>
        <v>[if 6286][6286][/if 6286]</v>
      </c>
    </row>
    <row r="78">
      <c r="A78" s="51" t="s">
        <v>616</v>
      </c>
      <c r="B78" s="51" t="s">
        <v>617</v>
      </c>
      <c r="C78" s="51" t="s">
        <v>617</v>
      </c>
      <c r="D78" s="51" t="s">
        <v>617</v>
      </c>
      <c r="E78" s="44" t="s">
        <v>470</v>
      </c>
      <c r="F78" s="44" t="s">
        <v>471</v>
      </c>
      <c r="G78" s="44" t="s">
        <v>472</v>
      </c>
      <c r="H78" s="52" t="str">
        <f t="shared" si="1"/>
        <v>[if 6289][6289][/if 6289]</v>
      </c>
    </row>
    <row r="79">
      <c r="A79" s="51" t="s">
        <v>618</v>
      </c>
      <c r="B79" s="51" t="s">
        <v>619</v>
      </c>
      <c r="C79" s="51" t="s">
        <v>619</v>
      </c>
      <c r="D79" s="51" t="s">
        <v>619</v>
      </c>
      <c r="E79" s="44" t="s">
        <v>470</v>
      </c>
      <c r="F79" s="44" t="s">
        <v>471</v>
      </c>
      <c r="G79" s="44" t="s">
        <v>472</v>
      </c>
      <c r="H79" s="52" t="str">
        <f t="shared" si="1"/>
        <v>[if 6292][6292][/if 6292]</v>
      </c>
    </row>
    <row r="80">
      <c r="A80" s="51" t="s">
        <v>620</v>
      </c>
      <c r="B80" s="51" t="s">
        <v>621</v>
      </c>
      <c r="C80" s="51" t="s">
        <v>621</v>
      </c>
      <c r="D80" s="51" t="s">
        <v>621</v>
      </c>
      <c r="E80" s="44" t="s">
        <v>470</v>
      </c>
      <c r="F80" s="44" t="s">
        <v>471</v>
      </c>
      <c r="G80" s="44" t="s">
        <v>472</v>
      </c>
      <c r="H80" s="52" t="str">
        <f t="shared" si="1"/>
        <v>[if 6295][6295][/if 6295]</v>
      </c>
    </row>
    <row r="81">
      <c r="A81" s="51" t="s">
        <v>622</v>
      </c>
      <c r="B81" s="51" t="s">
        <v>623</v>
      </c>
      <c r="C81" s="51" t="s">
        <v>623</v>
      </c>
      <c r="D81" s="51" t="s">
        <v>623</v>
      </c>
      <c r="E81" s="44" t="s">
        <v>470</v>
      </c>
      <c r="F81" s="44" t="s">
        <v>471</v>
      </c>
      <c r="G81" s="44" t="s">
        <v>472</v>
      </c>
      <c r="H81" s="52" t="str">
        <f t="shared" si="1"/>
        <v>[if 6299][6299][/if 6299]</v>
      </c>
    </row>
    <row r="82">
      <c r="A82" s="51" t="s">
        <v>624</v>
      </c>
      <c r="B82" s="51" t="s">
        <v>625</v>
      </c>
      <c r="C82" s="51" t="s">
        <v>625</v>
      </c>
      <c r="D82" s="51" t="s">
        <v>625</v>
      </c>
      <c r="E82" s="44" t="s">
        <v>470</v>
      </c>
      <c r="F82" s="44" t="s">
        <v>471</v>
      </c>
      <c r="G82" s="44" t="s">
        <v>472</v>
      </c>
      <c r="H82" s="52" t="str">
        <f t="shared" si="1"/>
        <v>[if 6300][6300][/if 6300]</v>
      </c>
    </row>
    <row r="83">
      <c r="A83" s="51" t="s">
        <v>294</v>
      </c>
      <c r="B83" s="51" t="s">
        <v>626</v>
      </c>
      <c r="C83" s="51" t="s">
        <v>626</v>
      </c>
      <c r="D83" s="51" t="s">
        <v>626</v>
      </c>
      <c r="E83" s="44" t="s">
        <v>470</v>
      </c>
      <c r="F83" s="44" t="s">
        <v>471</v>
      </c>
      <c r="G83" s="44" t="s">
        <v>472</v>
      </c>
      <c r="H83" s="52" t="str">
        <f t="shared" si="1"/>
        <v>[if 6302][6302][/if 6302]</v>
      </c>
    </row>
    <row r="84">
      <c r="A84" s="51" t="s">
        <v>290</v>
      </c>
      <c r="B84" s="51" t="s">
        <v>627</v>
      </c>
      <c r="C84" s="51" t="s">
        <v>627</v>
      </c>
      <c r="D84" s="51" t="s">
        <v>627</v>
      </c>
      <c r="E84" s="44" t="s">
        <v>470</v>
      </c>
      <c r="F84" s="44" t="s">
        <v>471</v>
      </c>
      <c r="G84" s="44" t="s">
        <v>472</v>
      </c>
      <c r="H84" s="52" t="str">
        <f t="shared" si="1"/>
        <v>[if 6303][6303][/if 6303]</v>
      </c>
    </row>
    <row r="85">
      <c r="A85" s="51" t="s">
        <v>299</v>
      </c>
      <c r="B85" s="51" t="s">
        <v>628</v>
      </c>
      <c r="C85" s="51" t="s">
        <v>628</v>
      </c>
      <c r="D85" s="51" t="s">
        <v>628</v>
      </c>
      <c r="E85" s="44" t="s">
        <v>470</v>
      </c>
      <c r="F85" s="44" t="s">
        <v>471</v>
      </c>
      <c r="G85" s="44" t="s">
        <v>472</v>
      </c>
      <c r="H85" s="52" t="str">
        <f t="shared" si="1"/>
        <v>[if 6304][6304][/if 6304]</v>
      </c>
    </row>
    <row r="86">
      <c r="A86" s="51" t="s">
        <v>303</v>
      </c>
      <c r="B86" s="51" t="s">
        <v>629</v>
      </c>
      <c r="C86" s="51" t="s">
        <v>629</v>
      </c>
      <c r="D86" s="51" t="s">
        <v>629</v>
      </c>
      <c r="E86" s="44" t="s">
        <v>470</v>
      </c>
      <c r="F86" s="44" t="s">
        <v>471</v>
      </c>
      <c r="G86" s="44" t="s">
        <v>472</v>
      </c>
      <c r="H86" s="52" t="str">
        <f t="shared" si="1"/>
        <v>[if 6305][6305][/if 6305]</v>
      </c>
    </row>
    <row r="87">
      <c r="A87" s="51" t="s">
        <v>305</v>
      </c>
      <c r="B87" s="51" t="s">
        <v>630</v>
      </c>
      <c r="C87" s="51" t="s">
        <v>630</v>
      </c>
      <c r="D87" s="51" t="s">
        <v>630</v>
      </c>
      <c r="E87" s="44" t="s">
        <v>470</v>
      </c>
      <c r="F87" s="44" t="s">
        <v>471</v>
      </c>
      <c r="G87" s="44" t="s">
        <v>472</v>
      </c>
      <c r="H87" s="52" t="str">
        <f t="shared" si="1"/>
        <v>[if 6306][6306][/if 6306]</v>
      </c>
    </row>
    <row r="88">
      <c r="A88" s="51" t="s">
        <v>631</v>
      </c>
      <c r="B88" s="51" t="s">
        <v>632</v>
      </c>
      <c r="C88" s="51" t="s">
        <v>632</v>
      </c>
      <c r="D88" s="51" t="s">
        <v>632</v>
      </c>
      <c r="E88" s="44" t="s">
        <v>470</v>
      </c>
      <c r="F88" s="44" t="s">
        <v>471</v>
      </c>
      <c r="G88" s="44" t="s">
        <v>472</v>
      </c>
      <c r="H88" s="52" t="str">
        <f t="shared" si="1"/>
        <v>[if 6309][6309][/if 6309]</v>
      </c>
    </row>
    <row r="89">
      <c r="A89" s="51" t="s">
        <v>633</v>
      </c>
      <c r="B89" s="51" t="s">
        <v>634</v>
      </c>
      <c r="C89" s="51" t="s">
        <v>634</v>
      </c>
      <c r="D89" s="51" t="s">
        <v>634</v>
      </c>
      <c r="E89" s="44" t="s">
        <v>470</v>
      </c>
      <c r="F89" s="44" t="s">
        <v>471</v>
      </c>
      <c r="G89" s="44" t="s">
        <v>472</v>
      </c>
      <c r="H89" s="52" t="str">
        <f t="shared" si="1"/>
        <v>[if 6310][6310][/if 6310]</v>
      </c>
    </row>
    <row r="90">
      <c r="A90" s="51" t="s">
        <v>635</v>
      </c>
      <c r="B90" s="51" t="s">
        <v>636</v>
      </c>
      <c r="C90" s="51" t="s">
        <v>636</v>
      </c>
      <c r="D90" s="51" t="s">
        <v>636</v>
      </c>
      <c r="E90" s="44" t="s">
        <v>470</v>
      </c>
      <c r="F90" s="44" t="s">
        <v>471</v>
      </c>
      <c r="G90" s="44" t="s">
        <v>472</v>
      </c>
      <c r="H90" s="52" t="str">
        <f t="shared" si="1"/>
        <v>[if 6313][6313][/if 6313]</v>
      </c>
    </row>
    <row r="91">
      <c r="A91" s="51" t="s">
        <v>637</v>
      </c>
      <c r="B91" s="51" t="s">
        <v>638</v>
      </c>
      <c r="C91" s="51" t="s">
        <v>638</v>
      </c>
      <c r="D91" s="51" t="s">
        <v>638</v>
      </c>
      <c r="E91" s="44" t="s">
        <v>470</v>
      </c>
      <c r="F91" s="44" t="s">
        <v>471</v>
      </c>
      <c r="G91" s="44" t="s">
        <v>472</v>
      </c>
      <c r="H91" s="52" t="str">
        <f t="shared" si="1"/>
        <v>[if 6314][6314][/if 6314]</v>
      </c>
    </row>
    <row r="92">
      <c r="A92" s="51" t="s">
        <v>639</v>
      </c>
      <c r="B92" s="51" t="s">
        <v>640</v>
      </c>
      <c r="C92" s="51" t="s">
        <v>640</v>
      </c>
      <c r="D92" s="51" t="s">
        <v>640</v>
      </c>
      <c r="E92" s="44" t="s">
        <v>470</v>
      </c>
      <c r="F92" s="44" t="s">
        <v>471</v>
      </c>
      <c r="G92" s="44" t="s">
        <v>472</v>
      </c>
      <c r="H92" s="52" t="str">
        <f t="shared" si="1"/>
        <v>[if 6315][6315][/if 6315]</v>
      </c>
    </row>
    <row r="93">
      <c r="A93" s="51" t="s">
        <v>639</v>
      </c>
      <c r="B93" s="51" t="s">
        <v>641</v>
      </c>
      <c r="C93" s="51" t="s">
        <v>641</v>
      </c>
      <c r="D93" s="51" t="s">
        <v>641</v>
      </c>
      <c r="E93" s="44" t="s">
        <v>470</v>
      </c>
      <c r="F93" s="44" t="s">
        <v>471</v>
      </c>
      <c r="G93" s="44" t="s">
        <v>472</v>
      </c>
      <c r="H93" s="52" t="str">
        <f t="shared" si="1"/>
        <v>[if 6316][6316][/if 6316]</v>
      </c>
    </row>
    <row r="94">
      <c r="A94" s="51" t="s">
        <v>642</v>
      </c>
      <c r="B94" s="51" t="s">
        <v>643</v>
      </c>
      <c r="C94" s="51" t="s">
        <v>643</v>
      </c>
      <c r="D94" s="51" t="s">
        <v>643</v>
      </c>
      <c r="E94" s="44" t="s">
        <v>470</v>
      </c>
      <c r="F94" s="44" t="s">
        <v>471</v>
      </c>
      <c r="G94" s="44" t="s">
        <v>472</v>
      </c>
      <c r="H94" s="52" t="str">
        <f t="shared" si="1"/>
        <v>[if 6319][6319][/if 6319]</v>
      </c>
    </row>
    <row r="95">
      <c r="A95" s="51" t="s">
        <v>644</v>
      </c>
      <c r="B95" s="51" t="s">
        <v>645</v>
      </c>
      <c r="C95" s="51" t="s">
        <v>645</v>
      </c>
      <c r="D95" s="51" t="s">
        <v>645</v>
      </c>
      <c r="E95" s="44" t="s">
        <v>470</v>
      </c>
      <c r="F95" s="44" t="s">
        <v>471</v>
      </c>
      <c r="G95" s="44" t="s">
        <v>472</v>
      </c>
      <c r="H95" s="52" t="str">
        <f t="shared" si="1"/>
        <v>[if 6320][6320][/if 6320]</v>
      </c>
    </row>
    <row r="96">
      <c r="A96" s="51" t="s">
        <v>646</v>
      </c>
      <c r="B96" s="51" t="s">
        <v>647</v>
      </c>
      <c r="C96" s="51" t="s">
        <v>647</v>
      </c>
      <c r="D96" s="51" t="s">
        <v>647</v>
      </c>
      <c r="E96" s="44" t="s">
        <v>470</v>
      </c>
      <c r="F96" s="44" t="s">
        <v>471</v>
      </c>
      <c r="G96" s="44" t="s">
        <v>472</v>
      </c>
      <c r="H96" s="52" t="str">
        <f t="shared" si="1"/>
        <v>[if 6321][6321][/if 6321]</v>
      </c>
    </row>
    <row r="97">
      <c r="A97" s="51" t="s">
        <v>648</v>
      </c>
      <c r="B97" s="51" t="s">
        <v>649</v>
      </c>
      <c r="C97" s="51" t="s">
        <v>649</v>
      </c>
      <c r="D97" s="51" t="s">
        <v>649</v>
      </c>
      <c r="E97" s="44" t="s">
        <v>470</v>
      </c>
      <c r="F97" s="44" t="s">
        <v>471</v>
      </c>
      <c r="G97" s="44" t="s">
        <v>472</v>
      </c>
      <c r="H97" s="52" t="str">
        <f t="shared" si="1"/>
        <v>[if 6322][6322][/if 6322]</v>
      </c>
    </row>
    <row r="98">
      <c r="A98" s="51" t="s">
        <v>650</v>
      </c>
      <c r="B98" s="51" t="s">
        <v>651</v>
      </c>
      <c r="C98" s="51" t="s">
        <v>651</v>
      </c>
      <c r="D98" s="51" t="s">
        <v>651</v>
      </c>
      <c r="E98" s="44" t="s">
        <v>470</v>
      </c>
      <c r="F98" s="44" t="s">
        <v>471</v>
      </c>
      <c r="G98" s="44" t="s">
        <v>472</v>
      </c>
      <c r="H98" s="52" t="str">
        <f t="shared" si="1"/>
        <v>[if 6382][6382][/if 6382]</v>
      </c>
    </row>
    <row r="99">
      <c r="A99" s="51" t="s">
        <v>652</v>
      </c>
      <c r="B99" s="51" t="s">
        <v>653</v>
      </c>
      <c r="C99" s="51" t="s">
        <v>653</v>
      </c>
      <c r="D99" s="51" t="s">
        <v>653</v>
      </c>
      <c r="E99" s="44" t="s">
        <v>470</v>
      </c>
      <c r="F99" s="44" t="s">
        <v>471</v>
      </c>
      <c r="G99" s="44" t="s">
        <v>472</v>
      </c>
      <c r="H99" s="52" t="str">
        <f t="shared" si="1"/>
        <v>[if 6381][6381][/if 6381]</v>
      </c>
    </row>
    <row r="100">
      <c r="A100" s="51" t="s">
        <v>654</v>
      </c>
      <c r="B100" s="51" t="s">
        <v>655</v>
      </c>
      <c r="C100" s="51" t="s">
        <v>655</v>
      </c>
      <c r="D100" s="51" t="s">
        <v>655</v>
      </c>
      <c r="E100" s="44" t="s">
        <v>470</v>
      </c>
      <c r="F100" s="44" t="s">
        <v>471</v>
      </c>
      <c r="G100" s="44" t="s">
        <v>472</v>
      </c>
      <c r="H100" s="52" t="str">
        <f t="shared" si="1"/>
        <v>[if 6323][6323][/if 6323]</v>
      </c>
    </row>
    <row r="101">
      <c r="A101" s="51" t="s">
        <v>656</v>
      </c>
      <c r="B101" s="51" t="s">
        <v>657</v>
      </c>
      <c r="C101" s="51" t="s">
        <v>657</v>
      </c>
      <c r="D101" s="51" t="s">
        <v>657</v>
      </c>
      <c r="E101" s="44" t="s">
        <v>470</v>
      </c>
      <c r="F101" s="44" t="s">
        <v>471</v>
      </c>
      <c r="G101" s="44" t="s">
        <v>472</v>
      </c>
      <c r="H101" s="52" t="str">
        <f t="shared" si="1"/>
        <v>[if 6380][6380][/if 6380]</v>
      </c>
    </row>
    <row r="102">
      <c r="A102" s="51" t="s">
        <v>658</v>
      </c>
      <c r="B102" s="51" t="s">
        <v>659</v>
      </c>
      <c r="C102" s="51" t="s">
        <v>659</v>
      </c>
      <c r="D102" s="51" t="s">
        <v>659</v>
      </c>
      <c r="E102" s="44" t="s">
        <v>470</v>
      </c>
      <c r="F102" s="44" t="s">
        <v>471</v>
      </c>
      <c r="G102" s="44" t="s">
        <v>472</v>
      </c>
      <c r="H102" s="52" t="str">
        <f t="shared" si="1"/>
        <v>[if 6379][6379][/if 6379]</v>
      </c>
    </row>
    <row r="103">
      <c r="A103" s="51" t="s">
        <v>660</v>
      </c>
      <c r="B103" s="51" t="s">
        <v>661</v>
      </c>
      <c r="C103" s="51" t="s">
        <v>661</v>
      </c>
      <c r="D103" s="51" t="s">
        <v>661</v>
      </c>
      <c r="E103" s="44" t="s">
        <v>470</v>
      </c>
      <c r="F103" s="44" t="s">
        <v>471</v>
      </c>
      <c r="G103" s="44" t="s">
        <v>472</v>
      </c>
      <c r="H103" s="52" t="str">
        <f t="shared" si="1"/>
        <v>[if 6324][6324][/if 6324]</v>
      </c>
    </row>
    <row r="104">
      <c r="A104" s="51" t="s">
        <v>662</v>
      </c>
      <c r="B104" s="51" t="s">
        <v>663</v>
      </c>
      <c r="C104" s="51" t="s">
        <v>663</v>
      </c>
      <c r="D104" s="51" t="s">
        <v>663</v>
      </c>
      <c r="E104" s="44" t="s">
        <v>470</v>
      </c>
      <c r="F104" s="44" t="s">
        <v>471</v>
      </c>
      <c r="G104" s="44" t="s">
        <v>472</v>
      </c>
      <c r="H104" s="52" t="str">
        <f t="shared" si="1"/>
        <v>[if 6327][6327][/if 6327]</v>
      </c>
    </row>
    <row r="105">
      <c r="A105" s="51" t="s">
        <v>664</v>
      </c>
      <c r="B105" s="51" t="s">
        <v>665</v>
      </c>
      <c r="C105" s="51" t="s">
        <v>665</v>
      </c>
      <c r="D105" s="51" t="s">
        <v>665</v>
      </c>
      <c r="E105" s="44" t="s">
        <v>470</v>
      </c>
      <c r="F105" s="44" t="s">
        <v>471</v>
      </c>
      <c r="G105" s="44" t="s">
        <v>472</v>
      </c>
      <c r="H105" s="52" t="str">
        <f t="shared" si="1"/>
        <v>[if 6328][6328][/if 6328]</v>
      </c>
    </row>
    <row r="106">
      <c r="A106" s="51" t="s">
        <v>666</v>
      </c>
      <c r="B106" s="51" t="s">
        <v>667</v>
      </c>
      <c r="C106" s="51" t="s">
        <v>667</v>
      </c>
      <c r="D106" s="51" t="s">
        <v>667</v>
      </c>
      <c r="E106" s="44" t="s">
        <v>470</v>
      </c>
      <c r="F106" s="44" t="s">
        <v>471</v>
      </c>
      <c r="G106" s="44" t="s">
        <v>472</v>
      </c>
      <c r="H106" s="52" t="str">
        <f t="shared" si="1"/>
        <v>[if 6329][6329][/if 6329]</v>
      </c>
    </row>
    <row r="107">
      <c r="A107" s="51" t="s">
        <v>668</v>
      </c>
      <c r="B107" s="51" t="s">
        <v>669</v>
      </c>
      <c r="C107" s="51" t="s">
        <v>669</v>
      </c>
      <c r="D107" s="51" t="s">
        <v>669</v>
      </c>
      <c r="E107" s="44" t="s">
        <v>470</v>
      </c>
      <c r="F107" s="44" t="s">
        <v>471</v>
      </c>
      <c r="G107" s="44" t="s">
        <v>472</v>
      </c>
      <c r="H107" s="52" t="str">
        <f t="shared" si="1"/>
        <v>[if 6330][6330][/if 6330]</v>
      </c>
    </row>
    <row r="108">
      <c r="A108" s="51" t="s">
        <v>670</v>
      </c>
      <c r="B108" s="51" t="s">
        <v>671</v>
      </c>
      <c r="C108" s="51" t="s">
        <v>671</v>
      </c>
      <c r="D108" s="51" t="s">
        <v>671</v>
      </c>
      <c r="E108" s="44" t="s">
        <v>470</v>
      </c>
      <c r="F108" s="44" t="s">
        <v>471</v>
      </c>
      <c r="G108" s="44" t="s">
        <v>472</v>
      </c>
      <c r="H108" s="52" t="str">
        <f t="shared" si="1"/>
        <v>[if 6331][6331][/if 6331]</v>
      </c>
    </row>
    <row r="109">
      <c r="A109" s="51" t="s">
        <v>157</v>
      </c>
      <c r="B109" s="51" t="s">
        <v>672</v>
      </c>
      <c r="C109" s="51" t="s">
        <v>672</v>
      </c>
      <c r="D109" s="51" t="s">
        <v>672</v>
      </c>
      <c r="E109" s="44" t="s">
        <v>470</v>
      </c>
      <c r="F109" s="44" t="s">
        <v>471</v>
      </c>
      <c r="G109" s="44" t="s">
        <v>472</v>
      </c>
      <c r="H109" s="52" t="str">
        <f t="shared" si="1"/>
        <v>[if 6334][6334][/if 6334]</v>
      </c>
    </row>
    <row r="110">
      <c r="A110" s="51" t="s">
        <v>673</v>
      </c>
      <c r="B110" s="51" t="s">
        <v>674</v>
      </c>
      <c r="C110" s="51" t="s">
        <v>674</v>
      </c>
      <c r="D110" s="51" t="s">
        <v>674</v>
      </c>
      <c r="E110" s="44" t="s">
        <v>470</v>
      </c>
      <c r="F110" s="44" t="s">
        <v>471</v>
      </c>
      <c r="G110" s="44" t="s">
        <v>472</v>
      </c>
      <c r="H110" s="52" t="str">
        <f t="shared" si="1"/>
        <v>[if 6383][6383][/if 6383]</v>
      </c>
    </row>
    <row r="111">
      <c r="A111" s="51" t="s">
        <v>675</v>
      </c>
      <c r="B111" s="51" t="s">
        <v>676</v>
      </c>
      <c r="C111" s="51" t="s">
        <v>676</v>
      </c>
      <c r="D111" s="51" t="s">
        <v>676</v>
      </c>
      <c r="E111" s="44" t="s">
        <v>470</v>
      </c>
      <c r="F111" s="44" t="s">
        <v>471</v>
      </c>
      <c r="G111" s="44" t="s">
        <v>472</v>
      </c>
      <c r="H111" s="52" t="str">
        <f t="shared" si="1"/>
        <v>[if 6336][6336][/if 6336]</v>
      </c>
    </row>
    <row r="112">
      <c r="A112" s="51" t="s">
        <v>677</v>
      </c>
      <c r="B112" s="51" t="s">
        <v>678</v>
      </c>
      <c r="C112" s="51" t="s">
        <v>678</v>
      </c>
      <c r="D112" s="51" t="s">
        <v>678</v>
      </c>
      <c r="E112" s="44" t="s">
        <v>470</v>
      </c>
      <c r="F112" s="44" t="s">
        <v>471</v>
      </c>
      <c r="G112" s="44" t="s">
        <v>472</v>
      </c>
      <c r="H112" s="52" t="str">
        <f t="shared" si="1"/>
        <v>[if 6337][6337][/if 6337]</v>
      </c>
    </row>
    <row r="113">
      <c r="A113" s="51" t="s">
        <v>679</v>
      </c>
      <c r="B113" s="51" t="s">
        <v>680</v>
      </c>
      <c r="C113" s="51" t="s">
        <v>680</v>
      </c>
      <c r="D113" s="51" t="s">
        <v>680</v>
      </c>
      <c r="E113" s="44" t="s">
        <v>470</v>
      </c>
      <c r="F113" s="44" t="s">
        <v>471</v>
      </c>
      <c r="G113" s="44" t="s">
        <v>472</v>
      </c>
      <c r="H113" s="52" t="str">
        <f t="shared" si="1"/>
        <v>[if 6341][6341][/if 6341]</v>
      </c>
    </row>
    <row r="114">
      <c r="A114" s="51" t="s">
        <v>679</v>
      </c>
      <c r="B114" s="51" t="s">
        <v>681</v>
      </c>
      <c r="C114" s="51" t="s">
        <v>681</v>
      </c>
      <c r="D114" s="51" t="s">
        <v>681</v>
      </c>
      <c r="E114" s="44" t="s">
        <v>470</v>
      </c>
      <c r="F114" s="44" t="s">
        <v>471</v>
      </c>
      <c r="G114" s="44" t="s">
        <v>472</v>
      </c>
      <c r="H114" s="52" t="str">
        <f t="shared" si="1"/>
        <v>[if 6385][6385][/if 6385]</v>
      </c>
    </row>
    <row r="115">
      <c r="A115" s="51" t="s">
        <v>682</v>
      </c>
      <c r="B115" s="51" t="s">
        <v>683</v>
      </c>
      <c r="C115" s="51" t="s">
        <v>683</v>
      </c>
      <c r="D115" s="51" t="s">
        <v>683</v>
      </c>
      <c r="E115" s="44" t="s">
        <v>470</v>
      </c>
      <c r="F115" s="44" t="s">
        <v>471</v>
      </c>
      <c r="G115" s="44" t="s">
        <v>472</v>
      </c>
      <c r="H115" s="52" t="str">
        <f t="shared" si="1"/>
        <v>[if 6344][6344][/if 6344]</v>
      </c>
    </row>
    <row r="116">
      <c r="A116" s="51" t="s">
        <v>684</v>
      </c>
      <c r="B116" s="51" t="s">
        <v>685</v>
      </c>
      <c r="C116" s="51" t="s">
        <v>685</v>
      </c>
      <c r="D116" s="51" t="s">
        <v>685</v>
      </c>
      <c r="E116" s="44" t="s">
        <v>470</v>
      </c>
      <c r="F116" s="44" t="s">
        <v>471</v>
      </c>
      <c r="G116" s="44" t="s">
        <v>472</v>
      </c>
      <c r="H116" s="52" t="str">
        <f t="shared" si="1"/>
        <v>[if 6347][6347][/if 6347]</v>
      </c>
    </row>
    <row r="117">
      <c r="A117" s="51" t="s">
        <v>686</v>
      </c>
      <c r="B117" s="51" t="s">
        <v>687</v>
      </c>
      <c r="C117" s="51" t="s">
        <v>687</v>
      </c>
      <c r="D117" s="51" t="s">
        <v>687</v>
      </c>
      <c r="E117" s="44" t="s">
        <v>470</v>
      </c>
      <c r="F117" s="44" t="s">
        <v>471</v>
      </c>
      <c r="G117" s="44" t="s">
        <v>472</v>
      </c>
      <c r="H117" s="52" t="str">
        <f t="shared" si="1"/>
        <v>[if 6350][6350][/if 6350]</v>
      </c>
    </row>
    <row r="118">
      <c r="A118" s="51" t="s">
        <v>688</v>
      </c>
      <c r="B118" s="51" t="s">
        <v>689</v>
      </c>
      <c r="C118" s="51" t="s">
        <v>689</v>
      </c>
      <c r="D118" s="51" t="s">
        <v>689</v>
      </c>
      <c r="E118" s="44" t="s">
        <v>470</v>
      </c>
      <c r="F118" s="44" t="s">
        <v>471</v>
      </c>
      <c r="G118" s="44" t="s">
        <v>472</v>
      </c>
      <c r="H118" s="52" t="str">
        <f t="shared" si="1"/>
        <v>[if 6352][6352][/if 6352]</v>
      </c>
    </row>
    <row r="119">
      <c r="A119" s="51" t="s">
        <v>122</v>
      </c>
      <c r="B119" s="51" t="s">
        <v>690</v>
      </c>
      <c r="C119" s="51" t="s">
        <v>690</v>
      </c>
      <c r="D119" s="51" t="s">
        <v>690</v>
      </c>
      <c r="E119" s="44" t="s">
        <v>470</v>
      </c>
      <c r="F119" s="44" t="s">
        <v>471</v>
      </c>
      <c r="G119" s="44" t="s">
        <v>472</v>
      </c>
      <c r="H119" s="52" t="str">
        <f t="shared" si="1"/>
        <v>[if 6353][6353][/if 6353]</v>
      </c>
    </row>
    <row r="120">
      <c r="A120" s="51" t="s">
        <v>691</v>
      </c>
      <c r="B120" s="51" t="s">
        <v>692</v>
      </c>
      <c r="C120" s="51" t="s">
        <v>692</v>
      </c>
      <c r="D120" s="51" t="s">
        <v>692</v>
      </c>
      <c r="E120" s="44" t="s">
        <v>470</v>
      </c>
      <c r="F120" s="44" t="s">
        <v>471</v>
      </c>
      <c r="G120" s="44" t="s">
        <v>472</v>
      </c>
      <c r="H120" s="52" t="str">
        <f t="shared" si="1"/>
        <v>[if 6354][6354][/if 6354]</v>
      </c>
    </row>
    <row r="121">
      <c r="A121" s="51" t="s">
        <v>693</v>
      </c>
      <c r="B121" s="51" t="s">
        <v>694</v>
      </c>
      <c r="C121" s="51" t="s">
        <v>694</v>
      </c>
      <c r="D121" s="51" t="s">
        <v>694</v>
      </c>
      <c r="E121" s="44" t="s">
        <v>470</v>
      </c>
      <c r="F121" s="44" t="s">
        <v>471</v>
      </c>
      <c r="G121" s="44" t="s">
        <v>472</v>
      </c>
      <c r="H121" s="52" t="str">
        <f t="shared" si="1"/>
        <v>[if 6355][6355][/if 6355]</v>
      </c>
    </row>
    <row r="122">
      <c r="A122" s="51" t="s">
        <v>103</v>
      </c>
      <c r="B122" s="51" t="s">
        <v>695</v>
      </c>
      <c r="C122" s="51" t="s">
        <v>695</v>
      </c>
      <c r="D122" s="51" t="s">
        <v>695</v>
      </c>
      <c r="E122" s="44" t="s">
        <v>470</v>
      </c>
      <c r="F122" s="44" t="s">
        <v>471</v>
      </c>
      <c r="G122" s="44" t="s">
        <v>472</v>
      </c>
      <c r="H122" s="52" t="str">
        <f t="shared" si="1"/>
        <v>[if 6360][6360][/if 6360]</v>
      </c>
    </row>
    <row r="123">
      <c r="A123" s="51" t="s">
        <v>696</v>
      </c>
      <c r="B123" s="51" t="s">
        <v>697</v>
      </c>
      <c r="C123" s="51" t="s">
        <v>697</v>
      </c>
      <c r="D123" s="51" t="s">
        <v>697</v>
      </c>
      <c r="E123" s="44" t="s">
        <v>470</v>
      </c>
      <c r="F123" s="44" t="s">
        <v>471</v>
      </c>
      <c r="G123" s="44" t="s">
        <v>472</v>
      </c>
      <c r="H123" s="52" t="str">
        <f t="shared" si="1"/>
        <v>[if 6356][6356][/if 6356]</v>
      </c>
    </row>
    <row r="124">
      <c r="A124" s="51" t="s">
        <v>698</v>
      </c>
      <c r="B124" s="51" t="s">
        <v>699</v>
      </c>
      <c r="C124" s="51" t="s">
        <v>699</v>
      </c>
      <c r="D124" s="51" t="s">
        <v>699</v>
      </c>
      <c r="E124" s="44" t="s">
        <v>470</v>
      </c>
      <c r="F124" s="44" t="s">
        <v>471</v>
      </c>
      <c r="G124" s="44" t="s">
        <v>472</v>
      </c>
      <c r="H124" s="52" t="str">
        <f t="shared" si="1"/>
        <v>[if 6363][6363][/if 6363]</v>
      </c>
    </row>
    <row r="125">
      <c r="A125" s="51" t="s">
        <v>68</v>
      </c>
      <c r="B125" s="51" t="s">
        <v>700</v>
      </c>
      <c r="C125" s="51" t="s">
        <v>700</v>
      </c>
      <c r="D125" s="51" t="s">
        <v>700</v>
      </c>
      <c r="E125" s="44" t="s">
        <v>470</v>
      </c>
      <c r="F125" s="44" t="s">
        <v>471</v>
      </c>
      <c r="G125" s="44" t="s">
        <v>472</v>
      </c>
      <c r="H125" s="52" t="str">
        <f t="shared" si="1"/>
        <v>[if 6366][6366][/if 6366]</v>
      </c>
    </row>
    <row r="126">
      <c r="A126" s="51" t="s">
        <v>701</v>
      </c>
      <c r="B126" s="51" t="s">
        <v>702</v>
      </c>
      <c r="C126" s="51" t="s">
        <v>702</v>
      </c>
      <c r="D126" s="51" t="s">
        <v>702</v>
      </c>
      <c r="E126" s="44" t="s">
        <v>470</v>
      </c>
      <c r="F126" s="44" t="s">
        <v>471</v>
      </c>
      <c r="G126" s="44" t="s">
        <v>472</v>
      </c>
      <c r="H126" s="52" t="str">
        <f t="shared" si="1"/>
        <v>[if 6367][6367][/if 6367]</v>
      </c>
    </row>
    <row r="127">
      <c r="A127" s="51" t="s">
        <v>703</v>
      </c>
      <c r="B127" s="51" t="s">
        <v>704</v>
      </c>
      <c r="C127" s="51" t="s">
        <v>704</v>
      </c>
      <c r="D127" s="51" t="s">
        <v>704</v>
      </c>
      <c r="E127" s="44" t="s">
        <v>470</v>
      </c>
      <c r="F127" s="44" t="s">
        <v>471</v>
      </c>
      <c r="G127" s="44" t="s">
        <v>472</v>
      </c>
      <c r="H127" s="52" t="str">
        <f t="shared" si="1"/>
        <v>[if 6368][6368][/if 6368]</v>
      </c>
    </row>
    <row r="128">
      <c r="A128" s="51" t="s">
        <v>705</v>
      </c>
      <c r="B128" s="51" t="s">
        <v>706</v>
      </c>
      <c r="C128" s="51" t="s">
        <v>706</v>
      </c>
      <c r="D128" s="51" t="s">
        <v>706</v>
      </c>
      <c r="E128" s="44" t="s">
        <v>470</v>
      </c>
      <c r="F128" s="44" t="s">
        <v>471</v>
      </c>
      <c r="G128" s="44" t="s">
        <v>472</v>
      </c>
      <c r="H128" s="52" t="str">
        <f t="shared" si="1"/>
        <v>[if 6369][6369][/if 6369]</v>
      </c>
    </row>
    <row r="129">
      <c r="A129" s="51" t="s">
        <v>707</v>
      </c>
      <c r="B129" s="51" t="s">
        <v>708</v>
      </c>
      <c r="C129" s="51" t="s">
        <v>708</v>
      </c>
      <c r="D129" s="51" t="s">
        <v>708</v>
      </c>
      <c r="E129" s="44" t="s">
        <v>470</v>
      </c>
      <c r="F129" s="44" t="s">
        <v>471</v>
      </c>
      <c r="G129" s="44" t="s">
        <v>472</v>
      </c>
      <c r="H129" s="52" t="str">
        <f t="shared" si="1"/>
        <v>[if 6371][6371][/if 6371]</v>
      </c>
    </row>
    <row r="130">
      <c r="A130" s="51" t="s">
        <v>709</v>
      </c>
      <c r="B130" s="51" t="s">
        <v>710</v>
      </c>
      <c r="C130" s="51" t="s">
        <v>710</v>
      </c>
      <c r="D130" s="51" t="s">
        <v>710</v>
      </c>
      <c r="E130" s="44" t="s">
        <v>470</v>
      </c>
      <c r="F130" s="44" t="s">
        <v>471</v>
      </c>
      <c r="G130" s="44" t="s">
        <v>472</v>
      </c>
      <c r="H130" s="52" t="str">
        <f t="shared" si="1"/>
        <v>[if 6377][6377][/if 6377]</v>
      </c>
    </row>
    <row r="131">
      <c r="A131" s="51" t="s">
        <v>711</v>
      </c>
      <c r="B131" s="51" t="s">
        <v>712</v>
      </c>
      <c r="C131" s="51" t="s">
        <v>712</v>
      </c>
      <c r="D131" s="51" t="s">
        <v>712</v>
      </c>
      <c r="E131" s="44" t="s">
        <v>470</v>
      </c>
      <c r="F131" s="44" t="s">
        <v>471</v>
      </c>
      <c r="G131" s="44" t="s">
        <v>472</v>
      </c>
      <c r="H131" s="52" t="str">
        <f t="shared" si="1"/>
        <v>[if 6375][6375][/if 6375]</v>
      </c>
    </row>
    <row r="132">
      <c r="A132" s="53"/>
      <c r="B132" s="53"/>
      <c r="C132" s="53"/>
      <c r="D132" s="53"/>
    </row>
    <row r="133">
      <c r="A133" s="53"/>
      <c r="B133" s="53"/>
      <c r="C133" s="53"/>
      <c r="D133" s="53"/>
    </row>
    <row r="134">
      <c r="A134" s="53"/>
      <c r="B134" s="53"/>
      <c r="C134" s="53"/>
      <c r="D134" s="53"/>
    </row>
    <row r="135">
      <c r="A135" s="53"/>
      <c r="B135" s="53"/>
      <c r="C135" s="53"/>
      <c r="D135" s="53"/>
    </row>
    <row r="136">
      <c r="A136" s="53"/>
      <c r="B136" s="53"/>
      <c r="C136" s="53"/>
      <c r="D136" s="53"/>
    </row>
    <row r="137">
      <c r="A137" s="53"/>
      <c r="B137" s="53"/>
      <c r="C137" s="53"/>
      <c r="D137" s="53"/>
    </row>
    <row r="138">
      <c r="A138" s="53"/>
      <c r="B138" s="53"/>
      <c r="C138" s="53"/>
      <c r="D138" s="53"/>
    </row>
    <row r="139">
      <c r="A139" s="53"/>
      <c r="B139" s="53"/>
      <c r="C139" s="53"/>
      <c r="D139" s="53"/>
    </row>
    <row r="140">
      <c r="A140" s="53"/>
      <c r="B140" s="53"/>
      <c r="C140" s="53"/>
      <c r="D140" s="53"/>
    </row>
    <row r="141">
      <c r="A141" s="53"/>
      <c r="B141" s="53"/>
      <c r="C141" s="53"/>
      <c r="D141" s="53"/>
    </row>
    <row r="142">
      <c r="A142" s="53"/>
      <c r="B142" s="53"/>
      <c r="C142" s="53"/>
      <c r="D142" s="53"/>
    </row>
    <row r="143">
      <c r="A143" s="53"/>
      <c r="B143" s="53"/>
      <c r="C143" s="53"/>
      <c r="D143" s="53"/>
    </row>
    <row r="144">
      <c r="A144" s="53"/>
      <c r="B144" s="53"/>
      <c r="C144" s="53"/>
      <c r="D144" s="53"/>
    </row>
    <row r="145">
      <c r="A145" s="53"/>
      <c r="B145" s="53"/>
      <c r="C145" s="53"/>
      <c r="D145" s="53"/>
    </row>
    <row r="146">
      <c r="A146" s="53"/>
      <c r="B146" s="53"/>
      <c r="C146" s="53"/>
      <c r="D146" s="53"/>
    </row>
    <row r="147">
      <c r="A147" s="53"/>
      <c r="B147" s="53"/>
      <c r="C147" s="53"/>
      <c r="D147" s="53"/>
    </row>
    <row r="148">
      <c r="A148" s="53"/>
      <c r="B148" s="53"/>
      <c r="C148" s="53"/>
      <c r="D148" s="53"/>
    </row>
    <row r="149">
      <c r="A149" s="53"/>
      <c r="B149" s="53"/>
      <c r="C149" s="53"/>
      <c r="D149" s="53"/>
    </row>
    <row r="150">
      <c r="A150" s="53"/>
      <c r="B150" s="53"/>
      <c r="C150" s="53"/>
      <c r="D150" s="53"/>
    </row>
    <row r="151">
      <c r="A151" s="53"/>
      <c r="B151" s="53"/>
      <c r="C151" s="53"/>
      <c r="D151" s="53"/>
    </row>
    <row r="152">
      <c r="A152" s="53"/>
      <c r="B152" s="53"/>
      <c r="C152" s="53"/>
      <c r="D152" s="53"/>
    </row>
    <row r="153">
      <c r="A153" s="53"/>
      <c r="B153" s="53"/>
      <c r="C153" s="53"/>
      <c r="D153" s="53"/>
    </row>
    <row r="154">
      <c r="A154" s="53"/>
      <c r="B154" s="53"/>
      <c r="C154" s="53"/>
      <c r="D154" s="53"/>
    </row>
    <row r="155">
      <c r="A155" s="53"/>
      <c r="B155" s="53"/>
      <c r="C155" s="53"/>
      <c r="D155" s="53"/>
    </row>
    <row r="156">
      <c r="A156" s="53"/>
      <c r="B156" s="53"/>
      <c r="C156" s="53"/>
      <c r="D156" s="53"/>
    </row>
    <row r="157">
      <c r="A157" s="53"/>
      <c r="B157" s="53"/>
      <c r="C157" s="53"/>
      <c r="D157" s="53"/>
    </row>
    <row r="158">
      <c r="A158" s="53"/>
      <c r="B158" s="53"/>
      <c r="C158" s="53"/>
      <c r="D158" s="53"/>
    </row>
    <row r="159">
      <c r="A159" s="53"/>
      <c r="B159" s="53"/>
      <c r="C159" s="53"/>
      <c r="D159" s="53"/>
    </row>
    <row r="160">
      <c r="A160" s="53"/>
      <c r="B160" s="53"/>
      <c r="C160" s="53"/>
      <c r="D160" s="53"/>
    </row>
    <row r="161">
      <c r="A161" s="53"/>
      <c r="B161" s="53"/>
      <c r="C161" s="53"/>
      <c r="D161" s="53"/>
    </row>
    <row r="162">
      <c r="A162" s="53"/>
      <c r="B162" s="53"/>
      <c r="C162" s="53"/>
      <c r="D162" s="53"/>
    </row>
    <row r="163">
      <c r="A163" s="53"/>
      <c r="B163" s="53"/>
      <c r="C163" s="53"/>
      <c r="D163" s="53"/>
    </row>
    <row r="164">
      <c r="A164" s="53"/>
      <c r="B164" s="53"/>
      <c r="C164" s="53"/>
      <c r="D164" s="53"/>
    </row>
    <row r="165">
      <c r="A165" s="53"/>
      <c r="B165" s="53"/>
      <c r="C165" s="53"/>
      <c r="D165" s="53"/>
    </row>
    <row r="166">
      <c r="A166" s="53"/>
      <c r="B166" s="53"/>
      <c r="C166" s="53"/>
      <c r="D166" s="53"/>
    </row>
    <row r="167">
      <c r="A167" s="53"/>
      <c r="B167" s="53"/>
      <c r="C167" s="53"/>
      <c r="D167" s="53"/>
    </row>
    <row r="168">
      <c r="A168" s="53"/>
      <c r="B168" s="53"/>
      <c r="C168" s="53"/>
      <c r="D168" s="53"/>
    </row>
    <row r="169">
      <c r="A169" s="53"/>
      <c r="B169" s="53"/>
      <c r="C169" s="53"/>
      <c r="D169" s="53"/>
    </row>
    <row r="170">
      <c r="A170" s="53"/>
      <c r="B170" s="53"/>
      <c r="C170" s="53"/>
      <c r="D170" s="53"/>
    </row>
    <row r="171">
      <c r="A171" s="53"/>
      <c r="B171" s="53"/>
      <c r="C171" s="53"/>
      <c r="D171" s="53"/>
    </row>
    <row r="172">
      <c r="A172" s="53"/>
      <c r="B172" s="53"/>
      <c r="C172" s="53"/>
      <c r="D172" s="53"/>
    </row>
    <row r="173">
      <c r="A173" s="53"/>
      <c r="B173" s="53"/>
      <c r="C173" s="53"/>
      <c r="D173" s="53"/>
    </row>
    <row r="174">
      <c r="A174" s="53"/>
      <c r="B174" s="53"/>
      <c r="C174" s="53"/>
      <c r="D174" s="53"/>
    </row>
    <row r="175">
      <c r="A175" s="53"/>
      <c r="B175" s="53"/>
      <c r="C175" s="53"/>
      <c r="D175" s="53"/>
    </row>
    <row r="176">
      <c r="A176" s="53"/>
      <c r="B176" s="53"/>
      <c r="C176" s="53"/>
      <c r="D176" s="53"/>
    </row>
    <row r="177">
      <c r="A177" s="53"/>
      <c r="B177" s="53"/>
      <c r="C177" s="53"/>
      <c r="D177" s="53"/>
    </row>
    <row r="178">
      <c r="A178" s="53"/>
      <c r="B178" s="53"/>
      <c r="C178" s="53"/>
      <c r="D178" s="53"/>
    </row>
    <row r="179">
      <c r="A179" s="53"/>
      <c r="B179" s="53"/>
      <c r="C179" s="53"/>
      <c r="D179" s="53"/>
    </row>
    <row r="180">
      <c r="A180" s="53"/>
      <c r="B180" s="53"/>
      <c r="C180" s="53"/>
      <c r="D180" s="53"/>
    </row>
    <row r="181">
      <c r="A181" s="53"/>
      <c r="B181" s="53"/>
      <c r="C181" s="53"/>
      <c r="D181" s="53"/>
    </row>
    <row r="182">
      <c r="A182" s="53"/>
      <c r="B182" s="53"/>
      <c r="C182" s="53"/>
      <c r="D182" s="53"/>
    </row>
    <row r="183">
      <c r="A183" s="53"/>
      <c r="B183" s="53"/>
      <c r="C183" s="53"/>
      <c r="D183" s="53"/>
    </row>
    <row r="184">
      <c r="A184" s="53"/>
      <c r="B184" s="53"/>
      <c r="C184" s="53"/>
      <c r="D184" s="53"/>
    </row>
    <row r="185">
      <c r="A185" s="53"/>
      <c r="B185" s="53"/>
      <c r="C185" s="53"/>
      <c r="D185" s="53"/>
    </row>
    <row r="186">
      <c r="A186" s="53"/>
      <c r="B186" s="53"/>
      <c r="C186" s="53"/>
      <c r="D186" s="53"/>
    </row>
    <row r="187">
      <c r="A187" s="53"/>
      <c r="B187" s="53"/>
      <c r="C187" s="53"/>
      <c r="D187" s="53"/>
    </row>
    <row r="188">
      <c r="A188" s="53"/>
      <c r="B188" s="53"/>
      <c r="C188" s="53"/>
      <c r="D188" s="53"/>
    </row>
    <row r="189">
      <c r="A189" s="53"/>
      <c r="B189" s="53"/>
      <c r="C189" s="53"/>
      <c r="D189" s="53"/>
    </row>
    <row r="190">
      <c r="A190" s="53"/>
      <c r="B190" s="53"/>
      <c r="C190" s="53"/>
      <c r="D190" s="53"/>
    </row>
    <row r="191">
      <c r="A191" s="53"/>
      <c r="B191" s="53"/>
      <c r="C191" s="53"/>
      <c r="D191" s="53"/>
    </row>
    <row r="192">
      <c r="A192" s="53"/>
      <c r="B192" s="53"/>
      <c r="C192" s="53"/>
      <c r="D192" s="53"/>
    </row>
    <row r="193">
      <c r="A193" s="53"/>
      <c r="B193" s="53"/>
      <c r="C193" s="53"/>
      <c r="D193" s="53"/>
    </row>
    <row r="194">
      <c r="A194" s="53"/>
      <c r="B194" s="53"/>
      <c r="C194" s="53"/>
      <c r="D194" s="53"/>
    </row>
    <row r="195">
      <c r="A195" s="53"/>
      <c r="B195" s="53"/>
      <c r="C195" s="53"/>
      <c r="D195" s="53"/>
    </row>
    <row r="196">
      <c r="A196" s="53"/>
      <c r="B196" s="53"/>
      <c r="C196" s="53"/>
      <c r="D196" s="53"/>
    </row>
    <row r="197">
      <c r="A197" s="53"/>
      <c r="B197" s="53"/>
      <c r="C197" s="53"/>
      <c r="D197" s="53"/>
    </row>
    <row r="198">
      <c r="A198" s="53"/>
      <c r="B198" s="53"/>
      <c r="C198" s="53"/>
      <c r="D198" s="53"/>
    </row>
    <row r="199">
      <c r="A199" s="53"/>
      <c r="B199" s="53"/>
      <c r="C199" s="53"/>
      <c r="D199" s="53"/>
    </row>
    <row r="200">
      <c r="A200" s="53"/>
      <c r="B200" s="53"/>
      <c r="C200" s="53"/>
      <c r="D200" s="53"/>
    </row>
    <row r="201">
      <c r="A201" s="53"/>
      <c r="B201" s="53"/>
      <c r="C201" s="53"/>
      <c r="D201" s="53"/>
    </row>
    <row r="202">
      <c r="A202" s="53"/>
      <c r="B202" s="53"/>
      <c r="C202" s="53"/>
      <c r="D202" s="53"/>
    </row>
    <row r="203">
      <c r="A203" s="53"/>
      <c r="B203" s="53"/>
      <c r="C203" s="53"/>
      <c r="D203" s="53"/>
    </row>
    <row r="204">
      <c r="A204" s="53"/>
      <c r="B204" s="53"/>
      <c r="C204" s="53"/>
      <c r="D204" s="53"/>
    </row>
    <row r="205">
      <c r="A205" s="53"/>
      <c r="B205" s="53"/>
      <c r="C205" s="53"/>
      <c r="D205" s="53"/>
    </row>
    <row r="206">
      <c r="A206" s="53"/>
      <c r="B206" s="53"/>
      <c r="C206" s="53"/>
      <c r="D206" s="53"/>
    </row>
    <row r="207">
      <c r="A207" s="53"/>
      <c r="B207" s="53"/>
      <c r="C207" s="53"/>
      <c r="D207" s="53"/>
    </row>
    <row r="208">
      <c r="A208" s="53"/>
      <c r="B208" s="53"/>
      <c r="C208" s="53"/>
      <c r="D208" s="53"/>
    </row>
    <row r="209">
      <c r="A209" s="53"/>
      <c r="B209" s="53"/>
      <c r="C209" s="53"/>
      <c r="D209" s="53"/>
    </row>
    <row r="210">
      <c r="A210" s="53"/>
      <c r="B210" s="53"/>
      <c r="C210" s="53"/>
      <c r="D210" s="53"/>
    </row>
    <row r="211">
      <c r="A211" s="53"/>
      <c r="B211" s="53"/>
      <c r="C211" s="53"/>
      <c r="D211" s="53"/>
    </row>
    <row r="212">
      <c r="A212" s="53"/>
      <c r="B212" s="53"/>
      <c r="C212" s="53"/>
      <c r="D212" s="53"/>
    </row>
    <row r="213">
      <c r="A213" s="53"/>
      <c r="B213" s="53"/>
      <c r="C213" s="53"/>
      <c r="D213" s="53"/>
    </row>
    <row r="214">
      <c r="A214" s="53"/>
      <c r="B214" s="53"/>
      <c r="C214" s="53"/>
      <c r="D214" s="53"/>
    </row>
    <row r="215">
      <c r="A215" s="53"/>
      <c r="B215" s="53"/>
      <c r="C215" s="53"/>
      <c r="D215" s="53"/>
    </row>
    <row r="216">
      <c r="A216" s="53"/>
      <c r="B216" s="53"/>
      <c r="C216" s="53"/>
      <c r="D216" s="53"/>
    </row>
    <row r="217">
      <c r="A217" s="53"/>
      <c r="B217" s="53"/>
      <c r="C217" s="53"/>
      <c r="D217" s="53"/>
    </row>
    <row r="218">
      <c r="A218" s="53"/>
      <c r="B218" s="53"/>
      <c r="C218" s="53"/>
      <c r="D218" s="53"/>
    </row>
    <row r="219">
      <c r="A219" s="53"/>
      <c r="B219" s="53"/>
      <c r="C219" s="53"/>
      <c r="D219" s="53"/>
    </row>
    <row r="220">
      <c r="A220" s="53"/>
      <c r="B220" s="53"/>
      <c r="C220" s="53"/>
      <c r="D220" s="53"/>
    </row>
    <row r="221">
      <c r="A221" s="53"/>
      <c r="B221" s="53"/>
      <c r="C221" s="53"/>
      <c r="D221" s="53"/>
    </row>
    <row r="222">
      <c r="A222" s="53"/>
      <c r="B222" s="53"/>
      <c r="C222" s="53"/>
      <c r="D222" s="53"/>
    </row>
    <row r="223">
      <c r="A223" s="53"/>
      <c r="B223" s="53"/>
      <c r="C223" s="53"/>
      <c r="D223" s="53"/>
    </row>
    <row r="224">
      <c r="A224" s="53"/>
      <c r="B224" s="53"/>
      <c r="C224" s="53"/>
      <c r="D224" s="53"/>
    </row>
    <row r="225">
      <c r="A225" s="53"/>
      <c r="B225" s="53"/>
      <c r="C225" s="53"/>
      <c r="D225" s="53"/>
    </row>
    <row r="226">
      <c r="A226" s="53"/>
      <c r="B226" s="53"/>
      <c r="C226" s="53"/>
      <c r="D226" s="53"/>
    </row>
    <row r="227">
      <c r="A227" s="53"/>
      <c r="B227" s="53"/>
      <c r="C227" s="53"/>
      <c r="D227" s="53"/>
    </row>
    <row r="228">
      <c r="A228" s="53"/>
      <c r="B228" s="53"/>
      <c r="C228" s="53"/>
      <c r="D228" s="53"/>
    </row>
    <row r="229">
      <c r="A229" s="53"/>
      <c r="B229" s="53"/>
      <c r="C229" s="53"/>
      <c r="D229" s="53"/>
    </row>
    <row r="230">
      <c r="A230" s="53"/>
      <c r="B230" s="53"/>
      <c r="C230" s="53"/>
      <c r="D230" s="53"/>
    </row>
    <row r="231">
      <c r="A231" s="53"/>
      <c r="B231" s="53"/>
      <c r="C231" s="53"/>
      <c r="D231" s="53"/>
    </row>
    <row r="232">
      <c r="A232" s="53"/>
      <c r="B232" s="53"/>
      <c r="C232" s="53"/>
      <c r="D232" s="53"/>
    </row>
    <row r="233">
      <c r="A233" s="53"/>
      <c r="B233" s="53"/>
      <c r="C233" s="53"/>
      <c r="D233" s="53"/>
    </row>
    <row r="234">
      <c r="A234" s="53"/>
      <c r="B234" s="53"/>
      <c r="C234" s="53"/>
      <c r="D234" s="53"/>
    </row>
    <row r="235">
      <c r="A235" s="53"/>
      <c r="B235" s="53"/>
      <c r="C235" s="53"/>
      <c r="D235" s="53"/>
    </row>
    <row r="236">
      <c r="A236" s="53"/>
      <c r="B236" s="53"/>
      <c r="C236" s="53"/>
      <c r="D236" s="53"/>
    </row>
    <row r="237">
      <c r="A237" s="53"/>
      <c r="B237" s="53"/>
      <c r="C237" s="53"/>
      <c r="D237" s="53"/>
    </row>
    <row r="238">
      <c r="A238" s="53"/>
      <c r="B238" s="53"/>
      <c r="C238" s="53"/>
      <c r="D238" s="53"/>
    </row>
    <row r="239">
      <c r="A239" s="53"/>
      <c r="B239" s="53"/>
      <c r="C239" s="53"/>
      <c r="D239" s="53"/>
    </row>
    <row r="240">
      <c r="A240" s="53"/>
      <c r="B240" s="53"/>
      <c r="C240" s="53"/>
      <c r="D240" s="53"/>
    </row>
    <row r="241">
      <c r="A241" s="53"/>
      <c r="B241" s="53"/>
      <c r="C241" s="53"/>
      <c r="D241" s="53"/>
    </row>
    <row r="242">
      <c r="A242" s="53"/>
      <c r="B242" s="53"/>
      <c r="C242" s="53"/>
      <c r="D242" s="53"/>
    </row>
    <row r="243">
      <c r="A243" s="53"/>
      <c r="B243" s="53"/>
      <c r="C243" s="53"/>
      <c r="D243" s="53"/>
    </row>
    <row r="244">
      <c r="A244" s="53"/>
      <c r="B244" s="53"/>
      <c r="C244" s="53"/>
      <c r="D244" s="53"/>
    </row>
    <row r="245">
      <c r="A245" s="53"/>
      <c r="B245" s="53"/>
      <c r="C245" s="53"/>
      <c r="D245" s="53"/>
    </row>
    <row r="246">
      <c r="A246" s="53"/>
      <c r="B246" s="53"/>
      <c r="C246" s="53"/>
      <c r="D246" s="53"/>
    </row>
    <row r="247">
      <c r="A247" s="53"/>
      <c r="B247" s="53"/>
      <c r="C247" s="53"/>
      <c r="D247" s="53"/>
    </row>
    <row r="248">
      <c r="A248" s="53"/>
      <c r="B248" s="53"/>
      <c r="C248" s="53"/>
      <c r="D248" s="53"/>
    </row>
    <row r="249">
      <c r="A249" s="53"/>
      <c r="B249" s="53"/>
      <c r="C249" s="53"/>
      <c r="D249" s="53"/>
    </row>
    <row r="250">
      <c r="A250" s="53"/>
      <c r="B250" s="53"/>
      <c r="C250" s="53"/>
      <c r="D250" s="53"/>
    </row>
    <row r="251">
      <c r="A251" s="53"/>
      <c r="B251" s="53"/>
      <c r="C251" s="53"/>
      <c r="D251" s="53"/>
    </row>
    <row r="252">
      <c r="A252" s="53"/>
      <c r="B252" s="53"/>
      <c r="C252" s="53"/>
      <c r="D252" s="53"/>
    </row>
    <row r="253">
      <c r="A253" s="53"/>
      <c r="B253" s="53"/>
      <c r="C253" s="53"/>
      <c r="D253" s="53"/>
    </row>
    <row r="254">
      <c r="A254" s="53"/>
      <c r="B254" s="53"/>
      <c r="C254" s="53"/>
      <c r="D254" s="53"/>
    </row>
    <row r="255">
      <c r="A255" s="53"/>
      <c r="B255" s="53"/>
      <c r="C255" s="53"/>
      <c r="D255" s="53"/>
    </row>
    <row r="256">
      <c r="A256" s="53"/>
      <c r="B256" s="53"/>
      <c r="C256" s="53"/>
      <c r="D256" s="53"/>
    </row>
    <row r="257">
      <c r="A257" s="53"/>
      <c r="B257" s="53"/>
      <c r="C257" s="53"/>
      <c r="D257" s="53"/>
    </row>
    <row r="258">
      <c r="A258" s="53"/>
      <c r="B258" s="53"/>
      <c r="C258" s="53"/>
      <c r="D258" s="53"/>
    </row>
    <row r="259">
      <c r="A259" s="53"/>
      <c r="B259" s="53"/>
      <c r="C259" s="53"/>
      <c r="D259" s="53"/>
    </row>
    <row r="260">
      <c r="A260" s="53"/>
      <c r="B260" s="53"/>
      <c r="C260" s="53"/>
      <c r="D260" s="53"/>
    </row>
    <row r="261">
      <c r="A261" s="53"/>
      <c r="B261" s="53"/>
      <c r="C261" s="53"/>
      <c r="D261" s="53"/>
    </row>
    <row r="262">
      <c r="A262" s="53"/>
      <c r="B262" s="53"/>
      <c r="C262" s="53"/>
      <c r="D262" s="53"/>
    </row>
    <row r="263">
      <c r="A263" s="53"/>
      <c r="B263" s="53"/>
      <c r="C263" s="53"/>
      <c r="D263" s="53"/>
    </row>
    <row r="264">
      <c r="A264" s="53"/>
      <c r="B264" s="53"/>
      <c r="C264" s="53"/>
      <c r="D264" s="53"/>
    </row>
    <row r="265">
      <c r="A265" s="53"/>
      <c r="B265" s="53"/>
      <c r="C265" s="53"/>
      <c r="D265" s="53"/>
    </row>
    <row r="266">
      <c r="A266" s="53"/>
      <c r="B266" s="53"/>
      <c r="C266" s="53"/>
      <c r="D266" s="53"/>
    </row>
    <row r="267">
      <c r="A267" s="53"/>
      <c r="B267" s="53"/>
      <c r="C267" s="53"/>
      <c r="D267" s="53"/>
    </row>
    <row r="268">
      <c r="A268" s="53"/>
      <c r="B268" s="53"/>
      <c r="C268" s="53"/>
      <c r="D268" s="53"/>
    </row>
    <row r="269">
      <c r="A269" s="53"/>
      <c r="B269" s="53"/>
      <c r="C269" s="53"/>
      <c r="D269" s="53"/>
    </row>
    <row r="270">
      <c r="A270" s="53"/>
      <c r="B270" s="53"/>
      <c r="C270" s="53"/>
      <c r="D270" s="53"/>
    </row>
    <row r="271">
      <c r="A271" s="53"/>
      <c r="B271" s="53"/>
      <c r="C271" s="53"/>
      <c r="D271" s="53"/>
    </row>
    <row r="272">
      <c r="A272" s="53"/>
      <c r="B272" s="53"/>
      <c r="C272" s="53"/>
      <c r="D272" s="53"/>
    </row>
    <row r="273">
      <c r="A273" s="53"/>
      <c r="B273" s="53"/>
      <c r="C273" s="53"/>
      <c r="D273" s="53"/>
    </row>
    <row r="274">
      <c r="A274" s="53"/>
      <c r="B274" s="53"/>
      <c r="C274" s="53"/>
      <c r="D274" s="53"/>
    </row>
    <row r="275">
      <c r="A275" s="53"/>
      <c r="B275" s="53"/>
      <c r="C275" s="53"/>
      <c r="D275" s="53"/>
    </row>
    <row r="276">
      <c r="A276" s="53"/>
      <c r="B276" s="53"/>
      <c r="C276" s="53"/>
      <c r="D276" s="53"/>
    </row>
    <row r="277">
      <c r="A277" s="53"/>
      <c r="B277" s="53"/>
      <c r="C277" s="53"/>
      <c r="D277" s="53"/>
    </row>
    <row r="278">
      <c r="A278" s="53"/>
      <c r="B278" s="53"/>
      <c r="C278" s="53"/>
      <c r="D278" s="53"/>
    </row>
    <row r="279">
      <c r="A279" s="53"/>
      <c r="B279" s="53"/>
      <c r="C279" s="53"/>
      <c r="D279" s="53"/>
    </row>
    <row r="280">
      <c r="A280" s="53"/>
      <c r="B280" s="53"/>
      <c r="C280" s="53"/>
      <c r="D280" s="53"/>
    </row>
    <row r="281">
      <c r="A281" s="53"/>
      <c r="B281" s="53"/>
      <c r="C281" s="53"/>
      <c r="D281" s="53"/>
    </row>
    <row r="282">
      <c r="A282" s="53"/>
      <c r="B282" s="53"/>
      <c r="C282" s="53"/>
      <c r="D282" s="53"/>
    </row>
    <row r="283">
      <c r="A283" s="53"/>
      <c r="B283" s="53"/>
      <c r="C283" s="53"/>
      <c r="D283" s="53"/>
    </row>
    <row r="284">
      <c r="A284" s="53"/>
      <c r="B284" s="53"/>
      <c r="C284" s="53"/>
      <c r="D284" s="53"/>
    </row>
    <row r="285">
      <c r="A285" s="53"/>
      <c r="B285" s="53"/>
      <c r="C285" s="53"/>
      <c r="D285" s="53"/>
    </row>
    <row r="286">
      <c r="A286" s="53"/>
      <c r="B286" s="53"/>
      <c r="C286" s="53"/>
      <c r="D286" s="53"/>
    </row>
    <row r="287">
      <c r="A287" s="53"/>
      <c r="B287" s="53"/>
      <c r="C287" s="53"/>
      <c r="D287" s="53"/>
    </row>
    <row r="288">
      <c r="A288" s="53"/>
      <c r="B288" s="53"/>
      <c r="C288" s="53"/>
      <c r="D288" s="53"/>
    </row>
    <row r="289">
      <c r="A289" s="53"/>
      <c r="B289" s="53"/>
      <c r="C289" s="53"/>
      <c r="D289" s="53"/>
    </row>
    <row r="290">
      <c r="A290" s="53"/>
      <c r="B290" s="53"/>
      <c r="C290" s="53"/>
      <c r="D290" s="53"/>
    </row>
    <row r="291">
      <c r="A291" s="53"/>
      <c r="B291" s="53"/>
      <c r="C291" s="53"/>
      <c r="D291" s="53"/>
    </row>
    <row r="292">
      <c r="A292" s="53"/>
      <c r="B292" s="53"/>
      <c r="C292" s="53"/>
      <c r="D292" s="53"/>
    </row>
    <row r="293">
      <c r="A293" s="53"/>
      <c r="B293" s="53"/>
      <c r="C293" s="53"/>
      <c r="D293" s="53"/>
    </row>
    <row r="294">
      <c r="A294" s="53"/>
      <c r="B294" s="53"/>
      <c r="C294" s="53"/>
      <c r="D294" s="53"/>
    </row>
    <row r="295">
      <c r="A295" s="53"/>
      <c r="B295" s="53"/>
      <c r="C295" s="53"/>
      <c r="D295" s="53"/>
    </row>
    <row r="296">
      <c r="A296" s="53"/>
      <c r="B296" s="53"/>
      <c r="C296" s="53"/>
      <c r="D296" s="53"/>
    </row>
    <row r="297">
      <c r="A297" s="53"/>
      <c r="B297" s="53"/>
      <c r="C297" s="53"/>
      <c r="D297" s="53"/>
    </row>
    <row r="298">
      <c r="A298" s="53"/>
      <c r="B298" s="53"/>
      <c r="C298" s="53"/>
      <c r="D298" s="53"/>
    </row>
    <row r="299">
      <c r="A299" s="53"/>
      <c r="B299" s="53"/>
      <c r="C299" s="53"/>
      <c r="D299" s="53"/>
    </row>
    <row r="300">
      <c r="A300" s="53"/>
      <c r="B300" s="53"/>
      <c r="C300" s="53"/>
      <c r="D300" s="53"/>
    </row>
    <row r="301">
      <c r="A301" s="53"/>
      <c r="B301" s="53"/>
      <c r="C301" s="53"/>
      <c r="D301" s="53"/>
    </row>
    <row r="302">
      <c r="A302" s="53"/>
      <c r="B302" s="53"/>
      <c r="C302" s="53"/>
      <c r="D302" s="53"/>
    </row>
    <row r="303">
      <c r="A303" s="53"/>
      <c r="B303" s="53"/>
      <c r="C303" s="53"/>
      <c r="D303" s="53"/>
    </row>
    <row r="304">
      <c r="A304" s="53"/>
      <c r="B304" s="53"/>
      <c r="C304" s="53"/>
      <c r="D304" s="53"/>
    </row>
    <row r="305">
      <c r="A305" s="53"/>
      <c r="B305" s="53"/>
      <c r="C305" s="53"/>
      <c r="D305" s="53"/>
    </row>
    <row r="306">
      <c r="A306" s="53"/>
      <c r="B306" s="53"/>
      <c r="C306" s="53"/>
      <c r="D306" s="53"/>
    </row>
    <row r="307">
      <c r="A307" s="53"/>
      <c r="B307" s="53"/>
      <c r="C307" s="53"/>
      <c r="D307" s="53"/>
    </row>
    <row r="308">
      <c r="A308" s="53"/>
      <c r="B308" s="53"/>
      <c r="C308" s="53"/>
      <c r="D308" s="53"/>
    </row>
    <row r="309">
      <c r="A309" s="53"/>
      <c r="B309" s="53"/>
      <c r="C309" s="53"/>
      <c r="D309" s="53"/>
    </row>
    <row r="310">
      <c r="A310" s="53"/>
      <c r="B310" s="53"/>
      <c r="C310" s="53"/>
      <c r="D310" s="53"/>
    </row>
    <row r="311">
      <c r="A311" s="53"/>
      <c r="B311" s="53"/>
      <c r="C311" s="53"/>
      <c r="D311" s="53"/>
    </row>
    <row r="312">
      <c r="A312" s="53"/>
      <c r="B312" s="53"/>
      <c r="C312" s="53"/>
      <c r="D312" s="53"/>
    </row>
    <row r="313">
      <c r="A313" s="53"/>
      <c r="B313" s="53"/>
      <c r="C313" s="53"/>
      <c r="D313" s="53"/>
    </row>
    <row r="314">
      <c r="A314" s="53"/>
      <c r="B314" s="53"/>
      <c r="C314" s="53"/>
      <c r="D314" s="53"/>
    </row>
    <row r="315">
      <c r="A315" s="53"/>
      <c r="B315" s="53"/>
      <c r="C315" s="53"/>
      <c r="D315" s="53"/>
    </row>
    <row r="316">
      <c r="A316" s="53"/>
      <c r="B316" s="53"/>
      <c r="C316" s="53"/>
      <c r="D316" s="53"/>
    </row>
    <row r="317">
      <c r="A317" s="53"/>
      <c r="B317" s="53"/>
      <c r="C317" s="53"/>
      <c r="D317" s="53"/>
    </row>
    <row r="318">
      <c r="A318" s="53"/>
      <c r="B318" s="53"/>
      <c r="C318" s="53"/>
      <c r="D318" s="53"/>
    </row>
    <row r="319">
      <c r="A319" s="53"/>
      <c r="B319" s="53"/>
      <c r="C319" s="53"/>
      <c r="D319" s="53"/>
    </row>
    <row r="320">
      <c r="A320" s="53"/>
      <c r="B320" s="53"/>
      <c r="C320" s="53"/>
      <c r="D320" s="53"/>
    </row>
    <row r="321">
      <c r="A321" s="53"/>
      <c r="B321" s="53"/>
      <c r="C321" s="53"/>
      <c r="D321" s="53"/>
    </row>
    <row r="322">
      <c r="A322" s="53"/>
      <c r="B322" s="53"/>
      <c r="C322" s="53"/>
      <c r="D322" s="53"/>
    </row>
    <row r="323">
      <c r="A323" s="53"/>
      <c r="B323" s="53"/>
      <c r="C323" s="53"/>
      <c r="D323" s="53"/>
    </row>
    <row r="324">
      <c r="A324" s="53"/>
      <c r="B324" s="53"/>
      <c r="C324" s="53"/>
      <c r="D324" s="53"/>
    </row>
    <row r="325">
      <c r="A325" s="53"/>
      <c r="B325" s="53"/>
      <c r="C325" s="53"/>
      <c r="D325" s="53"/>
    </row>
    <row r="326">
      <c r="A326" s="53"/>
      <c r="B326" s="53"/>
      <c r="C326" s="53"/>
      <c r="D326" s="53"/>
    </row>
    <row r="327">
      <c r="A327" s="53"/>
      <c r="B327" s="53"/>
      <c r="C327" s="53"/>
      <c r="D327" s="53"/>
    </row>
    <row r="328">
      <c r="A328" s="53"/>
      <c r="B328" s="53"/>
      <c r="C328" s="53"/>
      <c r="D328" s="53"/>
    </row>
    <row r="329">
      <c r="A329" s="53"/>
      <c r="B329" s="53"/>
      <c r="C329" s="53"/>
      <c r="D329" s="53"/>
    </row>
    <row r="330">
      <c r="A330" s="53"/>
      <c r="B330" s="53"/>
      <c r="C330" s="53"/>
      <c r="D330" s="53"/>
    </row>
    <row r="331">
      <c r="A331" s="53"/>
      <c r="B331" s="53"/>
      <c r="C331" s="53"/>
      <c r="D331" s="53"/>
    </row>
    <row r="332">
      <c r="A332" s="53"/>
      <c r="B332" s="53"/>
      <c r="C332" s="53"/>
      <c r="D332" s="53"/>
    </row>
    <row r="333">
      <c r="A333" s="53"/>
      <c r="B333" s="53"/>
      <c r="C333" s="53"/>
      <c r="D333" s="53"/>
    </row>
    <row r="334">
      <c r="A334" s="53"/>
      <c r="B334" s="53"/>
      <c r="C334" s="53"/>
      <c r="D334" s="53"/>
    </row>
    <row r="335">
      <c r="A335" s="53"/>
      <c r="B335" s="53"/>
      <c r="C335" s="53"/>
      <c r="D335" s="53"/>
    </row>
    <row r="336">
      <c r="A336" s="53"/>
      <c r="B336" s="53"/>
      <c r="C336" s="53"/>
      <c r="D336" s="53"/>
    </row>
    <row r="337">
      <c r="A337" s="53"/>
      <c r="B337" s="53"/>
      <c r="C337" s="53"/>
      <c r="D337" s="53"/>
    </row>
    <row r="338">
      <c r="A338" s="53"/>
      <c r="B338" s="53"/>
      <c r="C338" s="53"/>
      <c r="D338" s="53"/>
    </row>
    <row r="339">
      <c r="A339" s="53"/>
      <c r="B339" s="53"/>
      <c r="C339" s="53"/>
      <c r="D339" s="53"/>
    </row>
    <row r="340">
      <c r="A340" s="53"/>
      <c r="B340" s="53"/>
      <c r="C340" s="53"/>
      <c r="D340" s="53"/>
    </row>
    <row r="341">
      <c r="A341" s="53"/>
      <c r="B341" s="53"/>
      <c r="C341" s="53"/>
      <c r="D341" s="53"/>
    </row>
    <row r="342">
      <c r="A342" s="53"/>
      <c r="B342" s="53"/>
      <c r="C342" s="53"/>
      <c r="D342" s="53"/>
    </row>
    <row r="343">
      <c r="A343" s="53"/>
      <c r="B343" s="53"/>
      <c r="C343" s="53"/>
      <c r="D343" s="53"/>
    </row>
    <row r="344">
      <c r="A344" s="53"/>
      <c r="B344" s="53"/>
      <c r="C344" s="53"/>
      <c r="D344" s="53"/>
    </row>
    <row r="345">
      <c r="A345" s="53"/>
      <c r="B345" s="53"/>
      <c r="C345" s="53"/>
      <c r="D345" s="53"/>
    </row>
    <row r="346">
      <c r="A346" s="53"/>
      <c r="B346" s="53"/>
      <c r="C346" s="53"/>
      <c r="D346" s="53"/>
    </row>
    <row r="347">
      <c r="A347" s="53"/>
      <c r="B347" s="53"/>
      <c r="C347" s="53"/>
      <c r="D347" s="53"/>
    </row>
    <row r="348">
      <c r="A348" s="53"/>
      <c r="B348" s="53"/>
      <c r="C348" s="53"/>
      <c r="D348" s="53"/>
    </row>
    <row r="349">
      <c r="A349" s="53"/>
      <c r="B349" s="53"/>
      <c r="C349" s="53"/>
      <c r="D349" s="53"/>
    </row>
    <row r="350">
      <c r="A350" s="53"/>
      <c r="B350" s="53"/>
      <c r="C350" s="53"/>
      <c r="D350" s="53"/>
    </row>
    <row r="351">
      <c r="A351" s="53"/>
      <c r="B351" s="53"/>
      <c r="C351" s="53"/>
      <c r="D351" s="53"/>
    </row>
    <row r="352">
      <c r="A352" s="53"/>
      <c r="B352" s="53"/>
      <c r="C352" s="53"/>
      <c r="D352" s="53"/>
    </row>
    <row r="353">
      <c r="A353" s="53"/>
      <c r="B353" s="53"/>
      <c r="C353" s="53"/>
      <c r="D353" s="53"/>
    </row>
    <row r="354">
      <c r="A354" s="53"/>
      <c r="B354" s="53"/>
      <c r="C354" s="53"/>
      <c r="D354" s="53"/>
    </row>
    <row r="355">
      <c r="A355" s="53"/>
      <c r="B355" s="53"/>
      <c r="C355" s="53"/>
      <c r="D355" s="53"/>
    </row>
    <row r="356">
      <c r="A356" s="53"/>
      <c r="B356" s="53"/>
      <c r="C356" s="53"/>
      <c r="D356" s="53"/>
    </row>
    <row r="357">
      <c r="A357" s="53"/>
      <c r="B357" s="53"/>
      <c r="C357" s="53"/>
      <c r="D357" s="53"/>
    </row>
    <row r="358">
      <c r="A358" s="53"/>
      <c r="B358" s="53"/>
      <c r="C358" s="53"/>
      <c r="D358" s="53"/>
    </row>
    <row r="359">
      <c r="A359" s="53"/>
      <c r="B359" s="53"/>
      <c r="C359" s="53"/>
      <c r="D359" s="53"/>
    </row>
    <row r="360">
      <c r="A360" s="53"/>
      <c r="B360" s="53"/>
      <c r="C360" s="53"/>
      <c r="D360" s="53"/>
    </row>
    <row r="361">
      <c r="A361" s="53"/>
      <c r="B361" s="53"/>
      <c r="C361" s="53"/>
      <c r="D361" s="53"/>
    </row>
    <row r="362">
      <c r="A362" s="53"/>
      <c r="B362" s="53"/>
      <c r="C362" s="53"/>
      <c r="D362" s="53"/>
    </row>
    <row r="363">
      <c r="A363" s="53"/>
      <c r="B363" s="53"/>
      <c r="C363" s="53"/>
      <c r="D363" s="53"/>
    </row>
    <row r="364">
      <c r="A364" s="53"/>
      <c r="B364" s="53"/>
      <c r="C364" s="53"/>
      <c r="D364" s="53"/>
    </row>
    <row r="365">
      <c r="A365" s="53"/>
      <c r="B365" s="53"/>
      <c r="C365" s="53"/>
      <c r="D365" s="53"/>
    </row>
    <row r="366">
      <c r="A366" s="53"/>
      <c r="B366" s="53"/>
      <c r="C366" s="53"/>
      <c r="D366" s="53"/>
    </row>
    <row r="367">
      <c r="A367" s="53"/>
      <c r="B367" s="53"/>
      <c r="C367" s="53"/>
      <c r="D367" s="53"/>
    </row>
    <row r="368">
      <c r="A368" s="53"/>
      <c r="B368" s="53"/>
      <c r="C368" s="53"/>
      <c r="D368" s="53"/>
    </row>
    <row r="369">
      <c r="A369" s="53"/>
      <c r="B369" s="53"/>
      <c r="C369" s="53"/>
      <c r="D369" s="53"/>
    </row>
    <row r="370">
      <c r="A370" s="53"/>
      <c r="B370" s="53"/>
      <c r="C370" s="53"/>
      <c r="D370" s="53"/>
    </row>
    <row r="371">
      <c r="A371" s="53"/>
      <c r="B371" s="53"/>
      <c r="C371" s="53"/>
      <c r="D371" s="53"/>
    </row>
    <row r="372">
      <c r="A372" s="53"/>
      <c r="B372" s="53"/>
      <c r="C372" s="53"/>
      <c r="D372" s="53"/>
    </row>
    <row r="373">
      <c r="A373" s="53"/>
      <c r="B373" s="53"/>
      <c r="C373" s="53"/>
      <c r="D373" s="53"/>
    </row>
    <row r="374">
      <c r="A374" s="53"/>
      <c r="B374" s="53"/>
      <c r="C374" s="53"/>
      <c r="D374" s="53"/>
    </row>
    <row r="375">
      <c r="A375" s="53"/>
      <c r="B375" s="53"/>
      <c r="C375" s="53"/>
      <c r="D375" s="53"/>
    </row>
    <row r="376">
      <c r="A376" s="53"/>
      <c r="B376" s="53"/>
      <c r="C376" s="53"/>
      <c r="D376" s="53"/>
    </row>
    <row r="377">
      <c r="A377" s="53"/>
      <c r="B377" s="53"/>
      <c r="C377" s="53"/>
      <c r="D377" s="53"/>
    </row>
    <row r="378">
      <c r="A378" s="53"/>
      <c r="B378" s="53"/>
      <c r="C378" s="53"/>
      <c r="D378" s="53"/>
    </row>
    <row r="379">
      <c r="A379" s="53"/>
      <c r="B379" s="53"/>
      <c r="C379" s="53"/>
      <c r="D379" s="53"/>
    </row>
    <row r="380">
      <c r="A380" s="53"/>
      <c r="B380" s="53"/>
      <c r="C380" s="53"/>
      <c r="D380" s="53"/>
    </row>
    <row r="381">
      <c r="A381" s="53"/>
      <c r="B381" s="53"/>
      <c r="C381" s="53"/>
      <c r="D381" s="53"/>
    </row>
    <row r="382">
      <c r="A382" s="53"/>
      <c r="B382" s="53"/>
      <c r="C382" s="53"/>
      <c r="D382" s="53"/>
    </row>
    <row r="383">
      <c r="A383" s="53"/>
      <c r="B383" s="53"/>
      <c r="C383" s="53"/>
      <c r="D383" s="53"/>
    </row>
    <row r="384">
      <c r="A384" s="53"/>
      <c r="B384" s="53"/>
      <c r="C384" s="53"/>
      <c r="D384" s="53"/>
    </row>
    <row r="385">
      <c r="A385" s="53"/>
      <c r="B385" s="53"/>
      <c r="C385" s="53"/>
      <c r="D385" s="53"/>
    </row>
    <row r="386">
      <c r="A386" s="53"/>
      <c r="B386" s="53"/>
      <c r="C386" s="53"/>
      <c r="D386" s="53"/>
    </row>
    <row r="387">
      <c r="A387" s="53"/>
      <c r="B387" s="53"/>
      <c r="C387" s="53"/>
      <c r="D387" s="53"/>
    </row>
    <row r="388">
      <c r="A388" s="53"/>
      <c r="B388" s="53"/>
      <c r="C388" s="53"/>
      <c r="D388" s="53"/>
    </row>
    <row r="389">
      <c r="A389" s="53"/>
      <c r="B389" s="53"/>
      <c r="C389" s="53"/>
      <c r="D389" s="53"/>
    </row>
    <row r="390">
      <c r="A390" s="53"/>
      <c r="B390" s="53"/>
      <c r="C390" s="53"/>
      <c r="D390" s="53"/>
    </row>
    <row r="391">
      <c r="A391" s="53"/>
      <c r="B391" s="53"/>
      <c r="C391" s="53"/>
      <c r="D391" s="53"/>
    </row>
    <row r="392">
      <c r="A392" s="53"/>
      <c r="B392" s="53"/>
      <c r="C392" s="53"/>
      <c r="D392" s="53"/>
    </row>
    <row r="393">
      <c r="A393" s="53"/>
      <c r="B393" s="53"/>
      <c r="C393" s="53"/>
      <c r="D393" s="53"/>
    </row>
    <row r="394">
      <c r="A394" s="53"/>
      <c r="B394" s="53"/>
      <c r="C394" s="53"/>
      <c r="D394" s="53"/>
    </row>
    <row r="395">
      <c r="A395" s="53"/>
      <c r="B395" s="53"/>
      <c r="C395" s="53"/>
      <c r="D395" s="53"/>
    </row>
    <row r="396">
      <c r="A396" s="53"/>
      <c r="B396" s="53"/>
      <c r="C396" s="53"/>
      <c r="D396" s="53"/>
    </row>
    <row r="397">
      <c r="A397" s="53"/>
      <c r="B397" s="53"/>
      <c r="C397" s="53"/>
      <c r="D397" s="53"/>
    </row>
    <row r="398">
      <c r="A398" s="53"/>
      <c r="B398" s="53"/>
      <c r="C398" s="53"/>
      <c r="D398" s="53"/>
    </row>
    <row r="399">
      <c r="A399" s="53"/>
      <c r="B399" s="53"/>
      <c r="C399" s="53"/>
      <c r="D399" s="53"/>
    </row>
    <row r="400">
      <c r="A400" s="53"/>
      <c r="B400" s="53"/>
      <c r="C400" s="53"/>
      <c r="D400" s="53"/>
    </row>
    <row r="401">
      <c r="A401" s="53"/>
      <c r="B401" s="53"/>
      <c r="C401" s="53"/>
      <c r="D401" s="53"/>
    </row>
    <row r="402">
      <c r="A402" s="53"/>
      <c r="B402" s="53"/>
      <c r="C402" s="53"/>
      <c r="D402" s="53"/>
    </row>
    <row r="403">
      <c r="A403" s="53"/>
      <c r="B403" s="53"/>
      <c r="C403" s="53"/>
      <c r="D403" s="53"/>
    </row>
    <row r="404">
      <c r="A404" s="53"/>
      <c r="B404" s="53"/>
      <c r="C404" s="53"/>
      <c r="D404" s="53"/>
    </row>
    <row r="405">
      <c r="A405" s="53"/>
      <c r="B405" s="53"/>
      <c r="C405" s="53"/>
      <c r="D405" s="53"/>
    </row>
    <row r="406">
      <c r="A406" s="53"/>
      <c r="B406" s="53"/>
      <c r="C406" s="53"/>
      <c r="D406" s="53"/>
    </row>
    <row r="407">
      <c r="A407" s="53"/>
      <c r="B407" s="53"/>
      <c r="C407" s="53"/>
      <c r="D407" s="53"/>
    </row>
    <row r="408">
      <c r="A408" s="53"/>
      <c r="B408" s="53"/>
      <c r="C408" s="53"/>
      <c r="D408" s="53"/>
    </row>
    <row r="409">
      <c r="A409" s="53"/>
      <c r="B409" s="53"/>
      <c r="C409" s="53"/>
      <c r="D409" s="53"/>
    </row>
    <row r="410">
      <c r="A410" s="53"/>
      <c r="B410" s="53"/>
      <c r="C410" s="53"/>
      <c r="D410" s="53"/>
    </row>
    <row r="411">
      <c r="A411" s="53"/>
      <c r="B411" s="53"/>
      <c r="C411" s="53"/>
      <c r="D411" s="53"/>
    </row>
    <row r="412">
      <c r="A412" s="53"/>
      <c r="B412" s="53"/>
      <c r="C412" s="53"/>
      <c r="D412" s="53"/>
    </row>
    <row r="413">
      <c r="A413" s="53"/>
      <c r="B413" s="53"/>
      <c r="C413" s="53"/>
      <c r="D413" s="53"/>
    </row>
    <row r="414">
      <c r="A414" s="53"/>
      <c r="B414" s="53"/>
      <c r="C414" s="53"/>
      <c r="D414" s="53"/>
    </row>
    <row r="415">
      <c r="A415" s="53"/>
      <c r="B415" s="53"/>
      <c r="C415" s="53"/>
      <c r="D415" s="53"/>
    </row>
    <row r="416">
      <c r="A416" s="53"/>
      <c r="B416" s="53"/>
      <c r="C416" s="53"/>
      <c r="D416" s="53"/>
    </row>
    <row r="417">
      <c r="A417" s="53"/>
      <c r="B417" s="53"/>
      <c r="C417" s="53"/>
      <c r="D417" s="53"/>
    </row>
    <row r="418">
      <c r="A418" s="53"/>
      <c r="B418" s="53"/>
      <c r="C418" s="53"/>
      <c r="D418" s="53"/>
    </row>
    <row r="419">
      <c r="A419" s="53"/>
      <c r="B419" s="53"/>
      <c r="C419" s="53"/>
      <c r="D419" s="53"/>
    </row>
    <row r="420">
      <c r="A420" s="53"/>
      <c r="B420" s="53"/>
      <c r="C420" s="53"/>
      <c r="D420" s="53"/>
    </row>
    <row r="421">
      <c r="A421" s="53"/>
      <c r="B421" s="53"/>
      <c r="C421" s="53"/>
      <c r="D421" s="53"/>
    </row>
    <row r="422">
      <c r="A422" s="53"/>
      <c r="B422" s="53"/>
      <c r="C422" s="53"/>
      <c r="D422" s="53"/>
    </row>
    <row r="423">
      <c r="A423" s="53"/>
      <c r="B423" s="53"/>
      <c r="C423" s="53"/>
      <c r="D423" s="53"/>
    </row>
    <row r="424">
      <c r="A424" s="53"/>
      <c r="B424" s="53"/>
      <c r="C424" s="53"/>
      <c r="D424" s="53"/>
    </row>
    <row r="425">
      <c r="A425" s="53"/>
      <c r="B425" s="53"/>
      <c r="C425" s="53"/>
      <c r="D425" s="53"/>
    </row>
    <row r="426">
      <c r="A426" s="53"/>
      <c r="B426" s="53"/>
      <c r="C426" s="53"/>
      <c r="D426" s="53"/>
    </row>
    <row r="427">
      <c r="A427" s="53"/>
      <c r="B427" s="53"/>
      <c r="C427" s="53"/>
      <c r="D427" s="53"/>
    </row>
    <row r="428">
      <c r="A428" s="53"/>
      <c r="B428" s="53"/>
      <c r="C428" s="53"/>
      <c r="D428" s="53"/>
    </row>
    <row r="429">
      <c r="A429" s="53"/>
      <c r="B429" s="53"/>
      <c r="C429" s="53"/>
      <c r="D429" s="53"/>
    </row>
    <row r="430">
      <c r="A430" s="53"/>
      <c r="B430" s="53"/>
      <c r="C430" s="53"/>
      <c r="D430" s="53"/>
    </row>
    <row r="431">
      <c r="A431" s="53"/>
      <c r="B431" s="53"/>
      <c r="C431" s="53"/>
      <c r="D431" s="53"/>
    </row>
    <row r="432">
      <c r="A432" s="53"/>
      <c r="B432" s="53"/>
      <c r="C432" s="53"/>
      <c r="D432" s="53"/>
    </row>
    <row r="433">
      <c r="A433" s="53"/>
      <c r="B433" s="53"/>
      <c r="C433" s="53"/>
      <c r="D433" s="53"/>
    </row>
    <row r="434">
      <c r="A434" s="53"/>
      <c r="B434" s="53"/>
      <c r="C434" s="53"/>
      <c r="D434" s="53"/>
    </row>
    <row r="435">
      <c r="A435" s="53"/>
      <c r="B435" s="53"/>
      <c r="C435" s="53"/>
      <c r="D435" s="53"/>
    </row>
    <row r="436">
      <c r="A436" s="53"/>
      <c r="B436" s="53"/>
      <c r="C436" s="53"/>
      <c r="D436" s="53"/>
    </row>
    <row r="437">
      <c r="A437" s="53"/>
      <c r="B437" s="53"/>
      <c r="C437" s="53"/>
      <c r="D437" s="53"/>
    </row>
    <row r="438">
      <c r="A438" s="53"/>
      <c r="B438" s="53"/>
      <c r="C438" s="53"/>
      <c r="D438" s="53"/>
    </row>
    <row r="439">
      <c r="A439" s="53"/>
      <c r="B439" s="53"/>
      <c r="C439" s="53"/>
      <c r="D439" s="53"/>
    </row>
    <row r="440">
      <c r="A440" s="53"/>
      <c r="B440" s="53"/>
      <c r="C440" s="53"/>
      <c r="D440" s="53"/>
    </row>
    <row r="441">
      <c r="A441" s="53"/>
      <c r="B441" s="53"/>
      <c r="C441" s="53"/>
      <c r="D441" s="53"/>
    </row>
    <row r="442">
      <c r="A442" s="53"/>
      <c r="B442" s="53"/>
      <c r="C442" s="53"/>
      <c r="D442" s="53"/>
    </row>
    <row r="443">
      <c r="A443" s="53"/>
      <c r="B443" s="53"/>
      <c r="C443" s="53"/>
      <c r="D443" s="53"/>
    </row>
    <row r="444">
      <c r="A444" s="53"/>
      <c r="B444" s="53"/>
      <c r="C444" s="53"/>
      <c r="D444" s="53"/>
    </row>
    <row r="445">
      <c r="A445" s="53"/>
      <c r="B445" s="53"/>
      <c r="C445" s="53"/>
      <c r="D445" s="53"/>
    </row>
    <row r="446">
      <c r="A446" s="53"/>
      <c r="B446" s="53"/>
      <c r="C446" s="53"/>
      <c r="D446" s="53"/>
    </row>
    <row r="447">
      <c r="A447" s="53"/>
      <c r="B447" s="53"/>
      <c r="C447" s="53"/>
      <c r="D447" s="53"/>
    </row>
    <row r="448">
      <c r="A448" s="53"/>
      <c r="B448" s="53"/>
      <c r="C448" s="53"/>
      <c r="D448" s="53"/>
    </row>
    <row r="449">
      <c r="A449" s="53"/>
      <c r="B449" s="53"/>
      <c r="C449" s="53"/>
      <c r="D449" s="53"/>
    </row>
    <row r="450">
      <c r="A450" s="53"/>
      <c r="B450" s="53"/>
      <c r="C450" s="53"/>
      <c r="D450" s="53"/>
    </row>
    <row r="451">
      <c r="A451" s="53"/>
      <c r="B451" s="53"/>
      <c r="C451" s="53"/>
      <c r="D451" s="53"/>
    </row>
    <row r="452">
      <c r="A452" s="53"/>
      <c r="B452" s="53"/>
      <c r="C452" s="53"/>
      <c r="D452" s="53"/>
    </row>
    <row r="453">
      <c r="A453" s="53"/>
      <c r="B453" s="53"/>
      <c r="C453" s="53"/>
      <c r="D453" s="53"/>
    </row>
    <row r="454">
      <c r="A454" s="53"/>
      <c r="B454" s="53"/>
      <c r="C454" s="53"/>
      <c r="D454" s="53"/>
    </row>
    <row r="455">
      <c r="A455" s="53"/>
      <c r="B455" s="53"/>
      <c r="C455" s="53"/>
      <c r="D455" s="53"/>
    </row>
    <row r="456">
      <c r="A456" s="53"/>
      <c r="B456" s="53"/>
      <c r="C456" s="53"/>
      <c r="D456" s="53"/>
    </row>
    <row r="457">
      <c r="A457" s="53"/>
      <c r="B457" s="53"/>
      <c r="C457" s="53"/>
      <c r="D457" s="53"/>
    </row>
    <row r="458">
      <c r="A458" s="53"/>
      <c r="B458" s="53"/>
      <c r="C458" s="53"/>
      <c r="D458" s="53"/>
    </row>
    <row r="459">
      <c r="A459" s="53"/>
      <c r="B459" s="53"/>
      <c r="C459" s="53"/>
      <c r="D459" s="53"/>
    </row>
    <row r="460">
      <c r="A460" s="53"/>
      <c r="B460" s="53"/>
      <c r="C460" s="53"/>
      <c r="D460" s="53"/>
    </row>
    <row r="461">
      <c r="A461" s="53"/>
      <c r="B461" s="53"/>
      <c r="C461" s="53"/>
      <c r="D461" s="53"/>
    </row>
    <row r="462">
      <c r="A462" s="53"/>
      <c r="B462" s="53"/>
      <c r="C462" s="53"/>
      <c r="D462" s="53"/>
    </row>
    <row r="463">
      <c r="A463" s="53"/>
      <c r="B463" s="53"/>
      <c r="C463" s="53"/>
      <c r="D463" s="53"/>
    </row>
    <row r="464">
      <c r="A464" s="53"/>
      <c r="B464" s="53"/>
      <c r="C464" s="53"/>
      <c r="D464" s="53"/>
    </row>
    <row r="465">
      <c r="A465" s="53"/>
      <c r="B465" s="53"/>
      <c r="C465" s="53"/>
      <c r="D465" s="53"/>
    </row>
    <row r="466">
      <c r="A466" s="53"/>
      <c r="B466" s="53"/>
      <c r="C466" s="53"/>
      <c r="D466" s="53"/>
    </row>
    <row r="467">
      <c r="A467" s="53"/>
      <c r="B467" s="53"/>
      <c r="C467" s="53"/>
      <c r="D467" s="53"/>
    </row>
    <row r="468">
      <c r="A468" s="53"/>
      <c r="B468" s="53"/>
      <c r="C468" s="53"/>
      <c r="D468" s="53"/>
    </row>
    <row r="469">
      <c r="A469" s="53"/>
      <c r="B469" s="53"/>
      <c r="C469" s="53"/>
      <c r="D469" s="53"/>
    </row>
    <row r="470">
      <c r="A470" s="53"/>
      <c r="B470" s="53"/>
      <c r="C470" s="53"/>
      <c r="D470" s="53"/>
    </row>
    <row r="471">
      <c r="A471" s="53"/>
      <c r="B471" s="53"/>
      <c r="C471" s="53"/>
      <c r="D471" s="53"/>
    </row>
    <row r="472">
      <c r="A472" s="53"/>
      <c r="B472" s="53"/>
      <c r="C472" s="53"/>
      <c r="D472" s="53"/>
    </row>
    <row r="473">
      <c r="A473" s="53"/>
      <c r="B473" s="53"/>
      <c r="C473" s="53"/>
      <c r="D473" s="53"/>
    </row>
    <row r="474">
      <c r="A474" s="53"/>
      <c r="B474" s="53"/>
      <c r="C474" s="53"/>
      <c r="D474" s="53"/>
    </row>
    <row r="475">
      <c r="A475" s="53"/>
      <c r="B475" s="53"/>
      <c r="C475" s="53"/>
      <c r="D475" s="53"/>
    </row>
    <row r="476">
      <c r="A476" s="53"/>
      <c r="B476" s="53"/>
      <c r="C476" s="53"/>
      <c r="D476" s="53"/>
    </row>
    <row r="477">
      <c r="A477" s="53"/>
      <c r="B477" s="53"/>
      <c r="C477" s="53"/>
      <c r="D477" s="53"/>
    </row>
    <row r="478">
      <c r="A478" s="53"/>
      <c r="B478" s="53"/>
      <c r="C478" s="53"/>
      <c r="D478" s="53"/>
    </row>
    <row r="479">
      <c r="A479" s="53"/>
      <c r="B479" s="53"/>
      <c r="C479" s="53"/>
      <c r="D479" s="53"/>
    </row>
    <row r="480">
      <c r="A480" s="53"/>
      <c r="B480" s="53"/>
      <c r="C480" s="53"/>
      <c r="D480" s="53"/>
    </row>
    <row r="481">
      <c r="A481" s="53"/>
      <c r="B481" s="53"/>
      <c r="C481" s="53"/>
      <c r="D481" s="53"/>
    </row>
    <row r="482">
      <c r="A482" s="53"/>
      <c r="B482" s="53"/>
      <c r="C482" s="53"/>
      <c r="D482" s="53"/>
    </row>
    <row r="483">
      <c r="A483" s="53"/>
      <c r="B483" s="53"/>
      <c r="C483" s="53"/>
      <c r="D483" s="53"/>
    </row>
    <row r="484">
      <c r="A484" s="53"/>
      <c r="B484" s="53"/>
      <c r="C484" s="53"/>
      <c r="D484" s="53"/>
    </row>
    <row r="485">
      <c r="A485" s="53"/>
      <c r="B485" s="53"/>
      <c r="C485" s="53"/>
      <c r="D485" s="53"/>
    </row>
    <row r="486">
      <c r="A486" s="53"/>
      <c r="B486" s="53"/>
      <c r="C486" s="53"/>
      <c r="D486" s="53"/>
    </row>
    <row r="487">
      <c r="A487" s="53"/>
      <c r="B487" s="53"/>
      <c r="C487" s="53"/>
      <c r="D487" s="53"/>
    </row>
    <row r="488">
      <c r="A488" s="53"/>
      <c r="B488" s="53"/>
      <c r="C488" s="53"/>
      <c r="D488" s="53"/>
    </row>
    <row r="489">
      <c r="A489" s="53"/>
      <c r="B489" s="53"/>
      <c r="C489" s="53"/>
      <c r="D489" s="53"/>
    </row>
    <row r="490">
      <c r="A490" s="53"/>
      <c r="B490" s="53"/>
      <c r="C490" s="53"/>
      <c r="D490" s="53"/>
    </row>
    <row r="491">
      <c r="A491" s="53"/>
      <c r="B491" s="53"/>
      <c r="C491" s="53"/>
      <c r="D491" s="53"/>
    </row>
    <row r="492">
      <c r="A492" s="53"/>
      <c r="B492" s="53"/>
      <c r="C492" s="53"/>
      <c r="D492" s="53"/>
    </row>
    <row r="493">
      <c r="A493" s="53"/>
      <c r="B493" s="53"/>
      <c r="C493" s="53"/>
      <c r="D493" s="53"/>
    </row>
    <row r="494">
      <c r="A494" s="53"/>
      <c r="B494" s="53"/>
      <c r="C494" s="53"/>
      <c r="D494" s="53"/>
    </row>
    <row r="495">
      <c r="A495" s="53"/>
      <c r="B495" s="53"/>
      <c r="C495" s="53"/>
      <c r="D495" s="53"/>
    </row>
    <row r="496">
      <c r="A496" s="53"/>
      <c r="B496" s="53"/>
      <c r="C496" s="53"/>
      <c r="D496" s="53"/>
    </row>
    <row r="497">
      <c r="A497" s="53"/>
      <c r="B497" s="53"/>
      <c r="C497" s="53"/>
      <c r="D497" s="53"/>
    </row>
    <row r="498">
      <c r="A498" s="53"/>
      <c r="B498" s="53"/>
      <c r="C498" s="53"/>
      <c r="D498" s="53"/>
    </row>
    <row r="499">
      <c r="A499" s="53"/>
      <c r="B499" s="53"/>
      <c r="C499" s="53"/>
      <c r="D499" s="53"/>
    </row>
    <row r="500">
      <c r="A500" s="53"/>
      <c r="B500" s="53"/>
      <c r="C500" s="53"/>
      <c r="D500" s="53"/>
    </row>
    <row r="501">
      <c r="A501" s="53"/>
      <c r="B501" s="53"/>
      <c r="C501" s="53"/>
      <c r="D501" s="53"/>
    </row>
    <row r="502">
      <c r="A502" s="53"/>
      <c r="B502" s="53"/>
      <c r="C502" s="53"/>
      <c r="D502" s="53"/>
    </row>
    <row r="503">
      <c r="A503" s="53"/>
      <c r="B503" s="53"/>
      <c r="C503" s="53"/>
      <c r="D503" s="53"/>
    </row>
    <row r="504">
      <c r="A504" s="53"/>
      <c r="B504" s="53"/>
      <c r="C504" s="53"/>
      <c r="D504" s="53"/>
    </row>
    <row r="505">
      <c r="A505" s="53"/>
      <c r="B505" s="53"/>
      <c r="C505" s="53"/>
      <c r="D505" s="53"/>
    </row>
    <row r="506">
      <c r="A506" s="53"/>
      <c r="B506" s="53"/>
      <c r="C506" s="53"/>
      <c r="D506" s="53"/>
    </row>
    <row r="507">
      <c r="A507" s="53"/>
      <c r="B507" s="53"/>
      <c r="C507" s="53"/>
      <c r="D507" s="53"/>
    </row>
    <row r="508">
      <c r="A508" s="53"/>
      <c r="B508" s="53"/>
      <c r="C508" s="53"/>
      <c r="D508" s="53"/>
    </row>
    <row r="509">
      <c r="A509" s="53"/>
      <c r="B509" s="53"/>
      <c r="C509" s="53"/>
      <c r="D509" s="53"/>
    </row>
    <row r="510">
      <c r="A510" s="53"/>
      <c r="B510" s="53"/>
      <c r="C510" s="53"/>
      <c r="D510" s="53"/>
    </row>
    <row r="511">
      <c r="A511" s="53"/>
      <c r="B511" s="53"/>
      <c r="C511" s="53"/>
      <c r="D511" s="53"/>
    </row>
    <row r="512">
      <c r="A512" s="53"/>
      <c r="B512" s="53"/>
      <c r="C512" s="53"/>
      <c r="D512" s="53"/>
    </row>
    <row r="513">
      <c r="A513" s="53"/>
      <c r="B513" s="53"/>
      <c r="C513" s="53"/>
      <c r="D513" s="53"/>
    </row>
    <row r="514">
      <c r="A514" s="53"/>
      <c r="B514" s="53"/>
      <c r="C514" s="53"/>
      <c r="D514" s="53"/>
    </row>
    <row r="515">
      <c r="A515" s="53"/>
      <c r="B515" s="53"/>
      <c r="C515" s="53"/>
      <c r="D515" s="53"/>
    </row>
    <row r="516">
      <c r="A516" s="53"/>
      <c r="B516" s="53"/>
      <c r="C516" s="53"/>
      <c r="D516" s="53"/>
    </row>
    <row r="517">
      <c r="A517" s="53"/>
      <c r="B517" s="53"/>
      <c r="C517" s="53"/>
      <c r="D517" s="53"/>
    </row>
    <row r="518">
      <c r="A518" s="53"/>
      <c r="B518" s="53"/>
      <c r="C518" s="53"/>
      <c r="D518" s="53"/>
    </row>
    <row r="519">
      <c r="A519" s="53"/>
      <c r="B519" s="53"/>
      <c r="C519" s="53"/>
      <c r="D519" s="53"/>
    </row>
    <row r="520">
      <c r="A520" s="53"/>
      <c r="B520" s="53"/>
      <c r="C520" s="53"/>
      <c r="D520" s="53"/>
    </row>
    <row r="521">
      <c r="A521" s="53"/>
      <c r="B521" s="53"/>
      <c r="C521" s="53"/>
      <c r="D521" s="53"/>
    </row>
    <row r="522">
      <c r="A522" s="53"/>
      <c r="B522" s="53"/>
      <c r="C522" s="53"/>
      <c r="D522" s="53"/>
    </row>
    <row r="523">
      <c r="A523" s="53"/>
      <c r="B523" s="53"/>
      <c r="C523" s="53"/>
      <c r="D523" s="53"/>
    </row>
    <row r="524">
      <c r="A524" s="53"/>
      <c r="B524" s="53"/>
      <c r="C524" s="53"/>
      <c r="D524" s="53"/>
    </row>
    <row r="525">
      <c r="A525" s="53"/>
      <c r="B525" s="53"/>
      <c r="C525" s="53"/>
      <c r="D525" s="53"/>
    </row>
    <row r="526">
      <c r="A526" s="53"/>
      <c r="B526" s="53"/>
      <c r="C526" s="53"/>
      <c r="D526" s="53"/>
    </row>
    <row r="527">
      <c r="A527" s="53"/>
      <c r="B527" s="53"/>
      <c r="C527" s="53"/>
      <c r="D527" s="53"/>
    </row>
    <row r="528">
      <c r="A528" s="53"/>
      <c r="B528" s="53"/>
      <c r="C528" s="53"/>
      <c r="D528" s="53"/>
    </row>
    <row r="529">
      <c r="A529" s="53"/>
      <c r="B529" s="53"/>
      <c r="C529" s="53"/>
      <c r="D529" s="53"/>
    </row>
    <row r="530">
      <c r="A530" s="53"/>
      <c r="B530" s="53"/>
      <c r="C530" s="53"/>
      <c r="D530" s="53"/>
    </row>
    <row r="531">
      <c r="A531" s="53"/>
      <c r="B531" s="53"/>
      <c r="C531" s="53"/>
      <c r="D531" s="53"/>
    </row>
    <row r="532">
      <c r="A532" s="53"/>
      <c r="B532" s="53"/>
      <c r="C532" s="53"/>
      <c r="D532" s="53"/>
    </row>
    <row r="533">
      <c r="A533" s="53"/>
      <c r="B533" s="53"/>
      <c r="C533" s="53"/>
      <c r="D533" s="53"/>
    </row>
    <row r="534">
      <c r="A534" s="53"/>
      <c r="B534" s="53"/>
      <c r="C534" s="53"/>
      <c r="D534" s="53"/>
    </row>
    <row r="535">
      <c r="A535" s="53"/>
      <c r="B535" s="53"/>
      <c r="C535" s="53"/>
      <c r="D535" s="53"/>
    </row>
    <row r="536">
      <c r="A536" s="53"/>
      <c r="B536" s="53"/>
      <c r="C536" s="53"/>
      <c r="D536" s="53"/>
    </row>
    <row r="537">
      <c r="A537" s="53"/>
      <c r="B537" s="53"/>
      <c r="C537" s="53"/>
      <c r="D537" s="53"/>
    </row>
    <row r="538">
      <c r="A538" s="53"/>
      <c r="B538" s="53"/>
      <c r="C538" s="53"/>
      <c r="D538" s="53"/>
    </row>
    <row r="539">
      <c r="A539" s="53"/>
      <c r="B539" s="53"/>
      <c r="C539" s="53"/>
      <c r="D539" s="53"/>
    </row>
    <row r="540">
      <c r="A540" s="53"/>
      <c r="B540" s="53"/>
      <c r="C540" s="53"/>
      <c r="D540" s="53"/>
    </row>
    <row r="541">
      <c r="A541" s="53"/>
      <c r="B541" s="53"/>
      <c r="C541" s="53"/>
      <c r="D541" s="53"/>
    </row>
    <row r="542">
      <c r="A542" s="53"/>
      <c r="B542" s="53"/>
      <c r="C542" s="53"/>
      <c r="D542" s="53"/>
    </row>
    <row r="543">
      <c r="A543" s="53"/>
      <c r="B543" s="53"/>
      <c r="C543" s="53"/>
      <c r="D543" s="53"/>
    </row>
    <row r="544">
      <c r="A544" s="53"/>
      <c r="B544" s="53"/>
      <c r="C544" s="53"/>
      <c r="D544" s="53"/>
    </row>
    <row r="545">
      <c r="A545" s="53"/>
      <c r="B545" s="53"/>
      <c r="C545" s="53"/>
      <c r="D545" s="53"/>
    </row>
    <row r="546">
      <c r="A546" s="53"/>
      <c r="B546" s="53"/>
      <c r="C546" s="53"/>
      <c r="D546" s="53"/>
    </row>
    <row r="547">
      <c r="A547" s="53"/>
      <c r="B547" s="53"/>
      <c r="C547" s="53"/>
      <c r="D547" s="53"/>
    </row>
    <row r="548">
      <c r="A548" s="53"/>
      <c r="B548" s="53"/>
      <c r="C548" s="53"/>
      <c r="D548" s="53"/>
    </row>
    <row r="549">
      <c r="A549" s="53"/>
      <c r="B549" s="53"/>
      <c r="C549" s="53"/>
      <c r="D549" s="53"/>
    </row>
    <row r="550">
      <c r="A550" s="53"/>
      <c r="B550" s="53"/>
      <c r="C550" s="53"/>
      <c r="D550" s="53"/>
    </row>
    <row r="551">
      <c r="A551" s="53"/>
      <c r="B551" s="53"/>
      <c r="C551" s="53"/>
      <c r="D551" s="53"/>
    </row>
    <row r="552">
      <c r="A552" s="53"/>
      <c r="B552" s="53"/>
      <c r="C552" s="53"/>
      <c r="D552" s="53"/>
    </row>
    <row r="553">
      <c r="A553" s="53"/>
      <c r="B553" s="53"/>
      <c r="C553" s="53"/>
      <c r="D553" s="53"/>
    </row>
    <row r="554">
      <c r="A554" s="53"/>
      <c r="B554" s="53"/>
      <c r="C554" s="53"/>
      <c r="D554" s="53"/>
    </row>
    <row r="555">
      <c r="A555" s="53"/>
      <c r="B555" s="53"/>
      <c r="C555" s="53"/>
      <c r="D555" s="53"/>
    </row>
    <row r="556">
      <c r="A556" s="53"/>
      <c r="B556" s="53"/>
      <c r="C556" s="53"/>
      <c r="D556" s="53"/>
    </row>
    <row r="557">
      <c r="A557" s="53"/>
      <c r="B557" s="53"/>
      <c r="C557" s="53"/>
      <c r="D557" s="53"/>
    </row>
    <row r="558">
      <c r="A558" s="53"/>
      <c r="B558" s="53"/>
      <c r="C558" s="53"/>
      <c r="D558" s="53"/>
    </row>
    <row r="559">
      <c r="A559" s="53"/>
      <c r="B559" s="53"/>
      <c r="C559" s="53"/>
      <c r="D559" s="53"/>
    </row>
    <row r="560">
      <c r="A560" s="53"/>
      <c r="B560" s="53"/>
      <c r="C560" s="53"/>
      <c r="D560" s="53"/>
    </row>
    <row r="561">
      <c r="A561" s="53"/>
      <c r="B561" s="53"/>
      <c r="C561" s="53"/>
      <c r="D561" s="53"/>
    </row>
    <row r="562">
      <c r="A562" s="53"/>
      <c r="B562" s="53"/>
      <c r="C562" s="53"/>
      <c r="D562" s="53"/>
    </row>
    <row r="563">
      <c r="A563" s="53"/>
      <c r="B563" s="53"/>
      <c r="C563" s="53"/>
      <c r="D563" s="53"/>
    </row>
    <row r="564">
      <c r="A564" s="53"/>
      <c r="B564" s="53"/>
      <c r="C564" s="53"/>
      <c r="D564" s="53"/>
    </row>
    <row r="565">
      <c r="A565" s="53"/>
      <c r="B565" s="53"/>
      <c r="C565" s="53"/>
      <c r="D565" s="53"/>
    </row>
    <row r="566">
      <c r="A566" s="53"/>
      <c r="B566" s="53"/>
      <c r="C566" s="53"/>
      <c r="D566" s="53"/>
    </row>
    <row r="567">
      <c r="A567" s="53"/>
      <c r="B567" s="53"/>
      <c r="C567" s="53"/>
      <c r="D567" s="53"/>
    </row>
    <row r="568">
      <c r="A568" s="53"/>
      <c r="B568" s="53"/>
      <c r="C568" s="53"/>
      <c r="D568" s="53"/>
    </row>
    <row r="569">
      <c r="A569" s="53"/>
      <c r="B569" s="53"/>
      <c r="C569" s="53"/>
      <c r="D569" s="53"/>
    </row>
    <row r="570">
      <c r="A570" s="53"/>
      <c r="B570" s="53"/>
      <c r="C570" s="53"/>
      <c r="D570" s="53"/>
    </row>
    <row r="571">
      <c r="A571" s="53"/>
      <c r="B571" s="53"/>
      <c r="C571" s="53"/>
      <c r="D571" s="53"/>
    </row>
    <row r="572">
      <c r="A572" s="53"/>
      <c r="B572" s="53"/>
      <c r="C572" s="53"/>
      <c r="D572" s="53"/>
    </row>
    <row r="573">
      <c r="A573" s="53"/>
      <c r="B573" s="53"/>
      <c r="C573" s="53"/>
      <c r="D573" s="53"/>
    </row>
    <row r="574">
      <c r="A574" s="53"/>
      <c r="B574" s="53"/>
      <c r="C574" s="53"/>
      <c r="D574" s="53"/>
    </row>
    <row r="575">
      <c r="A575" s="53"/>
      <c r="B575" s="53"/>
      <c r="C575" s="53"/>
      <c r="D575" s="53"/>
    </row>
    <row r="576">
      <c r="A576" s="53"/>
      <c r="B576" s="53"/>
      <c r="C576" s="53"/>
      <c r="D576" s="53"/>
    </row>
    <row r="577">
      <c r="A577" s="53"/>
      <c r="B577" s="53"/>
      <c r="C577" s="53"/>
      <c r="D577" s="53"/>
    </row>
    <row r="578">
      <c r="A578" s="53"/>
      <c r="B578" s="53"/>
      <c r="C578" s="53"/>
      <c r="D578" s="53"/>
    </row>
    <row r="579">
      <c r="A579" s="53"/>
      <c r="B579" s="53"/>
      <c r="C579" s="53"/>
      <c r="D579" s="53"/>
    </row>
    <row r="580">
      <c r="A580" s="53"/>
      <c r="B580" s="53"/>
      <c r="C580" s="53"/>
      <c r="D580" s="53"/>
    </row>
    <row r="581">
      <c r="A581" s="53"/>
      <c r="B581" s="53"/>
      <c r="C581" s="53"/>
      <c r="D581" s="53"/>
    </row>
    <row r="582">
      <c r="A582" s="53"/>
      <c r="B582" s="53"/>
      <c r="C582" s="53"/>
      <c r="D582" s="53"/>
    </row>
    <row r="583">
      <c r="A583" s="53"/>
      <c r="B583" s="53"/>
      <c r="C583" s="53"/>
      <c r="D583" s="53"/>
    </row>
    <row r="584">
      <c r="A584" s="53"/>
      <c r="B584" s="53"/>
      <c r="C584" s="53"/>
      <c r="D584" s="53"/>
    </row>
    <row r="585">
      <c r="A585" s="53"/>
      <c r="B585" s="53"/>
      <c r="C585" s="53"/>
      <c r="D585" s="53"/>
    </row>
    <row r="586">
      <c r="A586" s="53"/>
      <c r="B586" s="53"/>
      <c r="C586" s="53"/>
      <c r="D586" s="53"/>
    </row>
    <row r="587">
      <c r="A587" s="53"/>
      <c r="B587" s="53"/>
      <c r="C587" s="53"/>
      <c r="D587" s="53"/>
    </row>
    <row r="588">
      <c r="A588" s="53"/>
      <c r="B588" s="53"/>
      <c r="C588" s="53"/>
      <c r="D588" s="53"/>
    </row>
    <row r="589">
      <c r="A589" s="53"/>
      <c r="B589" s="53"/>
      <c r="C589" s="53"/>
      <c r="D589" s="53"/>
    </row>
    <row r="590">
      <c r="A590" s="53"/>
      <c r="B590" s="53"/>
      <c r="C590" s="53"/>
      <c r="D590" s="53"/>
    </row>
    <row r="591">
      <c r="A591" s="53"/>
      <c r="B591" s="53"/>
      <c r="C591" s="53"/>
      <c r="D591" s="53"/>
    </row>
    <row r="592">
      <c r="A592" s="53"/>
      <c r="B592" s="53"/>
      <c r="C592" s="53"/>
      <c r="D592" s="53"/>
    </row>
    <row r="593">
      <c r="A593" s="53"/>
      <c r="B593" s="53"/>
      <c r="C593" s="53"/>
      <c r="D593" s="53"/>
    </row>
    <row r="594">
      <c r="A594" s="53"/>
      <c r="B594" s="53"/>
      <c r="C594" s="53"/>
      <c r="D594" s="53"/>
    </row>
    <row r="595">
      <c r="A595" s="53"/>
      <c r="B595" s="53"/>
      <c r="C595" s="53"/>
      <c r="D595" s="53"/>
    </row>
    <row r="596">
      <c r="A596" s="53"/>
      <c r="B596" s="53"/>
      <c r="C596" s="53"/>
      <c r="D596" s="53"/>
    </row>
    <row r="597">
      <c r="A597" s="53"/>
      <c r="B597" s="53"/>
      <c r="C597" s="53"/>
      <c r="D597" s="53"/>
    </row>
    <row r="598">
      <c r="A598" s="53"/>
      <c r="B598" s="53"/>
      <c r="C598" s="53"/>
      <c r="D598" s="53"/>
    </row>
    <row r="599">
      <c r="A599" s="53"/>
      <c r="B599" s="53"/>
      <c r="C599" s="53"/>
      <c r="D599" s="53"/>
    </row>
    <row r="600">
      <c r="A600" s="53"/>
      <c r="B600" s="53"/>
      <c r="C600" s="53"/>
      <c r="D600" s="53"/>
    </row>
    <row r="601">
      <c r="A601" s="53"/>
      <c r="B601" s="53"/>
      <c r="C601" s="53"/>
      <c r="D601" s="53"/>
    </row>
    <row r="602">
      <c r="A602" s="53"/>
      <c r="B602" s="53"/>
      <c r="C602" s="53"/>
      <c r="D602" s="53"/>
    </row>
    <row r="603">
      <c r="A603" s="53"/>
      <c r="B603" s="53"/>
      <c r="C603" s="53"/>
      <c r="D603" s="53"/>
    </row>
    <row r="604">
      <c r="A604" s="53"/>
      <c r="B604" s="53"/>
      <c r="C604" s="53"/>
      <c r="D604" s="53"/>
    </row>
    <row r="605">
      <c r="A605" s="53"/>
      <c r="B605" s="53"/>
      <c r="C605" s="53"/>
      <c r="D605" s="53"/>
    </row>
    <row r="606">
      <c r="A606" s="53"/>
      <c r="B606" s="53"/>
      <c r="C606" s="53"/>
      <c r="D606" s="53"/>
    </row>
    <row r="607">
      <c r="A607" s="53"/>
      <c r="B607" s="53"/>
      <c r="C607" s="53"/>
      <c r="D607" s="53"/>
    </row>
    <row r="608">
      <c r="A608" s="53"/>
      <c r="B608" s="53"/>
      <c r="C608" s="53"/>
      <c r="D608" s="53"/>
    </row>
    <row r="609">
      <c r="A609" s="53"/>
      <c r="B609" s="53"/>
      <c r="C609" s="53"/>
      <c r="D609" s="53"/>
    </row>
    <row r="610">
      <c r="A610" s="53"/>
      <c r="B610" s="53"/>
      <c r="C610" s="53"/>
      <c r="D610" s="53"/>
    </row>
    <row r="611">
      <c r="A611" s="53"/>
      <c r="B611" s="53"/>
      <c r="C611" s="53"/>
      <c r="D611" s="53"/>
    </row>
    <row r="612">
      <c r="A612" s="53"/>
      <c r="B612" s="53"/>
      <c r="C612" s="53"/>
      <c r="D612" s="53"/>
    </row>
    <row r="613">
      <c r="A613" s="53"/>
      <c r="B613" s="53"/>
      <c r="C613" s="53"/>
      <c r="D613" s="53"/>
    </row>
    <row r="614">
      <c r="A614" s="53"/>
      <c r="B614" s="53"/>
      <c r="C614" s="53"/>
      <c r="D614" s="53"/>
    </row>
    <row r="615">
      <c r="A615" s="53"/>
      <c r="B615" s="53"/>
      <c r="C615" s="53"/>
      <c r="D615" s="53"/>
    </row>
    <row r="616">
      <c r="A616" s="53"/>
      <c r="B616" s="53"/>
      <c r="C616" s="53"/>
      <c r="D616" s="53"/>
    </row>
    <row r="617">
      <c r="A617" s="53"/>
      <c r="B617" s="53"/>
      <c r="C617" s="53"/>
      <c r="D617" s="53"/>
    </row>
    <row r="618">
      <c r="A618" s="53"/>
      <c r="B618" s="53"/>
      <c r="C618" s="53"/>
      <c r="D618" s="53"/>
    </row>
    <row r="619">
      <c r="A619" s="53"/>
      <c r="B619" s="53"/>
      <c r="C619" s="53"/>
      <c r="D619" s="53"/>
    </row>
    <row r="620">
      <c r="A620" s="53"/>
      <c r="B620" s="53"/>
      <c r="C620" s="53"/>
      <c r="D620" s="53"/>
    </row>
    <row r="621">
      <c r="A621" s="53"/>
      <c r="B621" s="53"/>
      <c r="C621" s="53"/>
      <c r="D621" s="53"/>
    </row>
    <row r="622">
      <c r="A622" s="53"/>
      <c r="B622" s="53"/>
      <c r="C622" s="53"/>
      <c r="D622" s="53"/>
    </row>
    <row r="623">
      <c r="A623" s="53"/>
      <c r="B623" s="53"/>
      <c r="C623" s="53"/>
      <c r="D623" s="53"/>
    </row>
    <row r="624">
      <c r="A624" s="53"/>
      <c r="B624" s="53"/>
      <c r="C624" s="53"/>
      <c r="D624" s="53"/>
    </row>
    <row r="625">
      <c r="A625" s="53"/>
      <c r="B625" s="53"/>
      <c r="C625" s="53"/>
      <c r="D625" s="53"/>
    </row>
    <row r="626">
      <c r="A626" s="53"/>
      <c r="B626" s="53"/>
      <c r="C626" s="53"/>
      <c r="D626" s="53"/>
    </row>
    <row r="627">
      <c r="A627" s="53"/>
      <c r="B627" s="53"/>
      <c r="C627" s="53"/>
      <c r="D627" s="53"/>
    </row>
    <row r="628">
      <c r="A628" s="53"/>
      <c r="B628" s="53"/>
      <c r="C628" s="53"/>
      <c r="D628" s="53"/>
    </row>
    <row r="629">
      <c r="A629" s="53"/>
      <c r="B629" s="53"/>
      <c r="C629" s="53"/>
      <c r="D629" s="53"/>
    </row>
    <row r="630">
      <c r="A630" s="53"/>
      <c r="B630" s="53"/>
      <c r="C630" s="53"/>
      <c r="D630" s="53"/>
    </row>
    <row r="631">
      <c r="A631" s="53"/>
      <c r="B631" s="53"/>
      <c r="C631" s="53"/>
      <c r="D631" s="53"/>
    </row>
    <row r="632">
      <c r="A632" s="53"/>
      <c r="B632" s="53"/>
      <c r="C632" s="53"/>
      <c r="D632" s="53"/>
    </row>
    <row r="633">
      <c r="A633" s="53"/>
      <c r="B633" s="53"/>
      <c r="C633" s="53"/>
      <c r="D633" s="53"/>
    </row>
    <row r="634">
      <c r="A634" s="53"/>
      <c r="B634" s="53"/>
      <c r="C634" s="53"/>
      <c r="D634" s="53"/>
    </row>
    <row r="635">
      <c r="A635" s="53"/>
      <c r="B635" s="53"/>
      <c r="C635" s="53"/>
      <c r="D635" s="53"/>
    </row>
    <row r="636">
      <c r="A636" s="53"/>
      <c r="B636" s="53"/>
      <c r="C636" s="53"/>
      <c r="D636" s="53"/>
    </row>
    <row r="637">
      <c r="A637" s="53"/>
      <c r="B637" s="53"/>
      <c r="C637" s="53"/>
      <c r="D637" s="53"/>
    </row>
    <row r="638">
      <c r="A638" s="53"/>
      <c r="B638" s="53"/>
      <c r="C638" s="53"/>
      <c r="D638" s="53"/>
    </row>
    <row r="639">
      <c r="A639" s="53"/>
      <c r="B639" s="53"/>
      <c r="C639" s="53"/>
      <c r="D639" s="53"/>
    </row>
    <row r="640">
      <c r="A640" s="53"/>
      <c r="B640" s="53"/>
      <c r="C640" s="53"/>
      <c r="D640" s="53"/>
    </row>
    <row r="641">
      <c r="A641" s="53"/>
      <c r="B641" s="53"/>
      <c r="C641" s="53"/>
      <c r="D641" s="53"/>
    </row>
    <row r="642">
      <c r="A642" s="53"/>
      <c r="B642" s="53"/>
      <c r="C642" s="53"/>
      <c r="D642" s="53"/>
    </row>
    <row r="643">
      <c r="A643" s="53"/>
      <c r="B643" s="53"/>
      <c r="C643" s="53"/>
      <c r="D643" s="53"/>
    </row>
    <row r="644">
      <c r="A644" s="53"/>
      <c r="B644" s="53"/>
      <c r="C644" s="53"/>
      <c r="D644" s="53"/>
    </row>
    <row r="645">
      <c r="A645" s="53"/>
      <c r="B645" s="53"/>
      <c r="C645" s="53"/>
      <c r="D645" s="53"/>
    </row>
    <row r="646">
      <c r="A646" s="53"/>
      <c r="B646" s="53"/>
      <c r="C646" s="53"/>
      <c r="D646" s="53"/>
    </row>
    <row r="647">
      <c r="A647" s="53"/>
      <c r="B647" s="53"/>
      <c r="C647" s="53"/>
      <c r="D647" s="53"/>
    </row>
    <row r="648">
      <c r="A648" s="53"/>
      <c r="B648" s="53"/>
      <c r="C648" s="53"/>
      <c r="D648" s="53"/>
    </row>
    <row r="649">
      <c r="A649" s="53"/>
      <c r="B649" s="53"/>
      <c r="C649" s="53"/>
      <c r="D649" s="53"/>
    </row>
    <row r="650">
      <c r="A650" s="53"/>
      <c r="B650" s="53"/>
      <c r="C650" s="53"/>
      <c r="D650" s="53"/>
    </row>
    <row r="651">
      <c r="A651" s="53"/>
      <c r="B651" s="53"/>
      <c r="C651" s="53"/>
      <c r="D651" s="53"/>
    </row>
    <row r="652">
      <c r="A652" s="53"/>
      <c r="B652" s="53"/>
      <c r="C652" s="53"/>
      <c r="D652" s="53"/>
    </row>
    <row r="653">
      <c r="A653" s="53"/>
      <c r="B653" s="53"/>
      <c r="C653" s="53"/>
      <c r="D653" s="53"/>
    </row>
    <row r="654">
      <c r="A654" s="53"/>
      <c r="B654" s="53"/>
      <c r="C654" s="53"/>
      <c r="D654" s="53"/>
    </row>
    <row r="655">
      <c r="A655" s="53"/>
      <c r="B655" s="53"/>
      <c r="C655" s="53"/>
      <c r="D655" s="53"/>
    </row>
    <row r="656">
      <c r="A656" s="53"/>
      <c r="B656" s="53"/>
      <c r="C656" s="53"/>
      <c r="D656" s="53"/>
    </row>
    <row r="657">
      <c r="A657" s="53"/>
      <c r="B657" s="53"/>
      <c r="C657" s="53"/>
      <c r="D657" s="53"/>
    </row>
    <row r="658">
      <c r="A658" s="53"/>
      <c r="B658" s="53"/>
      <c r="C658" s="53"/>
      <c r="D658" s="53"/>
    </row>
    <row r="659">
      <c r="A659" s="53"/>
      <c r="B659" s="53"/>
      <c r="C659" s="53"/>
      <c r="D659" s="53"/>
    </row>
    <row r="660">
      <c r="A660" s="53"/>
      <c r="B660" s="53"/>
      <c r="C660" s="53"/>
      <c r="D660" s="53"/>
    </row>
    <row r="661">
      <c r="A661" s="53"/>
      <c r="B661" s="53"/>
      <c r="C661" s="53"/>
      <c r="D661" s="53"/>
    </row>
    <row r="662">
      <c r="A662" s="53"/>
      <c r="B662" s="53"/>
      <c r="C662" s="53"/>
      <c r="D662" s="53"/>
    </row>
    <row r="663">
      <c r="A663" s="53"/>
      <c r="B663" s="53"/>
      <c r="C663" s="53"/>
      <c r="D663" s="53"/>
    </row>
    <row r="664">
      <c r="A664" s="53"/>
      <c r="B664" s="53"/>
      <c r="C664" s="53"/>
      <c r="D664" s="53"/>
    </row>
    <row r="665">
      <c r="A665" s="53"/>
      <c r="B665" s="53"/>
      <c r="C665" s="53"/>
      <c r="D665" s="53"/>
    </row>
    <row r="666">
      <c r="A666" s="53"/>
      <c r="B666" s="53"/>
      <c r="C666" s="53"/>
      <c r="D666" s="53"/>
    </row>
    <row r="667">
      <c r="A667" s="53"/>
      <c r="B667" s="53"/>
      <c r="C667" s="53"/>
      <c r="D667" s="53"/>
    </row>
    <row r="668">
      <c r="A668" s="53"/>
      <c r="B668" s="53"/>
      <c r="C668" s="53"/>
      <c r="D668" s="53"/>
    </row>
    <row r="669">
      <c r="A669" s="53"/>
      <c r="B669" s="53"/>
      <c r="C669" s="53"/>
      <c r="D669" s="53"/>
    </row>
    <row r="670">
      <c r="A670" s="53"/>
      <c r="B670" s="53"/>
      <c r="C670" s="53"/>
      <c r="D670" s="53"/>
    </row>
    <row r="671">
      <c r="A671" s="53"/>
      <c r="B671" s="53"/>
      <c r="C671" s="53"/>
      <c r="D671" s="53"/>
    </row>
    <row r="672">
      <c r="A672" s="53"/>
      <c r="B672" s="53"/>
      <c r="C672" s="53"/>
      <c r="D672" s="53"/>
    </row>
    <row r="673">
      <c r="A673" s="53"/>
      <c r="B673" s="53"/>
      <c r="C673" s="53"/>
      <c r="D673" s="53"/>
    </row>
    <row r="674">
      <c r="A674" s="53"/>
      <c r="B674" s="53"/>
      <c r="C674" s="53"/>
      <c r="D674" s="53"/>
    </row>
    <row r="675">
      <c r="A675" s="53"/>
      <c r="B675" s="53"/>
      <c r="C675" s="53"/>
      <c r="D675" s="53"/>
    </row>
    <row r="676">
      <c r="A676" s="53"/>
      <c r="B676" s="53"/>
      <c r="C676" s="53"/>
      <c r="D676" s="53"/>
    </row>
    <row r="677">
      <c r="A677" s="53"/>
      <c r="B677" s="53"/>
      <c r="C677" s="53"/>
      <c r="D677" s="53"/>
    </row>
    <row r="678">
      <c r="A678" s="53"/>
      <c r="B678" s="53"/>
      <c r="C678" s="53"/>
      <c r="D678" s="53"/>
    </row>
    <row r="679">
      <c r="A679" s="53"/>
      <c r="B679" s="53"/>
      <c r="C679" s="53"/>
      <c r="D679" s="53"/>
    </row>
    <row r="680">
      <c r="A680" s="53"/>
      <c r="B680" s="53"/>
      <c r="C680" s="53"/>
      <c r="D680" s="53"/>
    </row>
    <row r="681">
      <c r="A681" s="53"/>
      <c r="B681" s="53"/>
      <c r="C681" s="53"/>
      <c r="D681" s="53"/>
    </row>
    <row r="682">
      <c r="A682" s="53"/>
      <c r="B682" s="53"/>
      <c r="C682" s="53"/>
      <c r="D682" s="53"/>
    </row>
    <row r="683">
      <c r="A683" s="53"/>
      <c r="B683" s="53"/>
      <c r="C683" s="53"/>
      <c r="D683" s="53"/>
    </row>
    <row r="684">
      <c r="A684" s="53"/>
      <c r="B684" s="53"/>
      <c r="C684" s="53"/>
      <c r="D684" s="53"/>
    </row>
    <row r="685">
      <c r="A685" s="53"/>
      <c r="B685" s="53"/>
      <c r="C685" s="53"/>
      <c r="D685" s="53"/>
    </row>
    <row r="686">
      <c r="A686" s="53"/>
      <c r="B686" s="53"/>
      <c r="C686" s="53"/>
      <c r="D686" s="53"/>
    </row>
    <row r="687">
      <c r="A687" s="53"/>
      <c r="B687" s="53"/>
      <c r="C687" s="53"/>
      <c r="D687" s="53"/>
    </row>
    <row r="688">
      <c r="A688" s="53"/>
      <c r="B688" s="53"/>
      <c r="C688" s="53"/>
      <c r="D688" s="53"/>
    </row>
    <row r="689">
      <c r="A689" s="53"/>
      <c r="B689" s="53"/>
      <c r="C689" s="53"/>
      <c r="D689" s="53"/>
    </row>
    <row r="690">
      <c r="A690" s="53"/>
      <c r="B690" s="53"/>
      <c r="C690" s="53"/>
      <c r="D690" s="53"/>
    </row>
    <row r="691">
      <c r="A691" s="53"/>
      <c r="B691" s="53"/>
      <c r="C691" s="53"/>
      <c r="D691" s="53"/>
    </row>
    <row r="692">
      <c r="A692" s="53"/>
      <c r="B692" s="53"/>
      <c r="C692" s="53"/>
      <c r="D692" s="53"/>
    </row>
    <row r="693">
      <c r="A693" s="53"/>
      <c r="B693" s="53"/>
      <c r="C693" s="53"/>
      <c r="D693" s="53"/>
    </row>
    <row r="694">
      <c r="A694" s="53"/>
      <c r="B694" s="53"/>
      <c r="C694" s="53"/>
      <c r="D694" s="53"/>
    </row>
    <row r="695">
      <c r="A695" s="53"/>
      <c r="B695" s="53"/>
      <c r="C695" s="53"/>
      <c r="D695" s="53"/>
    </row>
    <row r="696">
      <c r="A696" s="53"/>
      <c r="B696" s="53"/>
      <c r="C696" s="53"/>
      <c r="D696" s="53"/>
    </row>
    <row r="697">
      <c r="A697" s="53"/>
      <c r="B697" s="53"/>
      <c r="C697" s="53"/>
      <c r="D697" s="53"/>
    </row>
    <row r="698">
      <c r="A698" s="53"/>
      <c r="B698" s="53"/>
      <c r="C698" s="53"/>
      <c r="D698" s="53"/>
    </row>
    <row r="699">
      <c r="A699" s="53"/>
      <c r="B699" s="53"/>
      <c r="C699" s="53"/>
      <c r="D699" s="53"/>
    </row>
    <row r="700">
      <c r="A700" s="53"/>
      <c r="B700" s="53"/>
      <c r="C700" s="53"/>
      <c r="D700" s="53"/>
    </row>
    <row r="701">
      <c r="A701" s="53"/>
      <c r="B701" s="53"/>
      <c r="C701" s="53"/>
      <c r="D701" s="53"/>
    </row>
    <row r="702">
      <c r="A702" s="53"/>
      <c r="B702" s="53"/>
      <c r="C702" s="53"/>
      <c r="D702" s="53"/>
    </row>
    <row r="703">
      <c r="A703" s="53"/>
      <c r="B703" s="53"/>
      <c r="C703" s="53"/>
      <c r="D703" s="53"/>
    </row>
    <row r="704">
      <c r="A704" s="53"/>
      <c r="B704" s="53"/>
      <c r="C704" s="53"/>
      <c r="D704" s="53"/>
    </row>
    <row r="705">
      <c r="A705" s="53"/>
      <c r="B705" s="53"/>
      <c r="C705" s="53"/>
      <c r="D705" s="53"/>
    </row>
    <row r="706">
      <c r="A706" s="53"/>
      <c r="B706" s="53"/>
      <c r="C706" s="53"/>
      <c r="D706" s="53"/>
    </row>
    <row r="707">
      <c r="A707" s="53"/>
      <c r="B707" s="53"/>
      <c r="C707" s="53"/>
      <c r="D707" s="53"/>
    </row>
    <row r="708">
      <c r="A708" s="53"/>
      <c r="B708" s="53"/>
      <c r="C708" s="53"/>
      <c r="D708" s="53"/>
    </row>
    <row r="709">
      <c r="A709" s="53"/>
      <c r="B709" s="53"/>
      <c r="C709" s="53"/>
      <c r="D709" s="53"/>
    </row>
    <row r="710">
      <c r="A710" s="53"/>
      <c r="B710" s="53"/>
      <c r="C710" s="53"/>
      <c r="D710" s="53"/>
    </row>
    <row r="711">
      <c r="A711" s="53"/>
      <c r="B711" s="53"/>
      <c r="C711" s="53"/>
      <c r="D711" s="53"/>
    </row>
    <row r="712">
      <c r="A712" s="53"/>
      <c r="B712" s="53"/>
      <c r="C712" s="53"/>
      <c r="D712" s="53"/>
    </row>
    <row r="713">
      <c r="A713" s="53"/>
      <c r="B713" s="53"/>
      <c r="C713" s="53"/>
      <c r="D713" s="53"/>
    </row>
    <row r="714">
      <c r="A714" s="53"/>
      <c r="B714" s="53"/>
      <c r="C714" s="53"/>
      <c r="D714" s="53"/>
    </row>
    <row r="715">
      <c r="A715" s="53"/>
      <c r="B715" s="53"/>
      <c r="C715" s="53"/>
      <c r="D715" s="53"/>
    </row>
    <row r="716">
      <c r="A716" s="53"/>
      <c r="B716" s="53"/>
      <c r="C716" s="53"/>
      <c r="D716" s="53"/>
    </row>
    <row r="717">
      <c r="A717" s="53"/>
      <c r="B717" s="53"/>
      <c r="C717" s="53"/>
      <c r="D717" s="53"/>
    </row>
    <row r="718">
      <c r="A718" s="53"/>
      <c r="B718" s="53"/>
      <c r="C718" s="53"/>
      <c r="D718" s="53"/>
    </row>
    <row r="719">
      <c r="A719" s="53"/>
      <c r="B719" s="53"/>
      <c r="C719" s="53"/>
      <c r="D719" s="53"/>
    </row>
    <row r="720">
      <c r="A720" s="53"/>
      <c r="B720" s="53"/>
      <c r="C720" s="53"/>
      <c r="D720" s="53"/>
    </row>
    <row r="721">
      <c r="A721" s="53"/>
      <c r="B721" s="53"/>
      <c r="C721" s="53"/>
      <c r="D721" s="53"/>
    </row>
    <row r="722">
      <c r="A722" s="53"/>
      <c r="B722" s="53"/>
      <c r="C722" s="53"/>
      <c r="D722" s="53"/>
    </row>
    <row r="723">
      <c r="A723" s="53"/>
      <c r="B723" s="53"/>
      <c r="C723" s="53"/>
      <c r="D723" s="53"/>
    </row>
    <row r="724">
      <c r="A724" s="53"/>
      <c r="B724" s="53"/>
      <c r="C724" s="53"/>
      <c r="D724" s="53"/>
    </row>
    <row r="725">
      <c r="A725" s="53"/>
      <c r="B725" s="53"/>
      <c r="C725" s="53"/>
      <c r="D725" s="53"/>
    </row>
    <row r="726">
      <c r="A726" s="53"/>
      <c r="B726" s="53"/>
      <c r="C726" s="53"/>
      <c r="D726" s="53"/>
    </row>
    <row r="727">
      <c r="A727" s="53"/>
      <c r="B727" s="53"/>
      <c r="C727" s="53"/>
      <c r="D727" s="53"/>
    </row>
    <row r="728">
      <c r="A728" s="53"/>
      <c r="B728" s="53"/>
      <c r="C728" s="53"/>
      <c r="D728" s="53"/>
    </row>
    <row r="729">
      <c r="A729" s="53"/>
      <c r="B729" s="53"/>
      <c r="C729" s="53"/>
      <c r="D729" s="53"/>
    </row>
    <row r="730">
      <c r="A730" s="53"/>
      <c r="B730" s="53"/>
      <c r="C730" s="53"/>
      <c r="D730" s="53"/>
    </row>
    <row r="731">
      <c r="A731" s="53"/>
      <c r="B731" s="53"/>
      <c r="C731" s="53"/>
      <c r="D731" s="53"/>
    </row>
    <row r="732">
      <c r="A732" s="53"/>
      <c r="B732" s="53"/>
      <c r="C732" s="53"/>
      <c r="D732" s="53"/>
    </row>
    <row r="733">
      <c r="A733" s="53"/>
      <c r="B733" s="53"/>
      <c r="C733" s="53"/>
      <c r="D733" s="53"/>
    </row>
    <row r="734">
      <c r="A734" s="53"/>
      <c r="B734" s="53"/>
      <c r="C734" s="53"/>
      <c r="D734" s="53"/>
    </row>
    <row r="735">
      <c r="A735" s="53"/>
      <c r="B735" s="53"/>
      <c r="C735" s="53"/>
      <c r="D735" s="53"/>
    </row>
    <row r="736">
      <c r="A736" s="53"/>
      <c r="B736" s="53"/>
      <c r="C736" s="53"/>
      <c r="D736" s="53"/>
    </row>
    <row r="737">
      <c r="A737" s="53"/>
      <c r="B737" s="53"/>
      <c r="C737" s="53"/>
      <c r="D737" s="53"/>
    </row>
    <row r="738">
      <c r="A738" s="53"/>
      <c r="B738" s="53"/>
      <c r="C738" s="53"/>
      <c r="D738" s="53"/>
    </row>
    <row r="739">
      <c r="A739" s="53"/>
      <c r="B739" s="53"/>
      <c r="C739" s="53"/>
      <c r="D739" s="53"/>
    </row>
    <row r="740">
      <c r="A740" s="53"/>
      <c r="B740" s="53"/>
      <c r="C740" s="53"/>
      <c r="D740" s="53"/>
    </row>
    <row r="741">
      <c r="A741" s="53"/>
      <c r="B741" s="53"/>
      <c r="C741" s="53"/>
      <c r="D741" s="53"/>
    </row>
    <row r="742">
      <c r="A742" s="53"/>
      <c r="B742" s="53"/>
      <c r="C742" s="53"/>
      <c r="D742" s="53"/>
    </row>
    <row r="743">
      <c r="A743" s="53"/>
      <c r="B743" s="53"/>
      <c r="C743" s="53"/>
      <c r="D743" s="53"/>
    </row>
    <row r="744">
      <c r="A744" s="53"/>
      <c r="B744" s="53"/>
      <c r="C744" s="53"/>
      <c r="D744" s="53"/>
    </row>
    <row r="745">
      <c r="A745" s="53"/>
      <c r="B745" s="53"/>
      <c r="C745" s="53"/>
      <c r="D745" s="53"/>
    </row>
    <row r="746">
      <c r="A746" s="53"/>
      <c r="B746" s="53"/>
      <c r="C746" s="53"/>
      <c r="D746" s="53"/>
    </row>
    <row r="747">
      <c r="A747" s="53"/>
      <c r="B747" s="53"/>
      <c r="C747" s="53"/>
      <c r="D747" s="53"/>
    </row>
    <row r="748">
      <c r="A748" s="53"/>
      <c r="B748" s="53"/>
      <c r="C748" s="53"/>
      <c r="D748" s="53"/>
    </row>
    <row r="749">
      <c r="A749" s="53"/>
      <c r="B749" s="53"/>
      <c r="C749" s="53"/>
      <c r="D749" s="53"/>
    </row>
    <row r="750">
      <c r="A750" s="53"/>
      <c r="B750" s="53"/>
      <c r="C750" s="53"/>
      <c r="D750" s="53"/>
    </row>
    <row r="751">
      <c r="A751" s="53"/>
      <c r="B751" s="53"/>
      <c r="C751" s="53"/>
      <c r="D751" s="53"/>
    </row>
    <row r="752">
      <c r="A752" s="53"/>
      <c r="B752" s="53"/>
      <c r="C752" s="53"/>
      <c r="D752" s="53"/>
    </row>
    <row r="753">
      <c r="A753" s="53"/>
      <c r="B753" s="53"/>
      <c r="C753" s="53"/>
      <c r="D753" s="53"/>
    </row>
    <row r="754">
      <c r="A754" s="53"/>
      <c r="B754" s="53"/>
      <c r="C754" s="53"/>
      <c r="D754" s="53"/>
    </row>
    <row r="755">
      <c r="A755" s="53"/>
      <c r="B755" s="53"/>
      <c r="C755" s="53"/>
      <c r="D755" s="53"/>
    </row>
    <row r="756">
      <c r="A756" s="53"/>
      <c r="B756" s="53"/>
      <c r="C756" s="53"/>
      <c r="D756" s="53"/>
    </row>
    <row r="757">
      <c r="A757" s="53"/>
      <c r="B757" s="53"/>
      <c r="C757" s="53"/>
      <c r="D757" s="53"/>
    </row>
    <row r="758">
      <c r="A758" s="53"/>
      <c r="B758" s="53"/>
      <c r="C758" s="53"/>
      <c r="D758" s="53"/>
    </row>
    <row r="759">
      <c r="A759" s="53"/>
      <c r="B759" s="53"/>
      <c r="C759" s="53"/>
      <c r="D759" s="53"/>
    </row>
    <row r="760">
      <c r="A760" s="53"/>
      <c r="B760" s="53"/>
      <c r="C760" s="53"/>
      <c r="D760" s="53"/>
    </row>
    <row r="761">
      <c r="A761" s="53"/>
      <c r="B761" s="53"/>
      <c r="C761" s="53"/>
      <c r="D761" s="53"/>
    </row>
    <row r="762">
      <c r="A762" s="53"/>
      <c r="B762" s="53"/>
      <c r="C762" s="53"/>
      <c r="D762" s="53"/>
    </row>
    <row r="763">
      <c r="A763" s="53"/>
      <c r="B763" s="53"/>
      <c r="C763" s="53"/>
      <c r="D763" s="53"/>
    </row>
    <row r="764">
      <c r="A764" s="53"/>
      <c r="B764" s="53"/>
      <c r="C764" s="53"/>
      <c r="D764" s="53"/>
    </row>
    <row r="765">
      <c r="A765" s="53"/>
      <c r="B765" s="53"/>
      <c r="C765" s="53"/>
      <c r="D765" s="53"/>
    </row>
    <row r="766">
      <c r="A766" s="53"/>
      <c r="B766" s="53"/>
      <c r="C766" s="53"/>
      <c r="D766" s="53"/>
    </row>
    <row r="767">
      <c r="A767" s="53"/>
      <c r="B767" s="53"/>
      <c r="C767" s="53"/>
      <c r="D767" s="53"/>
    </row>
    <row r="768">
      <c r="A768" s="53"/>
      <c r="B768" s="53"/>
      <c r="C768" s="53"/>
      <c r="D768" s="53"/>
    </row>
    <row r="769">
      <c r="A769" s="53"/>
      <c r="B769" s="53"/>
      <c r="C769" s="53"/>
      <c r="D769" s="53"/>
    </row>
    <row r="770">
      <c r="A770" s="53"/>
      <c r="B770" s="53"/>
      <c r="C770" s="53"/>
      <c r="D770" s="53"/>
    </row>
    <row r="771">
      <c r="A771" s="53"/>
      <c r="B771" s="53"/>
      <c r="C771" s="53"/>
      <c r="D771" s="53"/>
    </row>
    <row r="772">
      <c r="A772" s="53"/>
      <c r="B772" s="53"/>
      <c r="C772" s="53"/>
      <c r="D772" s="53"/>
    </row>
    <row r="773">
      <c r="A773" s="53"/>
      <c r="B773" s="53"/>
      <c r="C773" s="53"/>
      <c r="D773" s="53"/>
    </row>
    <row r="774">
      <c r="A774" s="53"/>
      <c r="B774" s="53"/>
      <c r="C774" s="53"/>
      <c r="D774" s="53"/>
    </row>
    <row r="775">
      <c r="A775" s="53"/>
      <c r="B775" s="53"/>
      <c r="C775" s="53"/>
      <c r="D775" s="53"/>
    </row>
    <row r="776">
      <c r="A776" s="53"/>
      <c r="B776" s="53"/>
      <c r="C776" s="53"/>
      <c r="D776" s="53"/>
    </row>
    <row r="777">
      <c r="A777" s="53"/>
      <c r="B777" s="53"/>
      <c r="C777" s="53"/>
      <c r="D777" s="53"/>
    </row>
    <row r="778">
      <c r="A778" s="53"/>
      <c r="B778" s="53"/>
      <c r="C778" s="53"/>
      <c r="D778" s="53"/>
    </row>
    <row r="779">
      <c r="A779" s="53"/>
      <c r="B779" s="53"/>
      <c r="C779" s="53"/>
      <c r="D779" s="53"/>
    </row>
    <row r="780">
      <c r="A780" s="53"/>
      <c r="B780" s="53"/>
      <c r="C780" s="53"/>
      <c r="D780" s="53"/>
    </row>
    <row r="781">
      <c r="A781" s="53"/>
      <c r="B781" s="53"/>
      <c r="C781" s="53"/>
      <c r="D781" s="53"/>
    </row>
    <row r="782">
      <c r="A782" s="53"/>
      <c r="B782" s="53"/>
      <c r="C782" s="53"/>
      <c r="D782" s="53"/>
    </row>
    <row r="783">
      <c r="A783" s="53"/>
      <c r="B783" s="53"/>
      <c r="C783" s="53"/>
      <c r="D783" s="53"/>
    </row>
    <row r="784">
      <c r="A784" s="53"/>
      <c r="B784" s="53"/>
      <c r="C784" s="53"/>
      <c r="D784" s="53"/>
    </row>
    <row r="785">
      <c r="A785" s="53"/>
      <c r="B785" s="53"/>
      <c r="C785" s="53"/>
      <c r="D785" s="53"/>
    </row>
    <row r="786">
      <c r="A786" s="53"/>
      <c r="B786" s="53"/>
      <c r="C786" s="53"/>
      <c r="D786" s="53"/>
    </row>
    <row r="787">
      <c r="A787" s="53"/>
      <c r="B787" s="53"/>
      <c r="C787" s="53"/>
      <c r="D787" s="53"/>
    </row>
    <row r="788">
      <c r="A788" s="53"/>
      <c r="B788" s="53"/>
      <c r="C788" s="53"/>
      <c r="D788" s="53"/>
    </row>
    <row r="789">
      <c r="A789" s="53"/>
      <c r="B789" s="53"/>
      <c r="C789" s="53"/>
      <c r="D789" s="53"/>
    </row>
    <row r="790">
      <c r="A790" s="53"/>
      <c r="B790" s="53"/>
      <c r="C790" s="53"/>
      <c r="D790" s="53"/>
    </row>
    <row r="791">
      <c r="A791" s="53"/>
      <c r="B791" s="53"/>
      <c r="C791" s="53"/>
      <c r="D791" s="53"/>
    </row>
    <row r="792">
      <c r="A792" s="53"/>
      <c r="B792" s="53"/>
      <c r="C792" s="53"/>
      <c r="D792" s="53"/>
    </row>
    <row r="793">
      <c r="A793" s="53"/>
      <c r="B793" s="53"/>
      <c r="C793" s="53"/>
      <c r="D793" s="53"/>
    </row>
    <row r="794">
      <c r="A794" s="53"/>
      <c r="B794" s="53"/>
      <c r="C794" s="53"/>
      <c r="D794" s="53"/>
    </row>
    <row r="795">
      <c r="A795" s="53"/>
      <c r="B795" s="53"/>
      <c r="C795" s="53"/>
      <c r="D795" s="53"/>
    </row>
    <row r="796">
      <c r="A796" s="53"/>
      <c r="B796" s="53"/>
      <c r="C796" s="53"/>
      <c r="D796" s="53"/>
    </row>
    <row r="797">
      <c r="A797" s="53"/>
      <c r="B797" s="53"/>
      <c r="C797" s="53"/>
      <c r="D797" s="53"/>
    </row>
    <row r="798">
      <c r="A798" s="53"/>
      <c r="B798" s="53"/>
      <c r="C798" s="53"/>
      <c r="D798" s="53"/>
    </row>
    <row r="799">
      <c r="A799" s="53"/>
      <c r="B799" s="53"/>
      <c r="C799" s="53"/>
      <c r="D799" s="53"/>
    </row>
    <row r="800">
      <c r="A800" s="53"/>
      <c r="B800" s="53"/>
      <c r="C800" s="53"/>
      <c r="D800" s="53"/>
    </row>
    <row r="801">
      <c r="A801" s="53"/>
      <c r="B801" s="53"/>
      <c r="C801" s="53"/>
      <c r="D801" s="53"/>
    </row>
    <row r="802">
      <c r="A802" s="53"/>
      <c r="B802" s="53"/>
      <c r="C802" s="53"/>
      <c r="D802" s="53"/>
    </row>
    <row r="803">
      <c r="A803" s="53"/>
      <c r="B803" s="53"/>
      <c r="C803" s="53"/>
      <c r="D803" s="53"/>
    </row>
    <row r="804">
      <c r="A804" s="53"/>
      <c r="B804" s="53"/>
      <c r="C804" s="53"/>
      <c r="D804" s="53"/>
    </row>
    <row r="805">
      <c r="A805" s="53"/>
      <c r="B805" s="53"/>
      <c r="C805" s="53"/>
      <c r="D805" s="53"/>
    </row>
    <row r="806">
      <c r="A806" s="53"/>
      <c r="B806" s="53"/>
      <c r="C806" s="53"/>
      <c r="D806" s="53"/>
    </row>
    <row r="807">
      <c r="A807" s="53"/>
      <c r="B807" s="53"/>
      <c r="C807" s="53"/>
      <c r="D807" s="53"/>
    </row>
    <row r="808">
      <c r="A808" s="53"/>
      <c r="B808" s="53"/>
      <c r="C808" s="53"/>
      <c r="D808" s="53"/>
    </row>
    <row r="809">
      <c r="A809" s="53"/>
      <c r="B809" s="53"/>
      <c r="C809" s="53"/>
      <c r="D809" s="53"/>
    </row>
    <row r="810">
      <c r="A810" s="53"/>
      <c r="B810" s="53"/>
      <c r="C810" s="53"/>
      <c r="D810" s="53"/>
    </row>
    <row r="811">
      <c r="A811" s="53"/>
      <c r="B811" s="53"/>
      <c r="C811" s="53"/>
      <c r="D811" s="53"/>
    </row>
    <row r="812">
      <c r="A812" s="53"/>
      <c r="B812" s="53"/>
      <c r="C812" s="53"/>
      <c r="D812" s="53"/>
    </row>
    <row r="813">
      <c r="A813" s="53"/>
      <c r="B813" s="53"/>
      <c r="C813" s="53"/>
      <c r="D813" s="53"/>
    </row>
    <row r="814">
      <c r="A814" s="53"/>
      <c r="B814" s="53"/>
      <c r="C814" s="53"/>
      <c r="D814" s="53"/>
    </row>
    <row r="815">
      <c r="A815" s="53"/>
      <c r="B815" s="53"/>
      <c r="C815" s="53"/>
      <c r="D815" s="53"/>
    </row>
    <row r="816">
      <c r="A816" s="53"/>
      <c r="B816" s="53"/>
      <c r="C816" s="53"/>
      <c r="D816" s="53"/>
    </row>
    <row r="817">
      <c r="A817" s="53"/>
      <c r="B817" s="53"/>
      <c r="C817" s="53"/>
      <c r="D817" s="53"/>
    </row>
    <row r="818">
      <c r="A818" s="53"/>
      <c r="B818" s="53"/>
      <c r="C818" s="53"/>
      <c r="D818" s="53"/>
    </row>
    <row r="819">
      <c r="A819" s="53"/>
      <c r="B819" s="53"/>
      <c r="C819" s="53"/>
      <c r="D819" s="53"/>
    </row>
    <row r="820">
      <c r="A820" s="53"/>
      <c r="B820" s="53"/>
      <c r="C820" s="53"/>
      <c r="D820" s="53"/>
    </row>
    <row r="821">
      <c r="A821" s="53"/>
      <c r="B821" s="53"/>
      <c r="C821" s="53"/>
      <c r="D821" s="53"/>
    </row>
    <row r="822">
      <c r="A822" s="53"/>
      <c r="B822" s="53"/>
      <c r="C822" s="53"/>
      <c r="D822" s="53"/>
    </row>
    <row r="823">
      <c r="A823" s="53"/>
      <c r="B823" s="53"/>
      <c r="C823" s="53"/>
      <c r="D823" s="53"/>
    </row>
    <row r="824">
      <c r="A824" s="53"/>
      <c r="B824" s="53"/>
      <c r="C824" s="53"/>
      <c r="D824" s="53"/>
    </row>
    <row r="825">
      <c r="A825" s="53"/>
      <c r="B825" s="53"/>
      <c r="C825" s="53"/>
      <c r="D825" s="53"/>
    </row>
    <row r="826">
      <c r="A826" s="53"/>
      <c r="B826" s="53"/>
      <c r="C826" s="53"/>
      <c r="D826" s="53"/>
    </row>
    <row r="827">
      <c r="A827" s="53"/>
      <c r="B827" s="53"/>
      <c r="C827" s="53"/>
      <c r="D827" s="53"/>
    </row>
    <row r="828">
      <c r="A828" s="53"/>
      <c r="B828" s="53"/>
      <c r="C828" s="53"/>
      <c r="D828" s="53"/>
    </row>
    <row r="829">
      <c r="A829" s="53"/>
      <c r="B829" s="53"/>
      <c r="C829" s="53"/>
      <c r="D829" s="53"/>
    </row>
    <row r="830">
      <c r="A830" s="53"/>
      <c r="B830" s="53"/>
      <c r="C830" s="53"/>
      <c r="D830" s="53"/>
    </row>
    <row r="831">
      <c r="A831" s="53"/>
      <c r="B831" s="53"/>
      <c r="C831" s="53"/>
      <c r="D831" s="53"/>
    </row>
    <row r="832">
      <c r="A832" s="53"/>
      <c r="B832" s="53"/>
      <c r="C832" s="53"/>
      <c r="D832" s="53"/>
    </row>
    <row r="833">
      <c r="A833" s="53"/>
      <c r="B833" s="53"/>
      <c r="C833" s="53"/>
      <c r="D833" s="53"/>
    </row>
    <row r="834">
      <c r="A834" s="53"/>
      <c r="B834" s="53"/>
      <c r="C834" s="53"/>
      <c r="D834" s="53"/>
    </row>
    <row r="835">
      <c r="A835" s="53"/>
      <c r="B835" s="53"/>
      <c r="C835" s="53"/>
      <c r="D835" s="53"/>
    </row>
    <row r="836">
      <c r="A836" s="53"/>
      <c r="B836" s="53"/>
      <c r="C836" s="53"/>
      <c r="D836" s="53"/>
    </row>
    <row r="837">
      <c r="A837" s="53"/>
      <c r="B837" s="53"/>
      <c r="C837" s="53"/>
      <c r="D837" s="53"/>
    </row>
    <row r="838">
      <c r="A838" s="53"/>
      <c r="B838" s="53"/>
      <c r="C838" s="53"/>
      <c r="D838" s="53"/>
    </row>
    <row r="839">
      <c r="A839" s="53"/>
      <c r="B839" s="53"/>
      <c r="C839" s="53"/>
      <c r="D839" s="53"/>
    </row>
    <row r="840">
      <c r="A840" s="53"/>
      <c r="B840" s="53"/>
      <c r="C840" s="53"/>
      <c r="D840" s="53"/>
    </row>
    <row r="841">
      <c r="A841" s="53"/>
      <c r="B841" s="53"/>
      <c r="C841" s="53"/>
      <c r="D841" s="53"/>
    </row>
    <row r="842">
      <c r="A842" s="53"/>
      <c r="B842" s="53"/>
      <c r="C842" s="53"/>
      <c r="D842" s="53"/>
    </row>
    <row r="843">
      <c r="A843" s="53"/>
      <c r="B843" s="53"/>
      <c r="C843" s="53"/>
      <c r="D843" s="53"/>
    </row>
    <row r="844">
      <c r="A844" s="53"/>
      <c r="B844" s="53"/>
      <c r="C844" s="53"/>
      <c r="D844" s="53"/>
    </row>
    <row r="845">
      <c r="A845" s="53"/>
      <c r="B845" s="53"/>
      <c r="C845" s="53"/>
      <c r="D845" s="53"/>
    </row>
    <row r="846">
      <c r="A846" s="53"/>
      <c r="B846" s="53"/>
      <c r="C846" s="53"/>
      <c r="D846" s="53"/>
    </row>
    <row r="847">
      <c r="A847" s="53"/>
      <c r="B847" s="53"/>
      <c r="C847" s="53"/>
      <c r="D847" s="53"/>
    </row>
    <row r="848">
      <c r="A848" s="53"/>
      <c r="B848" s="53"/>
      <c r="C848" s="53"/>
      <c r="D848" s="53"/>
    </row>
    <row r="849">
      <c r="A849" s="53"/>
      <c r="B849" s="53"/>
      <c r="C849" s="53"/>
      <c r="D849" s="53"/>
    </row>
    <row r="850">
      <c r="A850" s="53"/>
      <c r="B850" s="53"/>
      <c r="C850" s="53"/>
      <c r="D850" s="53"/>
    </row>
    <row r="851">
      <c r="A851" s="53"/>
      <c r="B851" s="53"/>
      <c r="C851" s="53"/>
      <c r="D851" s="53"/>
    </row>
    <row r="852">
      <c r="A852" s="53"/>
      <c r="B852" s="53"/>
      <c r="C852" s="53"/>
      <c r="D852" s="53"/>
    </row>
    <row r="853">
      <c r="A853" s="53"/>
      <c r="B853" s="53"/>
      <c r="C853" s="53"/>
      <c r="D853" s="53"/>
    </row>
    <row r="854">
      <c r="A854" s="53"/>
      <c r="B854" s="53"/>
      <c r="C854" s="53"/>
      <c r="D854" s="53"/>
    </row>
    <row r="855">
      <c r="A855" s="53"/>
      <c r="B855" s="53"/>
      <c r="C855" s="53"/>
      <c r="D855" s="53"/>
    </row>
    <row r="856">
      <c r="A856" s="53"/>
      <c r="B856" s="53"/>
      <c r="C856" s="53"/>
      <c r="D856" s="53"/>
    </row>
    <row r="857">
      <c r="A857" s="53"/>
      <c r="B857" s="53"/>
      <c r="C857" s="53"/>
      <c r="D857" s="53"/>
    </row>
    <row r="858">
      <c r="A858" s="53"/>
      <c r="B858" s="53"/>
      <c r="C858" s="53"/>
      <c r="D858" s="53"/>
    </row>
    <row r="859">
      <c r="A859" s="53"/>
      <c r="B859" s="53"/>
      <c r="C859" s="53"/>
      <c r="D859" s="53"/>
    </row>
    <row r="860">
      <c r="A860" s="53"/>
      <c r="B860" s="53"/>
      <c r="C860" s="53"/>
      <c r="D860" s="53"/>
    </row>
    <row r="861">
      <c r="A861" s="53"/>
      <c r="B861" s="53"/>
      <c r="C861" s="53"/>
      <c r="D861" s="53"/>
    </row>
    <row r="862">
      <c r="A862" s="53"/>
      <c r="B862" s="53"/>
      <c r="C862" s="53"/>
      <c r="D862" s="53"/>
    </row>
    <row r="863">
      <c r="A863" s="53"/>
      <c r="B863" s="53"/>
      <c r="C863" s="53"/>
      <c r="D863" s="53"/>
    </row>
    <row r="864">
      <c r="A864" s="53"/>
      <c r="B864" s="53"/>
      <c r="C864" s="53"/>
      <c r="D864" s="53"/>
    </row>
    <row r="865">
      <c r="A865" s="53"/>
      <c r="B865" s="53"/>
      <c r="C865" s="53"/>
      <c r="D865" s="53"/>
    </row>
    <row r="866">
      <c r="A866" s="53"/>
      <c r="B866" s="53"/>
      <c r="C866" s="53"/>
      <c r="D866" s="53"/>
    </row>
    <row r="867">
      <c r="A867" s="53"/>
      <c r="B867" s="53"/>
      <c r="C867" s="53"/>
      <c r="D867" s="53"/>
    </row>
    <row r="868">
      <c r="A868" s="53"/>
      <c r="B868" s="53"/>
      <c r="C868" s="53"/>
      <c r="D868" s="53"/>
    </row>
    <row r="869">
      <c r="A869" s="53"/>
      <c r="B869" s="53"/>
      <c r="C869" s="53"/>
      <c r="D869" s="53"/>
    </row>
    <row r="870">
      <c r="A870" s="53"/>
      <c r="B870" s="53"/>
      <c r="C870" s="53"/>
      <c r="D870" s="53"/>
    </row>
    <row r="871">
      <c r="A871" s="53"/>
      <c r="B871" s="53"/>
      <c r="C871" s="53"/>
      <c r="D871" s="53"/>
    </row>
    <row r="872">
      <c r="A872" s="53"/>
      <c r="B872" s="53"/>
      <c r="C872" s="53"/>
      <c r="D872" s="53"/>
    </row>
    <row r="873">
      <c r="A873" s="53"/>
      <c r="B873" s="53"/>
      <c r="C873" s="53"/>
      <c r="D873" s="53"/>
    </row>
    <row r="874">
      <c r="A874" s="53"/>
      <c r="B874" s="53"/>
      <c r="C874" s="53"/>
      <c r="D874" s="53"/>
    </row>
    <row r="875">
      <c r="A875" s="53"/>
      <c r="B875" s="53"/>
      <c r="C875" s="53"/>
      <c r="D875" s="53"/>
    </row>
    <row r="876">
      <c r="A876" s="53"/>
      <c r="B876" s="53"/>
      <c r="C876" s="53"/>
      <c r="D876" s="53"/>
    </row>
    <row r="877">
      <c r="A877" s="53"/>
      <c r="B877" s="53"/>
      <c r="C877" s="53"/>
      <c r="D877" s="53"/>
    </row>
    <row r="878">
      <c r="A878" s="53"/>
      <c r="B878" s="53"/>
      <c r="C878" s="53"/>
      <c r="D878" s="53"/>
    </row>
    <row r="879">
      <c r="A879" s="53"/>
      <c r="B879" s="53"/>
      <c r="C879" s="53"/>
      <c r="D879" s="53"/>
    </row>
    <row r="880">
      <c r="A880" s="53"/>
      <c r="B880" s="53"/>
      <c r="C880" s="53"/>
      <c r="D880" s="53"/>
    </row>
    <row r="881">
      <c r="A881" s="53"/>
      <c r="B881" s="53"/>
      <c r="C881" s="53"/>
      <c r="D881" s="53"/>
    </row>
    <row r="882">
      <c r="A882" s="53"/>
      <c r="B882" s="53"/>
      <c r="C882" s="53"/>
      <c r="D882" s="53"/>
    </row>
    <row r="883">
      <c r="A883" s="53"/>
      <c r="B883" s="53"/>
      <c r="C883" s="53"/>
      <c r="D883" s="53"/>
    </row>
    <row r="884">
      <c r="A884" s="53"/>
      <c r="B884" s="53"/>
      <c r="C884" s="53"/>
      <c r="D884" s="53"/>
    </row>
    <row r="885">
      <c r="A885" s="53"/>
      <c r="B885" s="53"/>
      <c r="C885" s="53"/>
      <c r="D885" s="53"/>
    </row>
    <row r="886">
      <c r="A886" s="53"/>
      <c r="B886" s="53"/>
      <c r="C886" s="53"/>
      <c r="D886" s="53"/>
    </row>
    <row r="887">
      <c r="A887" s="53"/>
      <c r="B887" s="53"/>
      <c r="C887" s="53"/>
      <c r="D887" s="53"/>
    </row>
    <row r="888">
      <c r="A888" s="53"/>
      <c r="B888" s="53"/>
      <c r="C888" s="53"/>
      <c r="D888" s="53"/>
    </row>
    <row r="889">
      <c r="A889" s="53"/>
      <c r="B889" s="53"/>
      <c r="C889" s="53"/>
      <c r="D889" s="53"/>
    </row>
    <row r="890">
      <c r="A890" s="53"/>
      <c r="B890" s="53"/>
      <c r="C890" s="53"/>
      <c r="D890" s="53"/>
    </row>
    <row r="891">
      <c r="A891" s="53"/>
      <c r="B891" s="53"/>
      <c r="C891" s="53"/>
      <c r="D891" s="53"/>
    </row>
    <row r="892">
      <c r="A892" s="53"/>
      <c r="B892" s="53"/>
      <c r="C892" s="53"/>
      <c r="D892" s="53"/>
    </row>
    <row r="893">
      <c r="A893" s="53"/>
      <c r="B893" s="53"/>
      <c r="C893" s="53"/>
      <c r="D893" s="53"/>
    </row>
    <row r="894">
      <c r="A894" s="53"/>
      <c r="B894" s="53"/>
      <c r="C894" s="53"/>
      <c r="D894" s="53"/>
    </row>
    <row r="895">
      <c r="A895" s="53"/>
      <c r="B895" s="53"/>
      <c r="C895" s="53"/>
      <c r="D895" s="53"/>
    </row>
    <row r="896">
      <c r="A896" s="53"/>
      <c r="B896" s="53"/>
      <c r="C896" s="53"/>
      <c r="D896" s="53"/>
    </row>
    <row r="897">
      <c r="A897" s="53"/>
      <c r="B897" s="53"/>
      <c r="C897" s="53"/>
      <c r="D897" s="53"/>
    </row>
    <row r="898">
      <c r="A898" s="53"/>
      <c r="B898" s="53"/>
      <c r="C898" s="53"/>
      <c r="D898" s="53"/>
    </row>
    <row r="899">
      <c r="A899" s="53"/>
      <c r="B899" s="53"/>
      <c r="C899" s="53"/>
      <c r="D899" s="53"/>
    </row>
    <row r="900">
      <c r="A900" s="53"/>
      <c r="B900" s="53"/>
      <c r="C900" s="53"/>
      <c r="D900" s="53"/>
    </row>
    <row r="901">
      <c r="A901" s="53"/>
      <c r="B901" s="53"/>
      <c r="C901" s="53"/>
      <c r="D901" s="53"/>
    </row>
    <row r="902">
      <c r="A902" s="53"/>
      <c r="B902" s="53"/>
      <c r="C902" s="53"/>
      <c r="D902" s="53"/>
    </row>
    <row r="903">
      <c r="A903" s="53"/>
      <c r="B903" s="53"/>
      <c r="C903" s="53"/>
      <c r="D903" s="53"/>
    </row>
    <row r="904">
      <c r="A904" s="53"/>
      <c r="B904" s="53"/>
      <c r="C904" s="53"/>
      <c r="D904" s="53"/>
    </row>
    <row r="905">
      <c r="A905" s="53"/>
      <c r="B905" s="53"/>
      <c r="C905" s="53"/>
      <c r="D905" s="53"/>
    </row>
    <row r="906">
      <c r="A906" s="53"/>
      <c r="B906" s="53"/>
      <c r="C906" s="53"/>
      <c r="D906" s="53"/>
    </row>
    <row r="907">
      <c r="A907" s="53"/>
      <c r="B907" s="53"/>
      <c r="C907" s="53"/>
      <c r="D907" s="53"/>
    </row>
    <row r="908">
      <c r="A908" s="53"/>
      <c r="B908" s="53"/>
      <c r="C908" s="53"/>
      <c r="D908" s="53"/>
    </row>
    <row r="909">
      <c r="A909" s="53"/>
      <c r="B909" s="53"/>
      <c r="C909" s="53"/>
      <c r="D909" s="53"/>
    </row>
    <row r="910">
      <c r="A910" s="53"/>
      <c r="B910" s="53"/>
      <c r="C910" s="53"/>
      <c r="D910" s="53"/>
    </row>
    <row r="911">
      <c r="A911" s="53"/>
      <c r="B911" s="53"/>
      <c r="C911" s="53"/>
      <c r="D911" s="53"/>
    </row>
    <row r="912">
      <c r="A912" s="53"/>
      <c r="B912" s="53"/>
      <c r="C912" s="53"/>
      <c r="D912" s="53"/>
    </row>
    <row r="913">
      <c r="A913" s="53"/>
      <c r="B913" s="53"/>
      <c r="C913" s="53"/>
      <c r="D913" s="53"/>
    </row>
    <row r="914">
      <c r="A914" s="53"/>
      <c r="B914" s="53"/>
      <c r="C914" s="53"/>
      <c r="D914" s="53"/>
    </row>
    <row r="915">
      <c r="A915" s="53"/>
      <c r="B915" s="53"/>
      <c r="C915" s="53"/>
      <c r="D915" s="53"/>
    </row>
    <row r="916">
      <c r="A916" s="53"/>
      <c r="B916" s="53"/>
      <c r="C916" s="53"/>
      <c r="D916" s="53"/>
    </row>
    <row r="917">
      <c r="A917" s="53"/>
      <c r="B917" s="53"/>
      <c r="C917" s="53"/>
      <c r="D917" s="53"/>
    </row>
    <row r="918">
      <c r="A918" s="53"/>
      <c r="B918" s="53"/>
      <c r="C918" s="53"/>
      <c r="D918" s="53"/>
    </row>
    <row r="919">
      <c r="A919" s="53"/>
      <c r="B919" s="53"/>
      <c r="C919" s="53"/>
      <c r="D919" s="53"/>
    </row>
    <row r="920">
      <c r="A920" s="53"/>
      <c r="B920" s="53"/>
      <c r="C920" s="53"/>
      <c r="D920" s="53"/>
    </row>
    <row r="921">
      <c r="A921" s="53"/>
      <c r="B921" s="53"/>
      <c r="C921" s="53"/>
      <c r="D921" s="53"/>
    </row>
    <row r="922">
      <c r="A922" s="53"/>
      <c r="B922" s="53"/>
      <c r="C922" s="53"/>
      <c r="D922" s="53"/>
    </row>
    <row r="923">
      <c r="A923" s="53"/>
      <c r="B923" s="53"/>
      <c r="C923" s="53"/>
      <c r="D923" s="53"/>
    </row>
    <row r="924">
      <c r="A924" s="53"/>
      <c r="B924" s="53"/>
      <c r="C924" s="53"/>
      <c r="D924" s="53"/>
    </row>
    <row r="925">
      <c r="A925" s="53"/>
      <c r="B925" s="53"/>
      <c r="C925" s="53"/>
      <c r="D925" s="53"/>
    </row>
    <row r="926">
      <c r="A926" s="53"/>
      <c r="B926" s="53"/>
      <c r="C926" s="53"/>
      <c r="D926" s="53"/>
    </row>
    <row r="927">
      <c r="A927" s="53"/>
      <c r="B927" s="53"/>
      <c r="C927" s="53"/>
      <c r="D927" s="53"/>
    </row>
    <row r="928">
      <c r="A928" s="53"/>
      <c r="B928" s="53"/>
      <c r="C928" s="53"/>
      <c r="D928" s="53"/>
    </row>
    <row r="929">
      <c r="A929" s="53"/>
      <c r="B929" s="53"/>
      <c r="C929" s="53"/>
      <c r="D929" s="53"/>
    </row>
    <row r="930">
      <c r="A930" s="53"/>
      <c r="B930" s="53"/>
      <c r="C930" s="53"/>
      <c r="D930" s="53"/>
    </row>
    <row r="931">
      <c r="A931" s="53"/>
      <c r="B931" s="53"/>
      <c r="C931" s="53"/>
      <c r="D931" s="53"/>
    </row>
    <row r="932">
      <c r="A932" s="53"/>
      <c r="B932" s="53"/>
      <c r="C932" s="53"/>
      <c r="D932" s="53"/>
    </row>
    <row r="933">
      <c r="A933" s="53"/>
      <c r="B933" s="53"/>
      <c r="C933" s="53"/>
      <c r="D933" s="53"/>
    </row>
    <row r="934">
      <c r="A934" s="53"/>
      <c r="B934" s="53"/>
      <c r="C934" s="53"/>
      <c r="D934" s="53"/>
    </row>
    <row r="935">
      <c r="A935" s="53"/>
      <c r="B935" s="53"/>
      <c r="C935" s="53"/>
      <c r="D935" s="53"/>
    </row>
    <row r="936">
      <c r="A936" s="53"/>
      <c r="B936" s="53"/>
      <c r="C936" s="53"/>
      <c r="D936" s="53"/>
    </row>
    <row r="937">
      <c r="A937" s="53"/>
      <c r="B937" s="53"/>
      <c r="C937" s="53"/>
      <c r="D937" s="53"/>
    </row>
    <row r="938">
      <c r="A938" s="53"/>
      <c r="B938" s="53"/>
      <c r="C938" s="53"/>
      <c r="D938" s="53"/>
    </row>
    <row r="939">
      <c r="A939" s="53"/>
      <c r="B939" s="53"/>
      <c r="C939" s="53"/>
      <c r="D939" s="53"/>
    </row>
    <row r="940">
      <c r="A940" s="53"/>
      <c r="B940" s="53"/>
      <c r="C940" s="53"/>
      <c r="D940" s="53"/>
    </row>
    <row r="941">
      <c r="A941" s="53"/>
      <c r="B941" s="53"/>
      <c r="C941" s="53"/>
      <c r="D941" s="53"/>
    </row>
    <row r="942">
      <c r="A942" s="53"/>
      <c r="B942" s="53"/>
      <c r="C942" s="53"/>
      <c r="D942" s="53"/>
    </row>
    <row r="943">
      <c r="A943" s="53"/>
      <c r="B943" s="53"/>
      <c r="C943" s="53"/>
      <c r="D943" s="53"/>
    </row>
    <row r="944">
      <c r="A944" s="53"/>
      <c r="B944" s="53"/>
      <c r="C944" s="53"/>
      <c r="D944" s="53"/>
    </row>
    <row r="945">
      <c r="A945" s="53"/>
      <c r="B945" s="53"/>
      <c r="C945" s="53"/>
      <c r="D945" s="53"/>
    </row>
    <row r="946">
      <c r="A946" s="53"/>
      <c r="B946" s="53"/>
      <c r="C946" s="53"/>
      <c r="D946" s="53"/>
    </row>
    <row r="947">
      <c r="A947" s="53"/>
      <c r="B947" s="53"/>
      <c r="C947" s="53"/>
      <c r="D947" s="53"/>
    </row>
    <row r="948">
      <c r="A948" s="53"/>
      <c r="B948" s="53"/>
      <c r="C948" s="53"/>
      <c r="D948" s="53"/>
    </row>
    <row r="949">
      <c r="A949" s="53"/>
      <c r="B949" s="53"/>
      <c r="C949" s="53"/>
      <c r="D949" s="53"/>
    </row>
    <row r="950">
      <c r="A950" s="53"/>
      <c r="B950" s="53"/>
      <c r="C950" s="53"/>
      <c r="D950" s="53"/>
    </row>
    <row r="951">
      <c r="A951" s="53"/>
      <c r="B951" s="53"/>
      <c r="C951" s="53"/>
      <c r="D951" s="53"/>
    </row>
    <row r="952">
      <c r="A952" s="53"/>
      <c r="B952" s="53"/>
      <c r="C952" s="53"/>
      <c r="D952" s="53"/>
    </row>
    <row r="953">
      <c r="A953" s="53"/>
      <c r="B953" s="53"/>
      <c r="C953" s="53"/>
      <c r="D953" s="53"/>
    </row>
    <row r="954">
      <c r="A954" s="53"/>
      <c r="B954" s="53"/>
      <c r="C954" s="53"/>
      <c r="D954" s="53"/>
    </row>
    <row r="955">
      <c r="A955" s="53"/>
      <c r="B955" s="53"/>
      <c r="C955" s="53"/>
      <c r="D955" s="53"/>
    </row>
    <row r="956">
      <c r="A956" s="53"/>
      <c r="B956" s="53"/>
      <c r="C956" s="53"/>
      <c r="D956" s="53"/>
    </row>
    <row r="957">
      <c r="A957" s="53"/>
      <c r="B957" s="53"/>
      <c r="C957" s="53"/>
      <c r="D957" s="53"/>
    </row>
    <row r="958">
      <c r="A958" s="53"/>
      <c r="B958" s="53"/>
      <c r="C958" s="53"/>
      <c r="D958" s="53"/>
    </row>
    <row r="959">
      <c r="A959" s="53"/>
      <c r="B959" s="53"/>
      <c r="C959" s="53"/>
      <c r="D959" s="53"/>
    </row>
    <row r="960">
      <c r="A960" s="53"/>
      <c r="B960" s="53"/>
      <c r="C960" s="53"/>
      <c r="D960" s="53"/>
    </row>
    <row r="961">
      <c r="A961" s="53"/>
      <c r="B961" s="53"/>
      <c r="C961" s="53"/>
      <c r="D961" s="53"/>
    </row>
    <row r="962">
      <c r="A962" s="53"/>
      <c r="B962" s="53"/>
      <c r="C962" s="53"/>
      <c r="D962" s="53"/>
    </row>
    <row r="963">
      <c r="A963" s="53"/>
      <c r="B963" s="53"/>
      <c r="C963" s="53"/>
      <c r="D963" s="53"/>
    </row>
    <row r="964">
      <c r="A964" s="53"/>
      <c r="B964" s="53"/>
      <c r="C964" s="53"/>
      <c r="D964" s="53"/>
    </row>
    <row r="965">
      <c r="A965" s="53"/>
      <c r="B965" s="53"/>
      <c r="C965" s="53"/>
      <c r="D965" s="53"/>
    </row>
    <row r="966">
      <c r="A966" s="53"/>
      <c r="B966" s="53"/>
      <c r="C966" s="53"/>
      <c r="D966" s="53"/>
    </row>
    <row r="967">
      <c r="A967" s="53"/>
      <c r="B967" s="53"/>
      <c r="C967" s="53"/>
      <c r="D967" s="53"/>
    </row>
    <row r="968">
      <c r="A968" s="53"/>
      <c r="B968" s="53"/>
      <c r="C968" s="53"/>
      <c r="D968" s="53"/>
    </row>
    <row r="969">
      <c r="A969" s="53"/>
      <c r="B969" s="53"/>
      <c r="C969" s="53"/>
      <c r="D969" s="53"/>
    </row>
    <row r="970">
      <c r="A970" s="53"/>
      <c r="B970" s="53"/>
      <c r="C970" s="53"/>
      <c r="D970" s="53"/>
    </row>
    <row r="971">
      <c r="A971" s="53"/>
      <c r="B971" s="53"/>
      <c r="C971" s="53"/>
      <c r="D971" s="53"/>
    </row>
    <row r="972">
      <c r="A972" s="53"/>
      <c r="B972" s="53"/>
      <c r="C972" s="53"/>
      <c r="D972" s="53"/>
    </row>
    <row r="973">
      <c r="A973" s="53"/>
      <c r="B973" s="53"/>
      <c r="C973" s="53"/>
      <c r="D973" s="53"/>
    </row>
    <row r="974">
      <c r="A974" s="53"/>
      <c r="B974" s="53"/>
      <c r="C974" s="53"/>
      <c r="D974" s="53"/>
    </row>
    <row r="975">
      <c r="A975" s="53"/>
      <c r="B975" s="53"/>
      <c r="C975" s="53"/>
      <c r="D975" s="53"/>
    </row>
    <row r="976">
      <c r="A976" s="53"/>
      <c r="B976" s="53"/>
      <c r="C976" s="53"/>
      <c r="D976" s="53"/>
    </row>
    <row r="977">
      <c r="A977" s="53"/>
      <c r="B977" s="53"/>
      <c r="C977" s="53"/>
      <c r="D977" s="53"/>
    </row>
    <row r="978">
      <c r="A978" s="53"/>
      <c r="B978" s="53"/>
      <c r="C978" s="53"/>
      <c r="D978" s="53"/>
    </row>
    <row r="979">
      <c r="A979" s="53"/>
      <c r="B979" s="53"/>
      <c r="C979" s="53"/>
      <c r="D979" s="53"/>
    </row>
    <row r="980">
      <c r="A980" s="53"/>
      <c r="B980" s="53"/>
      <c r="C980" s="53"/>
      <c r="D980" s="53"/>
    </row>
    <row r="981">
      <c r="A981" s="53"/>
      <c r="B981" s="53"/>
      <c r="C981" s="53"/>
      <c r="D981" s="53"/>
    </row>
    <row r="982">
      <c r="A982" s="53"/>
      <c r="B982" s="53"/>
      <c r="C982" s="53"/>
      <c r="D982" s="53"/>
    </row>
    <row r="983">
      <c r="A983" s="53"/>
      <c r="B983" s="53"/>
      <c r="C983" s="53"/>
      <c r="D983" s="53"/>
    </row>
    <row r="984">
      <c r="A984" s="53"/>
      <c r="B984" s="53"/>
      <c r="C984" s="53"/>
      <c r="D984" s="53"/>
    </row>
    <row r="985">
      <c r="A985" s="53"/>
      <c r="B985" s="53"/>
      <c r="C985" s="53"/>
      <c r="D985" s="53"/>
    </row>
    <row r="986">
      <c r="A986" s="53"/>
      <c r="B986" s="53"/>
      <c r="C986" s="53"/>
      <c r="D986" s="53"/>
    </row>
    <row r="987">
      <c r="A987" s="53"/>
      <c r="B987" s="53"/>
      <c r="C987" s="53"/>
      <c r="D987" s="53"/>
    </row>
    <row r="988">
      <c r="A988" s="53"/>
      <c r="B988" s="53"/>
      <c r="C988" s="53"/>
      <c r="D988" s="53"/>
    </row>
    <row r="989">
      <c r="A989" s="53"/>
      <c r="B989" s="53"/>
      <c r="C989" s="53"/>
      <c r="D989" s="53"/>
    </row>
    <row r="990">
      <c r="A990" s="53"/>
      <c r="B990" s="53"/>
      <c r="C990" s="53"/>
      <c r="D990" s="53"/>
    </row>
    <row r="991">
      <c r="A991" s="53"/>
      <c r="B991" s="53"/>
      <c r="C991" s="53"/>
      <c r="D991" s="53"/>
    </row>
    <row r="992">
      <c r="A992" s="53"/>
      <c r="B992" s="53"/>
      <c r="C992" s="53"/>
      <c r="D992" s="53"/>
    </row>
    <row r="993">
      <c r="A993" s="53"/>
      <c r="B993" s="53"/>
      <c r="C993" s="53"/>
      <c r="D993" s="53"/>
    </row>
    <row r="994">
      <c r="A994" s="53"/>
      <c r="B994" s="53"/>
      <c r="C994" s="53"/>
      <c r="D994" s="53"/>
    </row>
    <row r="995">
      <c r="A995" s="53"/>
      <c r="B995" s="53"/>
      <c r="C995" s="53"/>
      <c r="D995" s="53"/>
    </row>
    <row r="996">
      <c r="A996" s="53"/>
      <c r="B996" s="53"/>
      <c r="C996" s="53"/>
      <c r="D996" s="53"/>
    </row>
    <row r="997">
      <c r="A997" s="53"/>
      <c r="B997" s="53"/>
      <c r="C997" s="53"/>
      <c r="D997" s="53"/>
    </row>
    <row r="998">
      <c r="A998" s="53"/>
      <c r="B998" s="53"/>
      <c r="C998" s="53"/>
      <c r="D998" s="53"/>
    </row>
    <row r="999">
      <c r="A999" s="53"/>
      <c r="B999" s="53"/>
      <c r="C999" s="53"/>
      <c r="D999" s="53"/>
    </row>
    <row r="1000">
      <c r="A1000" s="53"/>
      <c r="B1000" s="53"/>
      <c r="C1000" s="53"/>
      <c r="D1000" s="5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2" max="2" width="38.86"/>
  </cols>
  <sheetData>
    <row r="1"/>
    <row r="2"/>
    <row r="3"/>
    <row r="4"/>
    <row r="5"/>
    <row r="6"/>
    <row r="7"/>
    <row r="8"/>
    <row r="9"/>
    <row r="10"/>
    <row r="11"/>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3.57"/>
    <col customWidth="1" hidden="1" min="2" max="2" width="8.29"/>
    <col customWidth="1" min="3" max="3" width="8.29"/>
    <col customWidth="1" min="4" max="4" width="8.14"/>
    <col customWidth="1" min="5" max="5" width="9.57"/>
    <col customWidth="1" min="6" max="6" width="11.71"/>
    <col customWidth="1" min="7" max="7" width="12.14"/>
    <col customWidth="1" min="8" max="8" width="68.71"/>
    <col customWidth="1" min="9" max="9" width="71.57"/>
    <col customWidth="1" min="10" max="10" width="8.86"/>
    <col customWidth="1" min="11" max="11" width="11.71"/>
    <col customWidth="1" min="12" max="12" width="19.71"/>
  </cols>
  <sheetData>
    <row r="1">
      <c r="A1" s="55" t="s">
        <v>72</v>
      </c>
      <c r="B1" s="56" t="s">
        <v>713</v>
      </c>
      <c r="C1" s="56" t="s">
        <v>714</v>
      </c>
      <c r="D1" s="56" t="s">
        <v>1</v>
      </c>
      <c r="E1" s="56" t="s">
        <v>715</v>
      </c>
      <c r="F1" s="57" t="s">
        <v>716</v>
      </c>
      <c r="G1" s="56" t="s">
        <v>717</v>
      </c>
      <c r="H1" s="55" t="s">
        <v>68</v>
      </c>
      <c r="I1" s="55" t="s">
        <v>69</v>
      </c>
      <c r="J1" s="58" t="s">
        <v>2</v>
      </c>
      <c r="K1" s="58" t="s">
        <v>71</v>
      </c>
      <c r="L1" s="59" t="s">
        <v>718</v>
      </c>
    </row>
    <row r="2">
      <c r="A2" s="60" t="s">
        <v>719</v>
      </c>
      <c r="B2" s="61" t="s">
        <v>720</v>
      </c>
      <c r="C2" s="61" t="s">
        <v>721</v>
      </c>
      <c r="D2" s="61" t="s">
        <v>722</v>
      </c>
      <c r="E2" s="61"/>
      <c r="F2" s="61"/>
      <c r="G2" s="62"/>
      <c r="H2" s="62" t="s">
        <v>723</v>
      </c>
      <c r="I2" s="63" t="s">
        <v>724</v>
      </c>
      <c r="J2" s="64">
        <f>SUM(
  SUMIFS(
    PriceRef!$D$2:$D154,
    PriceRef!$A$2:$A154, "Seat",
    PriceRef!$B$2:$B154, $B2,
    PriceRef!$C$2:$C154, $C2
  ),
  SUMIFS(
    PriceRef!$D$2:$D154,
    PriceRef!$A$2:$A154, "Stitching",
    PriceRef!$C$2:$C154, $F2
  ),
  SUMIFS(
    PriceRef!$D$2:$D154,
    PriceRef!$A$2:$A154, "Suede",
    PriceRef!$C$2:$C154, $E2
  ),
  SUMIFS(
    PriceRef!$D$2:$D154,
    PriceRef!$A$2:$A154, "TwoTone",
    PriceRef!$C$2:$C154, $G2
  )
)</f>
        <v>0</v>
      </c>
      <c r="K2" s="65" t="s">
        <v>725</v>
      </c>
      <c r="L2" s="66" t="str">
        <f t="shared" ref="L2:L154" si="1">textjoin(" ",true,B2,C2,D2,F2,E2,G2)</f>
        <v>1LT AQ9 HTA</v>
      </c>
    </row>
    <row r="3">
      <c r="A3" s="60" t="s">
        <v>719</v>
      </c>
      <c r="B3" s="61" t="s">
        <v>720</v>
      </c>
      <c r="C3" s="61" t="s">
        <v>726</v>
      </c>
      <c r="D3" s="61" t="s">
        <v>727</v>
      </c>
      <c r="E3" s="61" t="s">
        <v>728</v>
      </c>
      <c r="F3" s="61"/>
      <c r="G3" s="62"/>
      <c r="H3" s="62" t="s">
        <v>729</v>
      </c>
      <c r="I3" s="63" t="s">
        <v>730</v>
      </c>
      <c r="J3" s="64">
        <f>SUM(
  SUMIFS(
    PriceRef!$D$2:$D154,
    PriceRef!$A$2:$A154, "Seat",
    PriceRef!$B$2:$B154, $B3,
    PriceRef!$C$2:$C154, $C3
  ),
  SUMIFS(
    PriceRef!$D$2:$D154,
    PriceRef!$A$2:$A154, "Stitching",
    PriceRef!$C$2:$C154, $F3
  ),
  SUMIFS(
    PriceRef!$D$2:$D154,
    PriceRef!$A$2:$A154, "Suede",
    PriceRef!$C$2:$C154, $E3
  ),
  SUMIFS(
    PriceRef!$D$2:$D154,
    PriceRef!$A$2:$A154, "TwoTone",
    PriceRef!$C$2:$C154, $G3
  )
)</f>
        <v>695</v>
      </c>
      <c r="K3" s="65" t="s">
        <v>725</v>
      </c>
      <c r="L3" s="66" t="str">
        <f t="shared" si="1"/>
        <v>1LT AE4 HTJ N26</v>
      </c>
    </row>
    <row r="4">
      <c r="A4" s="60" t="s">
        <v>719</v>
      </c>
      <c r="B4" s="61" t="s">
        <v>720</v>
      </c>
      <c r="C4" s="61" t="s">
        <v>721</v>
      </c>
      <c r="D4" s="61" t="s">
        <v>731</v>
      </c>
      <c r="E4" s="61"/>
      <c r="F4" s="61"/>
      <c r="G4" s="62"/>
      <c r="H4" s="62" t="s">
        <v>732</v>
      </c>
      <c r="I4" s="63" t="s">
        <v>733</v>
      </c>
      <c r="J4" s="64">
        <f>SUM(
  SUMIFS(
    PriceRef!$D$2:$D154,
    PriceRef!$A$2:$A154, "Seat",
    PriceRef!$B$2:$B154, $B4,
    PriceRef!$C$2:$C154, $C4
  ),
  SUMIFS(
    PriceRef!$D$2:$D154,
    PriceRef!$A$2:$A154, "Stitching",
    PriceRef!$C$2:$C154, $F4
  ),
  SUMIFS(
    PriceRef!$D$2:$D154,
    PriceRef!$A$2:$A154, "Suede",
    PriceRef!$C$2:$C154, $E4
  ),
  SUMIFS(
    PriceRef!$D$2:$D154,
    PriceRef!$A$2:$A154, "TwoTone",
    PriceRef!$C$2:$C154, $G4
  )
)</f>
        <v>0</v>
      </c>
      <c r="K4" s="65" t="s">
        <v>725</v>
      </c>
      <c r="L4" s="66" t="str">
        <f t="shared" si="1"/>
        <v>1LT AQ9 HUP</v>
      </c>
    </row>
    <row r="5">
      <c r="A5" s="60" t="s">
        <v>719</v>
      </c>
      <c r="B5" s="61" t="s">
        <v>720</v>
      </c>
      <c r="C5" s="61" t="s">
        <v>721</v>
      </c>
      <c r="D5" s="61" t="s">
        <v>734</v>
      </c>
      <c r="E5" s="61"/>
      <c r="F5" s="61"/>
      <c r="G5" s="62"/>
      <c r="H5" s="62" t="s">
        <v>735</v>
      </c>
      <c r="I5" s="63" t="s">
        <v>733</v>
      </c>
      <c r="J5" s="64">
        <f>SUM(
  SUMIFS(
    PriceRef!$D$2:$D154,
    PriceRef!$A$2:$A154, "Seat",
    PriceRef!$B$2:$B154, $B5,
    PriceRef!$C$2:$C154, $C5
  ),
  SUMIFS(
    PriceRef!$D$2:$D154,
    PriceRef!$A$2:$A154, "Stitching",
    PriceRef!$C$2:$C154, $F5
  ),
  SUMIFS(
    PriceRef!$D$2:$D154,
    PriceRef!$A$2:$A154, "Suede",
    PriceRef!$C$2:$C154, $E5
  ),
  SUMIFS(
    PriceRef!$D$2:$D154,
    PriceRef!$A$2:$A154, "TwoTone",
    PriceRef!$C$2:$C154, $G5
  )
)</f>
        <v>0</v>
      </c>
      <c r="K5" s="65" t="s">
        <v>725</v>
      </c>
      <c r="L5" s="66" t="str">
        <f t="shared" si="1"/>
        <v>1LT AQ9 HUQ</v>
      </c>
    </row>
    <row r="6">
      <c r="A6" s="60" t="s">
        <v>556</v>
      </c>
      <c r="B6" s="61" t="s">
        <v>720</v>
      </c>
      <c r="C6" s="61" t="s">
        <v>726</v>
      </c>
      <c r="D6" s="61" t="s">
        <v>726</v>
      </c>
      <c r="E6" s="61"/>
      <c r="F6" s="61"/>
      <c r="G6" s="62"/>
      <c r="H6" s="62" t="s">
        <v>736</v>
      </c>
      <c r="I6" s="63" t="s">
        <v>737</v>
      </c>
      <c r="J6" s="64">
        <f>SUM(
  SUMIFS(
    PriceRef!$D$2:$D154,
    PriceRef!$A$2:$A154, "Seat",
    PriceRef!$B$2:$B154, $B6,
    PriceRef!$C$2:$C154, $C6
  ),
  SUMIFS(
    PriceRef!$D$2:$D154,
    PriceRef!$A$2:$A154, "Stitching",
    PriceRef!$C$2:$C154, $F6
  ),
  SUMIFS(
    PriceRef!$D$2:$D154,
    PriceRef!$A$2:$A154, "Suede",
    PriceRef!$C$2:$C154, $E6
  ),
  SUMIFS(
    PriceRef!$D$2:$D154,
    PriceRef!$A$2:$A154, "TwoTone",
    PriceRef!$C$2:$C154, $G6
  )
)</f>
        <v>0</v>
      </c>
      <c r="K6" s="65" t="s">
        <v>738</v>
      </c>
      <c r="L6" s="66" t="str">
        <f t="shared" si="1"/>
        <v>1LT AE4 AE4</v>
      </c>
    </row>
    <row r="7">
      <c r="A7" s="60" t="s">
        <v>556</v>
      </c>
      <c r="B7" s="61" t="s">
        <v>720</v>
      </c>
      <c r="C7" s="61" t="s">
        <v>721</v>
      </c>
      <c r="D7" s="61" t="s">
        <v>721</v>
      </c>
      <c r="E7" s="61"/>
      <c r="F7" s="61"/>
      <c r="G7" s="62"/>
      <c r="H7" s="62" t="s">
        <v>739</v>
      </c>
      <c r="I7" s="63" t="s">
        <v>740</v>
      </c>
      <c r="J7" s="64">
        <f>SUM(
  SUMIFS(
    PriceRef!$D$2:$D154,
    PriceRef!$A$2:$A154, "Seat",
    PriceRef!$B$2:$B154, $B7,
    PriceRef!$C$2:$C154, $C7
  ),
  SUMIFS(
    PriceRef!$D$2:$D154,
    PriceRef!$A$2:$A154, "Stitching",
    PriceRef!$C$2:$C154, $F7
  ),
  SUMIFS(
    PriceRef!$D$2:$D154,
    PriceRef!$A$2:$A154, "Suede",
    PriceRef!$C$2:$C154, $E7
  ),
  SUMIFS(
    PriceRef!$D$2:$D154,
    PriceRef!$A$2:$A154, "TwoTone",
    PriceRef!$C$2:$C154, $G7
  )
)</f>
        <v>0</v>
      </c>
      <c r="K7" s="65" t="s">
        <v>738</v>
      </c>
      <c r="L7" s="66" t="str">
        <f t="shared" si="1"/>
        <v>1LT AQ9 AQ9</v>
      </c>
    </row>
    <row r="8">
      <c r="A8" s="60" t="s">
        <v>741</v>
      </c>
      <c r="B8" s="61" t="s">
        <v>742</v>
      </c>
      <c r="C8" s="61" t="s">
        <v>721</v>
      </c>
      <c r="D8" s="61" t="s">
        <v>743</v>
      </c>
      <c r="E8" s="61"/>
      <c r="F8" s="61"/>
      <c r="G8" s="62"/>
      <c r="H8" s="62" t="s">
        <v>723</v>
      </c>
      <c r="I8" s="63" t="s">
        <v>744</v>
      </c>
      <c r="J8" s="64">
        <f>SUM(
  SUMIFS(
    PriceRef!$D$2:$D154,
    PriceRef!$A$2:$A154, "Seat",
    PriceRef!$B$2:$B154, $B8,
    PriceRef!$C$2:$C154, $C8
  ),
  SUMIFS(
    PriceRef!$D$2:$D154,
    PriceRef!$A$2:$A154, "Stitching",
    PriceRef!$C$2:$C154, $F8
  ),
  SUMIFS(
    PriceRef!$D$2:$D154,
    PriceRef!$A$2:$A154, "Suede",
    PriceRef!$C$2:$C154, $E8
  ),
  SUMIFS(
    PriceRef!$D$2:$D154,
    PriceRef!$A$2:$A154, "TwoTone",
    PriceRef!$C$2:$C154, $G8
  )
)</f>
        <v>0</v>
      </c>
      <c r="K8" s="65" t="s">
        <v>745</v>
      </c>
      <c r="L8" s="66" t="str">
        <f t="shared" si="1"/>
        <v>2LT AQ9 H1Y</v>
      </c>
    </row>
    <row r="9">
      <c r="A9" s="60" t="s">
        <v>741</v>
      </c>
      <c r="B9" s="61" t="s">
        <v>742</v>
      </c>
      <c r="C9" s="61" t="s">
        <v>721</v>
      </c>
      <c r="D9" s="61" t="s">
        <v>743</v>
      </c>
      <c r="E9" s="61"/>
      <c r="F9" s="61" t="s">
        <v>746</v>
      </c>
      <c r="G9" s="62"/>
      <c r="H9" s="62" t="s">
        <v>747</v>
      </c>
      <c r="I9" s="63" t="s">
        <v>748</v>
      </c>
      <c r="J9" s="64">
        <f>SUM(
  SUMIFS(
    PriceRef!$D$2:$D154,
    PriceRef!$A$2:$A154, "Seat",
    PriceRef!$B$2:$B154, $B9,
    PriceRef!$C$2:$C154, $C9
  ),
  SUMIFS(
    PriceRef!$D$2:$D154,
    PriceRef!$A$2:$A154, "Stitching",
    PriceRef!$C$2:$C154, $F9
  ),
  SUMIFS(
    PriceRef!$D$2:$D154,
    PriceRef!$A$2:$A154, "Suede",
    PriceRef!$C$2:$C154, $E9
  ),
  SUMIFS(
    PriceRef!$D$2:$D154,
    PriceRef!$A$2:$A154, "TwoTone",
    PriceRef!$C$2:$C154, $G9
  )
)</f>
        <v>495</v>
      </c>
      <c r="K9" s="65" t="s">
        <v>745</v>
      </c>
      <c r="L9" s="66" t="str">
        <f t="shared" si="1"/>
        <v>2LT AQ9 H1Y 38S</v>
      </c>
    </row>
    <row r="10">
      <c r="A10" s="60" t="s">
        <v>741</v>
      </c>
      <c r="B10" s="61" t="s">
        <v>742</v>
      </c>
      <c r="C10" s="61" t="s">
        <v>721</v>
      </c>
      <c r="D10" s="61" t="s">
        <v>743</v>
      </c>
      <c r="E10" s="61"/>
      <c r="F10" s="61" t="s">
        <v>749</v>
      </c>
      <c r="G10" s="62"/>
      <c r="H10" s="62" t="s">
        <v>750</v>
      </c>
      <c r="I10" s="63" t="s">
        <v>748</v>
      </c>
      <c r="J10" s="64">
        <f>SUM(
  SUMIFS(
    PriceRef!$D$2:$D154,
    PriceRef!$A$2:$A154, "Seat",
    PriceRef!$B$2:$B154, $B10,
    PriceRef!$C$2:$C154, $C10
  ),
  SUMIFS(
    PriceRef!$D$2:$D154,
    PriceRef!$A$2:$A154, "Stitching",
    PriceRef!$C$2:$C154, $F10
  ),
  SUMIFS(
    PriceRef!$D$2:$D154,
    PriceRef!$A$2:$A154, "Suede",
    PriceRef!$C$2:$C154, $E10
  ),
  SUMIFS(
    PriceRef!$D$2:$D154,
    PriceRef!$A$2:$A154, "TwoTone",
    PriceRef!$C$2:$C154, $G10
  )
)</f>
        <v>495</v>
      </c>
      <c r="K10" s="65" t="s">
        <v>745</v>
      </c>
      <c r="L10" s="66" t="str">
        <f t="shared" si="1"/>
        <v>2LT AQ9 H1Y 36S</v>
      </c>
    </row>
    <row r="11">
      <c r="A11" s="60" t="s">
        <v>741</v>
      </c>
      <c r="B11" s="61" t="s">
        <v>742</v>
      </c>
      <c r="C11" s="61" t="s">
        <v>721</v>
      </c>
      <c r="D11" s="61" t="s">
        <v>743</v>
      </c>
      <c r="E11" s="61"/>
      <c r="F11" s="61" t="s">
        <v>751</v>
      </c>
      <c r="G11" s="62"/>
      <c r="H11" s="62" t="s">
        <v>752</v>
      </c>
      <c r="I11" s="63" t="s">
        <v>748</v>
      </c>
      <c r="J11" s="64">
        <f>SUM(
  SUMIFS(
    PriceRef!$D$2:$D154,
    PriceRef!$A$2:$A154, "Seat",
    PriceRef!$B$2:$B154, $B11,
    PriceRef!$C$2:$C154, $C11
  ),
  SUMIFS(
    PriceRef!$D$2:$D154,
    PriceRef!$A$2:$A154, "Stitching",
    PriceRef!$C$2:$C154, $F11
  ),
  SUMIFS(
    PriceRef!$D$2:$D154,
    PriceRef!$A$2:$A154, "Suede",
    PriceRef!$C$2:$C154, $E11
  ),
  SUMIFS(
    PriceRef!$D$2:$D154,
    PriceRef!$A$2:$A154, "TwoTone",
    PriceRef!$C$2:$C154, $G11
  )
)</f>
        <v>495</v>
      </c>
      <c r="K11" s="65" t="s">
        <v>745</v>
      </c>
      <c r="L11" s="66" t="str">
        <f t="shared" si="1"/>
        <v>2LT AQ9 H1Y 37S</v>
      </c>
    </row>
    <row r="12">
      <c r="A12" s="60" t="s">
        <v>741</v>
      </c>
      <c r="B12" s="61" t="s">
        <v>742</v>
      </c>
      <c r="C12" s="61" t="s">
        <v>753</v>
      </c>
      <c r="D12" s="61" t="s">
        <v>754</v>
      </c>
      <c r="E12" s="61"/>
      <c r="F12" s="61"/>
      <c r="G12" s="62"/>
      <c r="H12" s="62" t="s">
        <v>755</v>
      </c>
      <c r="I12" s="63" t="s">
        <v>756</v>
      </c>
      <c r="J12" s="64">
        <f>SUM(
  SUMIFS(
    PriceRef!$D$2:$D154,
    PriceRef!$A$2:$A154, "Seat",
    PriceRef!$B$2:$B154, $B12,
    PriceRef!$C$2:$C154, $C12
  ),
  SUMIFS(
    PriceRef!$D$2:$D154,
    PriceRef!$A$2:$A154, "Stitching",
    PriceRef!$C$2:$C154, $F12
  ),
  SUMIFS(
    PriceRef!$D$2:$D154,
    PriceRef!$A$2:$A154, "Suede",
    PriceRef!$C$2:$C154, $E12
  ),
  SUMIFS(
    PriceRef!$D$2:$D154,
    PriceRef!$A$2:$A154, "TwoTone",
    PriceRef!$C$2:$C154, $G12
  )
)</f>
        <v>1695</v>
      </c>
      <c r="K12" s="65" t="s">
        <v>745</v>
      </c>
      <c r="L12" s="66" t="str">
        <f t="shared" si="1"/>
        <v>2LT AH2 HTM</v>
      </c>
    </row>
    <row r="13">
      <c r="A13" s="60" t="s">
        <v>741</v>
      </c>
      <c r="B13" s="61" t="s">
        <v>742</v>
      </c>
      <c r="C13" s="61" t="s">
        <v>753</v>
      </c>
      <c r="D13" s="61" t="s">
        <v>754</v>
      </c>
      <c r="E13" s="61"/>
      <c r="F13" s="61" t="s">
        <v>746</v>
      </c>
      <c r="G13" s="62"/>
      <c r="H13" s="62" t="s">
        <v>757</v>
      </c>
      <c r="I13" s="63" t="s">
        <v>758</v>
      </c>
      <c r="J13" s="64">
        <f>SUM(
  SUMIFS(
    PriceRef!$D$2:$D154,
    PriceRef!$A$2:$A154, "Seat",
    PriceRef!$B$2:$B154, $B13,
    PriceRef!$C$2:$C154, $C13
  ),
  SUMIFS(
    PriceRef!$D$2:$D154,
    PriceRef!$A$2:$A154, "Stitching",
    PriceRef!$C$2:$C154, $F13
  ),
  SUMIFS(
    PriceRef!$D$2:$D154,
    PriceRef!$A$2:$A154, "Suede",
    PriceRef!$C$2:$C154, $E13
  ),
  SUMIFS(
    PriceRef!$D$2:$D154,
    PriceRef!$A$2:$A154, "TwoTone",
    PriceRef!$C$2:$C154, $G13
  )
)</f>
        <v>2190</v>
      </c>
      <c r="K13" s="65" t="s">
        <v>745</v>
      </c>
      <c r="L13" s="66" t="str">
        <f t="shared" si="1"/>
        <v>2LT AH2 HTM 38S</v>
      </c>
    </row>
    <row r="14">
      <c r="A14" s="60" t="s">
        <v>741</v>
      </c>
      <c r="B14" s="61" t="s">
        <v>742</v>
      </c>
      <c r="C14" s="61" t="s">
        <v>753</v>
      </c>
      <c r="D14" s="61" t="s">
        <v>754</v>
      </c>
      <c r="E14" s="61"/>
      <c r="F14" s="61" t="s">
        <v>749</v>
      </c>
      <c r="G14" s="62"/>
      <c r="H14" s="62" t="s">
        <v>759</v>
      </c>
      <c r="I14" s="63" t="s">
        <v>758</v>
      </c>
      <c r="J14" s="64">
        <f>SUM(
  SUMIFS(
    PriceRef!$D$2:$D154,
    PriceRef!$A$2:$A154, "Seat",
    PriceRef!$B$2:$B154, $B14,
    PriceRef!$C$2:$C154, $C14
  ),
  SUMIFS(
    PriceRef!$D$2:$D154,
    PriceRef!$A$2:$A154, "Stitching",
    PriceRef!$C$2:$C154, $F14
  ),
  SUMIFS(
    PriceRef!$D$2:$D154,
    PriceRef!$A$2:$A154, "Suede",
    PriceRef!$C$2:$C154, $E14
  ),
  SUMIFS(
    PriceRef!$D$2:$D154,
    PriceRef!$A$2:$A154, "TwoTone",
    PriceRef!$C$2:$C154, $G14
  )
)</f>
        <v>2190</v>
      </c>
      <c r="K14" s="65" t="s">
        <v>745</v>
      </c>
      <c r="L14" s="66" t="str">
        <f t="shared" si="1"/>
        <v>2LT AH2 HTM 36S</v>
      </c>
    </row>
    <row r="15">
      <c r="A15" s="60" t="s">
        <v>741</v>
      </c>
      <c r="B15" s="61" t="s">
        <v>742</v>
      </c>
      <c r="C15" s="61" t="s">
        <v>753</v>
      </c>
      <c r="D15" s="61" t="s">
        <v>754</v>
      </c>
      <c r="E15" s="61"/>
      <c r="F15" s="61" t="s">
        <v>751</v>
      </c>
      <c r="G15" s="62"/>
      <c r="H15" s="62" t="s">
        <v>760</v>
      </c>
      <c r="I15" s="63" t="s">
        <v>758</v>
      </c>
      <c r="J15" s="64">
        <f>SUM(
  SUMIFS(
    PriceRef!$D$2:$D154,
    PriceRef!$A$2:$A154, "Seat",
    PriceRef!$B$2:$B154, $B15,
    PriceRef!$C$2:$C154, $C15
  ),
  SUMIFS(
    PriceRef!$D$2:$D154,
    PriceRef!$A$2:$A154, "Stitching",
    PriceRef!$C$2:$C154, $F15
  ),
  SUMIFS(
    PriceRef!$D$2:$D154,
    PriceRef!$A$2:$A154, "Suede",
    PriceRef!$C$2:$C154, $E15
  ),
  SUMIFS(
    PriceRef!$D$2:$D154,
    PriceRef!$A$2:$A154, "TwoTone",
    PriceRef!$C$2:$C154, $G15
  )
)</f>
        <v>2190</v>
      </c>
      <c r="K15" s="65" t="s">
        <v>745</v>
      </c>
      <c r="L15" s="66" t="str">
        <f t="shared" si="1"/>
        <v>2LT AH2 HTM 37S</v>
      </c>
    </row>
    <row r="16">
      <c r="A16" s="60" t="s">
        <v>741</v>
      </c>
      <c r="B16" s="61" t="s">
        <v>742</v>
      </c>
      <c r="C16" s="61" t="s">
        <v>726</v>
      </c>
      <c r="D16" s="61" t="s">
        <v>754</v>
      </c>
      <c r="E16" s="61"/>
      <c r="F16" s="61"/>
      <c r="G16" s="62"/>
      <c r="H16" s="62" t="s">
        <v>755</v>
      </c>
      <c r="I16" s="63" t="s">
        <v>761</v>
      </c>
      <c r="J16" s="64">
        <f>SUM(
  SUMIFS(
    PriceRef!$D$2:$D154,
    PriceRef!$A$2:$A154, "Seat",
    PriceRef!$B$2:$B154, $B16,
    PriceRef!$C$2:$C154, $C16
  ),
  SUMIFS(
    PriceRef!$D$2:$D154,
    PriceRef!$A$2:$A154, "Stitching",
    PriceRef!$C$2:$C154, $F16
  ),
  SUMIFS(
    PriceRef!$D$2:$D154,
    PriceRef!$A$2:$A154, "Suede",
    PriceRef!$C$2:$C154, $E16
  ),
  SUMIFS(
    PriceRef!$D$2:$D154,
    PriceRef!$A$2:$A154, "TwoTone",
    PriceRef!$C$2:$C154, $G16
  )
)</f>
        <v>1995</v>
      </c>
      <c r="K16" s="65" t="s">
        <v>745</v>
      </c>
      <c r="L16" s="66" t="str">
        <f t="shared" si="1"/>
        <v>2LT AE4 HTM</v>
      </c>
    </row>
    <row r="17">
      <c r="A17" s="60" t="s">
        <v>741</v>
      </c>
      <c r="B17" s="61" t="s">
        <v>742</v>
      </c>
      <c r="C17" s="61" t="s">
        <v>726</v>
      </c>
      <c r="D17" s="61" t="s">
        <v>754</v>
      </c>
      <c r="E17" s="61"/>
      <c r="F17" s="61" t="s">
        <v>746</v>
      </c>
      <c r="G17" s="62"/>
      <c r="H17" s="62" t="s">
        <v>757</v>
      </c>
      <c r="I17" s="63" t="s">
        <v>762</v>
      </c>
      <c r="J17" s="64">
        <f>SUM(
  SUMIFS(
    PriceRef!$D$2:$D154,
    PriceRef!$A$2:$A154, "Seat",
    PriceRef!$B$2:$B154, $B17,
    PriceRef!$C$2:$C154, $C17
  ),
  SUMIFS(
    PriceRef!$D$2:$D154,
    PriceRef!$A$2:$A154, "Stitching",
    PriceRef!$C$2:$C154, $F17
  ),
  SUMIFS(
    PriceRef!$D$2:$D154,
    PriceRef!$A$2:$A154, "Suede",
    PriceRef!$C$2:$C154, $E17
  ),
  SUMIFS(
    PriceRef!$D$2:$D154,
    PriceRef!$A$2:$A154, "TwoTone",
    PriceRef!$C$2:$C154, $G17
  )
)</f>
        <v>2490</v>
      </c>
      <c r="K17" s="65" t="s">
        <v>745</v>
      </c>
      <c r="L17" s="66" t="str">
        <f t="shared" si="1"/>
        <v>2LT AE4 HTM 38S</v>
      </c>
    </row>
    <row r="18">
      <c r="A18" s="60" t="s">
        <v>741</v>
      </c>
      <c r="B18" s="61" t="s">
        <v>742</v>
      </c>
      <c r="C18" s="61" t="s">
        <v>726</v>
      </c>
      <c r="D18" s="61" t="s">
        <v>754</v>
      </c>
      <c r="E18" s="61"/>
      <c r="F18" s="61" t="s">
        <v>749</v>
      </c>
      <c r="G18" s="62"/>
      <c r="H18" s="62" t="s">
        <v>759</v>
      </c>
      <c r="I18" s="63" t="s">
        <v>762</v>
      </c>
      <c r="J18" s="64">
        <f>SUM(
  SUMIFS(
    PriceRef!$D$2:$D154,
    PriceRef!$A$2:$A154, "Seat",
    PriceRef!$B$2:$B154, $B18,
    PriceRef!$C$2:$C154, $C18
  ),
  SUMIFS(
    PriceRef!$D$2:$D154,
    PriceRef!$A$2:$A154, "Stitching",
    PriceRef!$C$2:$C154, $F18
  ),
  SUMIFS(
    PriceRef!$D$2:$D154,
    PriceRef!$A$2:$A154, "Suede",
    PriceRef!$C$2:$C154, $E18
  ),
  SUMIFS(
    PriceRef!$D$2:$D154,
    PriceRef!$A$2:$A154, "TwoTone",
    PriceRef!$C$2:$C154, $G18
  )
)</f>
        <v>2490</v>
      </c>
      <c r="K18" s="65" t="s">
        <v>745</v>
      </c>
      <c r="L18" s="66" t="str">
        <f t="shared" si="1"/>
        <v>2LT AE4 HTM 36S</v>
      </c>
    </row>
    <row r="19">
      <c r="A19" s="60" t="s">
        <v>741</v>
      </c>
      <c r="B19" s="61" t="s">
        <v>742</v>
      </c>
      <c r="C19" s="61" t="s">
        <v>726</v>
      </c>
      <c r="D19" s="61" t="s">
        <v>754</v>
      </c>
      <c r="E19" s="61"/>
      <c r="F19" s="61" t="s">
        <v>751</v>
      </c>
      <c r="G19" s="62"/>
      <c r="H19" s="62" t="s">
        <v>760</v>
      </c>
      <c r="I19" s="63" t="s">
        <v>762</v>
      </c>
      <c r="J19" s="64">
        <f>SUM(
  SUMIFS(
    PriceRef!$D$2:$D154,
    PriceRef!$A$2:$A154, "Seat",
    PriceRef!$B$2:$B154, $B19,
    PriceRef!$C$2:$C154, $C19
  ),
  SUMIFS(
    PriceRef!$D$2:$D154,
    PriceRef!$A$2:$A154, "Stitching",
    PriceRef!$C$2:$C154, $F19
  ),
  SUMIFS(
    PriceRef!$D$2:$D154,
    PriceRef!$A$2:$A154, "Suede",
    PriceRef!$C$2:$C154, $E19
  ),
  SUMIFS(
    PriceRef!$D$2:$D154,
    PriceRef!$A$2:$A154, "TwoTone",
    PriceRef!$C$2:$C154, $G19
  )
)</f>
        <v>2490</v>
      </c>
      <c r="K19" s="65" t="s">
        <v>745</v>
      </c>
      <c r="L19" s="66" t="str">
        <f t="shared" si="1"/>
        <v>2LT AE4 HTM 37S</v>
      </c>
    </row>
    <row r="20">
      <c r="A20" s="60" t="s">
        <v>741</v>
      </c>
      <c r="B20" s="61" t="s">
        <v>742</v>
      </c>
      <c r="C20" s="61" t="s">
        <v>753</v>
      </c>
      <c r="D20" s="61" t="s">
        <v>763</v>
      </c>
      <c r="E20" s="61"/>
      <c r="F20" s="61"/>
      <c r="G20" s="62"/>
      <c r="H20" s="62" t="s">
        <v>764</v>
      </c>
      <c r="I20" s="63" t="s">
        <v>765</v>
      </c>
      <c r="J20" s="64">
        <f>SUM(
  SUMIFS(
    PriceRef!$D$2:$D154,
    PriceRef!$A$2:$A154, "Seat",
    PriceRef!$B$2:$B154, $B20,
    PriceRef!$C$2:$C154, $C20
  ),
  SUMIFS(
    PriceRef!$D$2:$D154,
    PriceRef!$A$2:$A154, "Stitching",
    PriceRef!$C$2:$C154, $F20
  ),
  SUMIFS(
    PriceRef!$D$2:$D154,
    PriceRef!$A$2:$A154, "Suede",
    PriceRef!$C$2:$C154, $E20
  ),
  SUMIFS(
    PriceRef!$D$2:$D154,
    PriceRef!$A$2:$A154, "TwoTone",
    PriceRef!$C$2:$C154, $G20
  )
)</f>
        <v>1695</v>
      </c>
      <c r="K20" s="65" t="s">
        <v>745</v>
      </c>
      <c r="L20" s="66" t="str">
        <f t="shared" si="1"/>
        <v>2LT AH2 HTN</v>
      </c>
    </row>
    <row r="21">
      <c r="A21" s="60" t="s">
        <v>741</v>
      </c>
      <c r="B21" s="61" t="s">
        <v>742</v>
      </c>
      <c r="C21" s="61" t="s">
        <v>726</v>
      </c>
      <c r="D21" s="61" t="s">
        <v>763</v>
      </c>
      <c r="E21" s="61"/>
      <c r="F21" s="61"/>
      <c r="G21" s="62"/>
      <c r="H21" s="62" t="s">
        <v>764</v>
      </c>
      <c r="I21" s="63" t="s">
        <v>766</v>
      </c>
      <c r="J21" s="64">
        <f>SUM(
  SUMIFS(
    PriceRef!$D$2:$D154,
    PriceRef!$A$2:$A154, "Seat",
    PriceRef!$B$2:$B154, $B21,
    PriceRef!$C$2:$C154, $C21
  ),
  SUMIFS(
    PriceRef!$D$2:$D154,
    PriceRef!$A$2:$A154, "Stitching",
    PriceRef!$C$2:$C154, $F21
  ),
  SUMIFS(
    PriceRef!$D$2:$D154,
    PriceRef!$A$2:$A154, "Suede",
    PriceRef!$C$2:$C154, $E21
  ),
  SUMIFS(
    PriceRef!$D$2:$D154,
    PriceRef!$A$2:$A154, "TwoTone",
    PriceRef!$C$2:$C154, $G21
  )
)</f>
        <v>1995</v>
      </c>
      <c r="K21" s="65" t="s">
        <v>745</v>
      </c>
      <c r="L21" s="66" t="str">
        <f t="shared" si="1"/>
        <v>2LT AE4 HTN</v>
      </c>
    </row>
    <row r="22">
      <c r="A22" s="60" t="s">
        <v>741</v>
      </c>
      <c r="B22" s="61" t="s">
        <v>742</v>
      </c>
      <c r="C22" s="61" t="s">
        <v>753</v>
      </c>
      <c r="D22" s="61" t="s">
        <v>763</v>
      </c>
      <c r="E22" s="61"/>
      <c r="F22" s="61"/>
      <c r="G22" s="62" t="s">
        <v>767</v>
      </c>
      <c r="H22" s="62" t="s">
        <v>768</v>
      </c>
      <c r="I22" s="63" t="s">
        <v>769</v>
      </c>
      <c r="J22" s="64">
        <f>SUM(
  SUMIFS(
    PriceRef!$D$2:$D154,
    PriceRef!$A$2:$A154, "Seat",
    PriceRef!$B$2:$B154, $B22,
    PriceRef!$C$2:$C154, $C22
  ),
  SUMIFS(
    PriceRef!$D$2:$D154,
    PriceRef!$A$2:$A154, "Stitching",
    PriceRef!$C$2:$C154, $F22
  ),
  SUMIFS(
    PriceRef!$D$2:$D154,
    PriceRef!$A$2:$A154, "Suede",
    PriceRef!$C$2:$C154, $E22
  ),
  SUMIFS(
    PriceRef!$D$2:$D154,
    PriceRef!$A$2:$A154, "TwoTone",
    PriceRef!$C$2:$C154, $G22
  )
)</f>
        <v>2290</v>
      </c>
      <c r="K22" s="65" t="s">
        <v>745</v>
      </c>
      <c r="L22" s="66" t="str">
        <f t="shared" si="1"/>
        <v>2LT AH2 HTN TU7</v>
      </c>
    </row>
    <row r="23">
      <c r="A23" s="60" t="s">
        <v>741</v>
      </c>
      <c r="B23" s="61" t="s">
        <v>742</v>
      </c>
      <c r="C23" s="61" t="s">
        <v>753</v>
      </c>
      <c r="D23" s="61" t="s">
        <v>770</v>
      </c>
      <c r="E23" s="61" t="s">
        <v>728</v>
      </c>
      <c r="F23" s="61"/>
      <c r="G23" s="62"/>
      <c r="H23" s="62" t="s">
        <v>771</v>
      </c>
      <c r="I23" s="63" t="s">
        <v>772</v>
      </c>
      <c r="J23" s="64">
        <f>SUM(
  SUMIFS(
    PriceRef!$D$2:$D154,
    PriceRef!$A$2:$A154, "Seat",
    PriceRef!$B$2:$B154, $B23,
    PriceRef!$C$2:$C154, $C23
  ),
  SUMIFS(
    PriceRef!$D$2:$D154,
    PriceRef!$A$2:$A154, "Stitching",
    PriceRef!$C$2:$C154, $F23
  ),
  SUMIFS(
    PriceRef!$D$2:$D154,
    PriceRef!$A$2:$A154, "Suede",
    PriceRef!$C$2:$C154, $E23
  ),
  SUMIFS(
    PriceRef!$D$2:$D154,
    PriceRef!$A$2:$A154, "TwoTone",
    PriceRef!$C$2:$C154, $G23
  )
)</f>
        <v>2390</v>
      </c>
      <c r="K23" s="65" t="s">
        <v>745</v>
      </c>
      <c r="L23" s="66" t="str">
        <f t="shared" si="1"/>
        <v>2LT AH2 HTP N26</v>
      </c>
    </row>
    <row r="24">
      <c r="A24" s="60" t="s">
        <v>741</v>
      </c>
      <c r="B24" s="61" t="s">
        <v>742</v>
      </c>
      <c r="C24" s="61" t="s">
        <v>753</v>
      </c>
      <c r="D24" s="61" t="s">
        <v>770</v>
      </c>
      <c r="E24" s="61" t="s">
        <v>728</v>
      </c>
      <c r="F24" s="61" t="s">
        <v>746</v>
      </c>
      <c r="G24" s="62"/>
      <c r="H24" s="62" t="s">
        <v>773</v>
      </c>
      <c r="I24" s="63" t="s">
        <v>772</v>
      </c>
      <c r="J24" s="64">
        <f>SUM(
  SUMIFS(
    PriceRef!$D$2:$D154,
    PriceRef!$A$2:$A154, "Seat",
    PriceRef!$B$2:$B154, $B24,
    PriceRef!$C$2:$C154, $C24
  ),
  SUMIFS(
    PriceRef!$D$2:$D154,
    PriceRef!$A$2:$A154, "Stitching",
    PriceRef!$C$2:$C154, $F24
  ),
  SUMIFS(
    PriceRef!$D$2:$D154,
    PriceRef!$A$2:$A154, "Suede",
    PriceRef!$C$2:$C154, $E24
  ),
  SUMIFS(
    PriceRef!$D$2:$D154,
    PriceRef!$A$2:$A154, "TwoTone",
    PriceRef!$C$2:$C154, $G24
  )
)</f>
        <v>2885</v>
      </c>
      <c r="K24" s="65" t="s">
        <v>745</v>
      </c>
      <c r="L24" s="66" t="str">
        <f t="shared" si="1"/>
        <v>2LT AH2 HTP 38S N26</v>
      </c>
    </row>
    <row r="25">
      <c r="A25" s="60" t="s">
        <v>741</v>
      </c>
      <c r="B25" s="61" t="s">
        <v>742</v>
      </c>
      <c r="C25" s="61" t="s">
        <v>753</v>
      </c>
      <c r="D25" s="61" t="s">
        <v>770</v>
      </c>
      <c r="E25" s="61" t="s">
        <v>728</v>
      </c>
      <c r="F25" s="61" t="s">
        <v>749</v>
      </c>
      <c r="G25" s="62"/>
      <c r="H25" s="62" t="s">
        <v>774</v>
      </c>
      <c r="I25" s="63" t="s">
        <v>772</v>
      </c>
      <c r="J25" s="64">
        <f>SUM(
  SUMIFS(
    PriceRef!$D$2:$D154,
    PriceRef!$A$2:$A154, "Seat",
    PriceRef!$B$2:$B154, $B25,
    PriceRef!$C$2:$C154, $C25
  ),
  SUMIFS(
    PriceRef!$D$2:$D154,
    PriceRef!$A$2:$A154, "Stitching",
    PriceRef!$C$2:$C154, $F25
  ),
  SUMIFS(
    PriceRef!$D$2:$D154,
    PriceRef!$A$2:$A154, "Suede",
    PriceRef!$C$2:$C154, $E25
  ),
  SUMIFS(
    PriceRef!$D$2:$D154,
    PriceRef!$A$2:$A154, "TwoTone",
    PriceRef!$C$2:$C154, $G25
  )
)</f>
        <v>2885</v>
      </c>
      <c r="K25" s="65" t="s">
        <v>745</v>
      </c>
      <c r="L25" s="66" t="str">
        <f t="shared" si="1"/>
        <v>2LT AH2 HTP 36S N26</v>
      </c>
    </row>
    <row r="26">
      <c r="A26" s="60" t="s">
        <v>741</v>
      </c>
      <c r="B26" s="61" t="s">
        <v>742</v>
      </c>
      <c r="C26" s="61" t="s">
        <v>753</v>
      </c>
      <c r="D26" s="61" t="s">
        <v>770</v>
      </c>
      <c r="E26" s="61" t="s">
        <v>728</v>
      </c>
      <c r="F26" s="61" t="s">
        <v>751</v>
      </c>
      <c r="G26" s="62"/>
      <c r="H26" s="62" t="s">
        <v>775</v>
      </c>
      <c r="I26" s="63" t="s">
        <v>772</v>
      </c>
      <c r="J26" s="64">
        <f>SUM(
  SUMIFS(
    PriceRef!$D$2:$D154,
    PriceRef!$A$2:$A154, "Seat",
    PriceRef!$B$2:$B154, $B26,
    PriceRef!$C$2:$C154, $C26
  ),
  SUMIFS(
    PriceRef!$D$2:$D154,
    PriceRef!$A$2:$A154, "Stitching",
    PriceRef!$C$2:$C154, $F26
  ),
  SUMIFS(
    PriceRef!$D$2:$D154,
    PriceRef!$A$2:$A154, "Suede",
    PriceRef!$C$2:$C154, $E26
  ),
  SUMIFS(
    PriceRef!$D$2:$D154,
    PriceRef!$A$2:$A154, "TwoTone",
    PriceRef!$C$2:$C154, $G26
  )
)</f>
        <v>2885</v>
      </c>
      <c r="K26" s="65" t="s">
        <v>745</v>
      </c>
      <c r="L26" s="66" t="str">
        <f t="shared" si="1"/>
        <v>2LT AH2 HTP 37S N26</v>
      </c>
    </row>
    <row r="27">
      <c r="A27" s="60" t="s">
        <v>741</v>
      </c>
      <c r="B27" s="61" t="s">
        <v>742</v>
      </c>
      <c r="C27" s="61" t="s">
        <v>726</v>
      </c>
      <c r="D27" s="61" t="s">
        <v>770</v>
      </c>
      <c r="E27" s="61" t="s">
        <v>728</v>
      </c>
      <c r="F27" s="61"/>
      <c r="G27" s="62"/>
      <c r="H27" s="62" t="s">
        <v>771</v>
      </c>
      <c r="I27" s="63" t="s">
        <v>776</v>
      </c>
      <c r="J27" s="64">
        <f>SUM(
  SUMIFS(
    PriceRef!$D$2:$D154,
    PriceRef!$A$2:$A154, "Seat",
    PriceRef!$B$2:$B154, $B27,
    PriceRef!$C$2:$C154, $C27
  ),
  SUMIFS(
    PriceRef!$D$2:$D154,
    PriceRef!$A$2:$A154, "Stitching",
    PriceRef!$C$2:$C154, $F27
  ),
  SUMIFS(
    PriceRef!$D$2:$D154,
    PriceRef!$A$2:$A154, "Suede",
    PriceRef!$C$2:$C154, $E27
  ),
  SUMIFS(
    PriceRef!$D$2:$D154,
    PriceRef!$A$2:$A154, "TwoTone",
    PriceRef!$C$2:$C154, $G27
  )
)</f>
        <v>2690</v>
      </c>
      <c r="K27" s="65" t="s">
        <v>745</v>
      </c>
      <c r="L27" s="66" t="str">
        <f t="shared" si="1"/>
        <v>2LT AE4 HTP N26</v>
      </c>
    </row>
    <row r="28">
      <c r="A28" s="60" t="s">
        <v>741</v>
      </c>
      <c r="B28" s="61" t="s">
        <v>742</v>
      </c>
      <c r="C28" s="61" t="s">
        <v>726</v>
      </c>
      <c r="D28" s="61" t="s">
        <v>770</v>
      </c>
      <c r="E28" s="61" t="s">
        <v>728</v>
      </c>
      <c r="F28" s="61" t="s">
        <v>746</v>
      </c>
      <c r="G28" s="62"/>
      <c r="H28" s="62" t="s">
        <v>773</v>
      </c>
      <c r="I28" s="63" t="s">
        <v>776</v>
      </c>
      <c r="J28" s="64">
        <f>SUM(
  SUMIFS(
    PriceRef!$D$2:$D154,
    PriceRef!$A$2:$A154, "Seat",
    PriceRef!$B$2:$B154, $B28,
    PriceRef!$C$2:$C154, $C28
  ),
  SUMIFS(
    PriceRef!$D$2:$D154,
    PriceRef!$A$2:$A154, "Stitching",
    PriceRef!$C$2:$C154, $F28
  ),
  SUMIFS(
    PriceRef!$D$2:$D154,
    PriceRef!$A$2:$A154, "Suede",
    PriceRef!$C$2:$C154, $E28
  ),
  SUMIFS(
    PriceRef!$D$2:$D154,
    PriceRef!$A$2:$A154, "TwoTone",
    PriceRef!$C$2:$C154, $G28
  )
)</f>
        <v>3185</v>
      </c>
      <c r="K28" s="65" t="s">
        <v>745</v>
      </c>
      <c r="L28" s="66" t="str">
        <f t="shared" si="1"/>
        <v>2LT AE4 HTP 38S N26</v>
      </c>
    </row>
    <row r="29">
      <c r="A29" s="60" t="s">
        <v>741</v>
      </c>
      <c r="B29" s="61" t="s">
        <v>742</v>
      </c>
      <c r="C29" s="61" t="s">
        <v>726</v>
      </c>
      <c r="D29" s="61" t="s">
        <v>770</v>
      </c>
      <c r="E29" s="61" t="s">
        <v>728</v>
      </c>
      <c r="F29" s="61" t="s">
        <v>749</v>
      </c>
      <c r="G29" s="62"/>
      <c r="H29" s="62" t="s">
        <v>774</v>
      </c>
      <c r="I29" s="63" t="s">
        <v>776</v>
      </c>
      <c r="J29" s="64">
        <f>SUM(
  SUMIFS(
    PriceRef!$D$2:$D154,
    PriceRef!$A$2:$A154, "Seat",
    PriceRef!$B$2:$B154, $B29,
    PriceRef!$C$2:$C154, $C29
  ),
  SUMIFS(
    PriceRef!$D$2:$D154,
    PriceRef!$A$2:$A154, "Stitching",
    PriceRef!$C$2:$C154, $F29
  ),
  SUMIFS(
    PriceRef!$D$2:$D154,
    PriceRef!$A$2:$A154, "Suede",
    PriceRef!$C$2:$C154, $E29
  ),
  SUMIFS(
    PriceRef!$D$2:$D154,
    PriceRef!$A$2:$A154, "TwoTone",
    PriceRef!$C$2:$C154, $G29
  )
)</f>
        <v>3185</v>
      </c>
      <c r="K29" s="65" t="s">
        <v>745</v>
      </c>
      <c r="L29" s="66" t="str">
        <f t="shared" si="1"/>
        <v>2LT AE4 HTP 36S N26</v>
      </c>
    </row>
    <row r="30">
      <c r="A30" s="60" t="s">
        <v>741</v>
      </c>
      <c r="B30" s="61" t="s">
        <v>742</v>
      </c>
      <c r="C30" s="61" t="s">
        <v>726</v>
      </c>
      <c r="D30" s="61" t="s">
        <v>770</v>
      </c>
      <c r="E30" s="61" t="s">
        <v>728</v>
      </c>
      <c r="F30" s="61" t="s">
        <v>751</v>
      </c>
      <c r="G30" s="62"/>
      <c r="H30" s="62" t="s">
        <v>775</v>
      </c>
      <c r="I30" s="63" t="s">
        <v>776</v>
      </c>
      <c r="J30" s="64">
        <f>SUM(
  SUMIFS(
    PriceRef!$D$2:$D154,
    PriceRef!$A$2:$A154, "Seat",
    PriceRef!$B$2:$B154, $B30,
    PriceRef!$C$2:$C154, $C30
  ),
  SUMIFS(
    PriceRef!$D$2:$D154,
    PriceRef!$A$2:$A154, "Stitching",
    PriceRef!$C$2:$C154, $F30
  ),
  SUMIFS(
    PriceRef!$D$2:$D154,
    PriceRef!$A$2:$A154, "Suede",
    PriceRef!$C$2:$C154, $E30
  ),
  SUMIFS(
    PriceRef!$D$2:$D154,
    PriceRef!$A$2:$A154, "TwoTone",
    PriceRef!$C$2:$C154, $G30
  )
)</f>
        <v>3185</v>
      </c>
      <c r="K30" s="65" t="s">
        <v>745</v>
      </c>
      <c r="L30" s="66" t="str">
        <f t="shared" si="1"/>
        <v>2LT AE4 HTP 37S N26</v>
      </c>
    </row>
    <row r="31">
      <c r="A31" s="60" t="s">
        <v>741</v>
      </c>
      <c r="B31" s="61" t="s">
        <v>742</v>
      </c>
      <c r="C31" s="61" t="s">
        <v>753</v>
      </c>
      <c r="D31" s="61" t="s">
        <v>777</v>
      </c>
      <c r="E31" s="61" t="s">
        <v>728</v>
      </c>
      <c r="F31" s="61"/>
      <c r="G31" s="62"/>
      <c r="H31" s="62" t="s">
        <v>778</v>
      </c>
      <c r="I31" s="63" t="s">
        <v>779</v>
      </c>
      <c r="J31" s="64">
        <f>SUM(
  SUMIFS(
    PriceRef!$D$2:$D154,
    PriceRef!$A$2:$A154, "Seat",
    PriceRef!$B$2:$B154, $B31,
    PriceRef!$C$2:$C154, $C31
  ),
  SUMIFS(
    PriceRef!$D$2:$D154,
    PriceRef!$A$2:$A154, "Stitching",
    PriceRef!$C$2:$C154, $F31
  ),
  SUMIFS(
    PriceRef!$D$2:$D154,
    PriceRef!$A$2:$A154, "Suede",
    PriceRef!$C$2:$C154, $E31
  ),
  SUMIFS(
    PriceRef!$D$2:$D154,
    PriceRef!$A$2:$A154, "TwoTone",
    PriceRef!$C$2:$C154, $G31
  )
)</f>
        <v>2390</v>
      </c>
      <c r="K31" s="65" t="s">
        <v>745</v>
      </c>
      <c r="L31" s="66" t="str">
        <f t="shared" si="1"/>
        <v>2LT AH2 HTQ N26</v>
      </c>
    </row>
    <row r="32">
      <c r="A32" s="60" t="s">
        <v>741</v>
      </c>
      <c r="B32" s="61" t="s">
        <v>742</v>
      </c>
      <c r="C32" s="61" t="s">
        <v>726</v>
      </c>
      <c r="D32" s="61" t="s">
        <v>777</v>
      </c>
      <c r="E32" s="61" t="s">
        <v>728</v>
      </c>
      <c r="F32" s="61"/>
      <c r="G32" s="62"/>
      <c r="H32" s="62" t="s">
        <v>778</v>
      </c>
      <c r="I32" s="63" t="s">
        <v>780</v>
      </c>
      <c r="J32" s="64">
        <f>SUM(
  SUMIFS(
    PriceRef!$D$2:$D154,
    PriceRef!$A$2:$A154, "Seat",
    PriceRef!$B$2:$B154, $B32,
    PriceRef!$C$2:$C154, $C32
  ),
  SUMIFS(
    PriceRef!$D$2:$D154,
    PriceRef!$A$2:$A154, "Stitching",
    PriceRef!$C$2:$C154, $F32
  ),
  SUMIFS(
    PriceRef!$D$2:$D154,
    PriceRef!$A$2:$A154, "Suede",
    PriceRef!$C$2:$C154, $E32
  ),
  SUMIFS(
    PriceRef!$D$2:$D154,
    PriceRef!$A$2:$A154, "TwoTone",
    PriceRef!$C$2:$C154, $G32
  )
)</f>
        <v>2690</v>
      </c>
      <c r="K32" s="65" t="s">
        <v>745</v>
      </c>
      <c r="L32" s="66" t="str">
        <f t="shared" si="1"/>
        <v>2LT AE4 HTQ N26</v>
      </c>
    </row>
    <row r="33">
      <c r="A33" s="60" t="s">
        <v>741</v>
      </c>
      <c r="B33" s="61" t="s">
        <v>742</v>
      </c>
      <c r="C33" s="61" t="s">
        <v>753</v>
      </c>
      <c r="D33" s="61" t="s">
        <v>777</v>
      </c>
      <c r="E33" s="61" t="s">
        <v>728</v>
      </c>
      <c r="F33" s="61"/>
      <c r="G33" s="62" t="s">
        <v>767</v>
      </c>
      <c r="H33" s="62" t="s">
        <v>781</v>
      </c>
      <c r="I33" s="63" t="s">
        <v>782</v>
      </c>
      <c r="J33" s="64">
        <f>SUM(
  SUMIFS(
    PriceRef!$D$2:$D154,
    PriceRef!$A$2:$A154, "Seat",
    PriceRef!$B$2:$B154, $B33,
    PriceRef!$C$2:$C154, $C33
  ),
  SUMIFS(
    PriceRef!$D$2:$D154,
    PriceRef!$A$2:$A154, "Stitching",
    PriceRef!$C$2:$C154, $F33
  ),
  SUMIFS(
    PriceRef!$D$2:$D154,
    PriceRef!$A$2:$A154, "Suede",
    PriceRef!$C$2:$C154, $E33
  ),
  SUMIFS(
    PriceRef!$D$2:$D154,
    PriceRef!$A$2:$A154, "TwoTone",
    PriceRef!$C$2:$C154, $G33
  )
)</f>
        <v>2985</v>
      </c>
      <c r="K33" s="65" t="s">
        <v>745</v>
      </c>
      <c r="L33" s="66" t="str">
        <f t="shared" si="1"/>
        <v>2LT AH2 HTQ N26 TU7</v>
      </c>
    </row>
    <row r="34">
      <c r="A34" s="60" t="s">
        <v>741</v>
      </c>
      <c r="B34" s="61" t="s">
        <v>742</v>
      </c>
      <c r="C34" s="61" t="s">
        <v>753</v>
      </c>
      <c r="D34" s="61" t="s">
        <v>783</v>
      </c>
      <c r="E34" s="61" t="s">
        <v>728</v>
      </c>
      <c r="F34" s="61"/>
      <c r="G34" s="62"/>
      <c r="H34" s="62" t="s">
        <v>784</v>
      </c>
      <c r="I34" s="63" t="s">
        <v>785</v>
      </c>
      <c r="J34" s="64">
        <f>SUM(
  SUMIFS(
    PriceRef!$D$2:$D154,
    PriceRef!$A$2:$A154, "Seat",
    PriceRef!$B$2:$B154, $B34,
    PriceRef!$C$2:$C154, $C34
  ),
  SUMIFS(
    PriceRef!$D$2:$D154,
    PriceRef!$A$2:$A154, "Stitching",
    PriceRef!$C$2:$C154, $F34
  ),
  SUMIFS(
    PriceRef!$D$2:$D154,
    PriceRef!$A$2:$A154, "Suede",
    PriceRef!$C$2:$C154, $E34
  ),
  SUMIFS(
    PriceRef!$D$2:$D154,
    PriceRef!$A$2:$A154, "TwoTone",
    PriceRef!$C$2:$C154, $G34
  )
)</f>
        <v>2390</v>
      </c>
      <c r="K34" s="65" t="s">
        <v>745</v>
      </c>
      <c r="L34" s="66" t="str">
        <f t="shared" si="1"/>
        <v>2LT AH2 HU6 N26</v>
      </c>
    </row>
    <row r="35">
      <c r="A35" s="60" t="s">
        <v>741</v>
      </c>
      <c r="B35" s="61" t="s">
        <v>742</v>
      </c>
      <c r="C35" s="61" t="s">
        <v>726</v>
      </c>
      <c r="D35" s="61" t="s">
        <v>783</v>
      </c>
      <c r="E35" s="61" t="s">
        <v>728</v>
      </c>
      <c r="F35" s="61"/>
      <c r="G35" s="62"/>
      <c r="H35" s="62" t="s">
        <v>784</v>
      </c>
      <c r="I35" s="63" t="s">
        <v>786</v>
      </c>
      <c r="J35" s="64">
        <f>SUM(
  SUMIFS(
    PriceRef!$D$2:$D154,
    PriceRef!$A$2:$A154, "Seat",
    PriceRef!$B$2:$B154, $B35,
    PriceRef!$C$2:$C154, $C35
  ),
  SUMIFS(
    PriceRef!$D$2:$D154,
    PriceRef!$A$2:$A154, "Stitching",
    PriceRef!$C$2:$C154, $F35
  ),
  SUMIFS(
    PriceRef!$D$2:$D154,
    PriceRef!$A$2:$A154, "Suede",
    PriceRef!$C$2:$C154, $E35
  ),
  SUMIFS(
    PriceRef!$D$2:$D154,
    PriceRef!$A$2:$A154, "TwoTone",
    PriceRef!$C$2:$C154, $G35
  )
)</f>
        <v>2690</v>
      </c>
      <c r="K35" s="65" t="s">
        <v>745</v>
      </c>
      <c r="L35" s="66" t="str">
        <f t="shared" si="1"/>
        <v>2LT AE4 HU6 N26</v>
      </c>
    </row>
    <row r="36">
      <c r="A36" s="60" t="s">
        <v>741</v>
      </c>
      <c r="B36" s="61" t="s">
        <v>742</v>
      </c>
      <c r="C36" s="61" t="s">
        <v>753</v>
      </c>
      <c r="D36" s="61" t="s">
        <v>783</v>
      </c>
      <c r="E36" s="61" t="s">
        <v>728</v>
      </c>
      <c r="F36" s="61"/>
      <c r="G36" s="62" t="s">
        <v>767</v>
      </c>
      <c r="H36" s="62" t="s">
        <v>787</v>
      </c>
      <c r="I36" s="63" t="s">
        <v>788</v>
      </c>
      <c r="J36" s="64">
        <f>SUM(
  SUMIFS(
    PriceRef!$D$2:$D154,
    PriceRef!$A$2:$A154, "Seat",
    PriceRef!$B$2:$B154, $B36,
    PriceRef!$C$2:$C154, $C36
  ),
  SUMIFS(
    PriceRef!$D$2:$D154,
    PriceRef!$A$2:$A154, "Stitching",
    PriceRef!$C$2:$C154, $F36
  ),
  SUMIFS(
    PriceRef!$D$2:$D154,
    PriceRef!$A$2:$A154, "Suede",
    PriceRef!$C$2:$C154, $E36
  ),
  SUMIFS(
    PriceRef!$D$2:$D154,
    PriceRef!$A$2:$A154, "TwoTone",
    PriceRef!$C$2:$C154, $G36
  )
)</f>
        <v>2985</v>
      </c>
      <c r="K36" s="65" t="s">
        <v>745</v>
      </c>
      <c r="L36" s="66" t="str">
        <f t="shared" si="1"/>
        <v>2LT AH2 HU6 N26 TU7</v>
      </c>
    </row>
    <row r="37">
      <c r="A37" s="60" t="s">
        <v>741</v>
      </c>
      <c r="B37" s="61" t="s">
        <v>742</v>
      </c>
      <c r="C37" s="61" t="s">
        <v>726</v>
      </c>
      <c r="D37" s="61" t="s">
        <v>789</v>
      </c>
      <c r="E37" s="61" t="s">
        <v>728</v>
      </c>
      <c r="F37" s="61"/>
      <c r="G37" s="62"/>
      <c r="H37" s="62" t="s">
        <v>790</v>
      </c>
      <c r="I37" s="63" t="s">
        <v>791</v>
      </c>
      <c r="J37" s="64">
        <f>SUM(
  SUMIFS(
    PriceRef!$D$2:$D154,
    PriceRef!$A$2:$A154, "Seat",
    PriceRef!$B$2:$B154, $B37,
    PriceRef!$C$2:$C154, $C37
  ),
  SUMIFS(
    PriceRef!$D$2:$D154,
    PriceRef!$A$2:$A154, "Stitching",
    PriceRef!$C$2:$C154, $F37
  ),
  SUMIFS(
    PriceRef!$D$2:$D154,
    PriceRef!$A$2:$A154, "Suede",
    PriceRef!$C$2:$C154, $E37
  ),
  SUMIFS(
    PriceRef!$D$2:$D154,
    PriceRef!$A$2:$A154, "TwoTone",
    PriceRef!$C$2:$C154, $G37
  )
)</f>
        <v>2690</v>
      </c>
      <c r="K37" s="65" t="s">
        <v>745</v>
      </c>
      <c r="L37" s="66" t="str">
        <f t="shared" si="1"/>
        <v>2LT AE4 HU7 N26</v>
      </c>
    </row>
    <row r="38">
      <c r="A38" s="60" t="s">
        <v>741</v>
      </c>
      <c r="B38" s="61" t="s">
        <v>742</v>
      </c>
      <c r="C38" s="61" t="s">
        <v>753</v>
      </c>
      <c r="D38" s="61" t="s">
        <v>789</v>
      </c>
      <c r="E38" s="61" t="s">
        <v>728</v>
      </c>
      <c r="F38" s="61"/>
      <c r="G38" s="62" t="s">
        <v>767</v>
      </c>
      <c r="H38" s="62" t="s">
        <v>792</v>
      </c>
      <c r="I38" s="63" t="s">
        <v>793</v>
      </c>
      <c r="J38" s="64">
        <f>SUM(
  SUMIFS(
    PriceRef!$D$2:$D154,
    PriceRef!$A$2:$A154, "Seat",
    PriceRef!$B$2:$B154, $B38,
    PriceRef!$C$2:$C154, $C38
  ),
  SUMIFS(
    PriceRef!$D$2:$D154,
    PriceRef!$A$2:$A154, "Stitching",
    PriceRef!$C$2:$C154, $F38
  ),
  SUMIFS(
    PriceRef!$D$2:$D154,
    PriceRef!$A$2:$A154, "Suede",
    PriceRef!$C$2:$C154, $E38
  ),
  SUMIFS(
    PriceRef!$D$2:$D154,
    PriceRef!$A$2:$A154, "TwoTone",
    PriceRef!$C$2:$C154, $G38
  )
)</f>
        <v>2985</v>
      </c>
      <c r="K38" s="65" t="s">
        <v>745</v>
      </c>
      <c r="L38" s="66" t="str">
        <f t="shared" si="1"/>
        <v>2LT AH2 HU7 N26 TU7</v>
      </c>
    </row>
    <row r="39">
      <c r="A39" s="60" t="s">
        <v>741</v>
      </c>
      <c r="B39" s="61" t="s">
        <v>742</v>
      </c>
      <c r="C39" s="61" t="s">
        <v>753</v>
      </c>
      <c r="D39" s="61" t="s">
        <v>794</v>
      </c>
      <c r="E39" s="61"/>
      <c r="F39" s="61"/>
      <c r="G39" s="62"/>
      <c r="H39" s="62" t="s">
        <v>795</v>
      </c>
      <c r="I39" s="63" t="s">
        <v>765</v>
      </c>
      <c r="J39" s="64">
        <f>SUM(
  SUMIFS(
    PriceRef!$D$2:$D154,
    PriceRef!$A$2:$A154, "Seat",
    PriceRef!$B$2:$B154, $B39,
    PriceRef!$C$2:$C154, $C39
  ),
  SUMIFS(
    PriceRef!$D$2:$D154,
    PriceRef!$A$2:$A154, "Stitching",
    PriceRef!$C$2:$C154, $F39
  ),
  SUMIFS(
    PriceRef!$D$2:$D154,
    PriceRef!$A$2:$A154, "Suede",
    PriceRef!$C$2:$C154, $E39
  ),
  SUMIFS(
    PriceRef!$D$2:$D154,
    PriceRef!$A$2:$A154, "TwoTone",
    PriceRef!$C$2:$C154, $G39
  )
)</f>
        <v>1695</v>
      </c>
      <c r="K39" s="65" t="s">
        <v>745</v>
      </c>
      <c r="L39" s="66" t="str">
        <f t="shared" si="1"/>
        <v>2LT AH2 HUK</v>
      </c>
    </row>
    <row r="40">
      <c r="A40" s="60" t="s">
        <v>741</v>
      </c>
      <c r="B40" s="61" t="s">
        <v>742</v>
      </c>
      <c r="C40" s="61" t="s">
        <v>726</v>
      </c>
      <c r="D40" s="61" t="s">
        <v>794</v>
      </c>
      <c r="E40" s="61"/>
      <c r="F40" s="61"/>
      <c r="G40" s="62"/>
      <c r="H40" s="62" t="s">
        <v>795</v>
      </c>
      <c r="I40" s="63" t="s">
        <v>796</v>
      </c>
      <c r="J40" s="64">
        <f>SUM(
  SUMIFS(
    PriceRef!$D$2:$D154,
    PriceRef!$A$2:$A154, "Seat",
    PriceRef!$B$2:$B154, $B40,
    PriceRef!$C$2:$C154, $C40
  ),
  SUMIFS(
    PriceRef!$D$2:$D154,
    PriceRef!$A$2:$A154, "Stitching",
    PriceRef!$C$2:$C154, $F40
  ),
  SUMIFS(
    PriceRef!$D$2:$D154,
    PriceRef!$A$2:$A154, "Suede",
    PriceRef!$C$2:$C154, $E40
  ),
  SUMIFS(
    PriceRef!$D$2:$D154,
    PriceRef!$A$2:$A154, "TwoTone",
    PriceRef!$C$2:$C154, $G40
  )
)</f>
        <v>1995</v>
      </c>
      <c r="K40" s="65" t="s">
        <v>745</v>
      </c>
      <c r="L40" s="66" t="str">
        <f t="shared" si="1"/>
        <v>2LT AE4 HUK</v>
      </c>
    </row>
    <row r="41">
      <c r="A41" s="60" t="s">
        <v>741</v>
      </c>
      <c r="B41" s="61" t="s">
        <v>742</v>
      </c>
      <c r="C41" s="61" t="s">
        <v>753</v>
      </c>
      <c r="D41" s="61" t="s">
        <v>794</v>
      </c>
      <c r="E41" s="61"/>
      <c r="F41" s="61"/>
      <c r="G41" s="62" t="s">
        <v>767</v>
      </c>
      <c r="H41" s="62" t="s">
        <v>797</v>
      </c>
      <c r="I41" s="63" t="s">
        <v>798</v>
      </c>
      <c r="J41" s="64">
        <f>SUM(
  SUMIFS(
    PriceRef!$D$2:$D154,
    PriceRef!$A$2:$A154, "Seat",
    PriceRef!$B$2:$B154, $B41,
    PriceRef!$C$2:$C154, $C41
  ),
  SUMIFS(
    PriceRef!$D$2:$D154,
    PriceRef!$A$2:$A154, "Stitching",
    PriceRef!$C$2:$C154, $F41
  ),
  SUMIFS(
    PriceRef!$D$2:$D154,
    PriceRef!$A$2:$A154, "Suede",
    PriceRef!$C$2:$C154, $E41
  ),
  SUMIFS(
    PriceRef!$D$2:$D154,
    PriceRef!$A$2:$A154, "TwoTone",
    PriceRef!$C$2:$C154, $G41
  )
)</f>
        <v>2290</v>
      </c>
      <c r="K41" s="65" t="s">
        <v>745</v>
      </c>
      <c r="L41" s="66" t="str">
        <f t="shared" si="1"/>
        <v>2LT AH2 HUK TU7</v>
      </c>
    </row>
    <row r="42">
      <c r="A42" s="60" t="s">
        <v>741</v>
      </c>
      <c r="B42" s="61" t="s">
        <v>742</v>
      </c>
      <c r="C42" s="61" t="s">
        <v>753</v>
      </c>
      <c r="D42" s="61" t="s">
        <v>799</v>
      </c>
      <c r="E42" s="61"/>
      <c r="F42" s="61"/>
      <c r="G42" s="62"/>
      <c r="H42" s="62" t="s">
        <v>800</v>
      </c>
      <c r="I42" s="63" t="s">
        <v>765</v>
      </c>
      <c r="J42" s="64">
        <f>SUM(
  SUMIFS(
    PriceRef!$D$2:$D154,
    PriceRef!$A$2:$A154, "Seat",
    PriceRef!$B$2:$B154, $B42,
    PriceRef!$C$2:$C154, $C42
  ),
  SUMIFS(
    PriceRef!$D$2:$D154,
    PriceRef!$A$2:$A154, "Stitching",
    PriceRef!$C$2:$C154, $F42
  ),
  SUMIFS(
    PriceRef!$D$2:$D154,
    PriceRef!$A$2:$A154, "Suede",
    PriceRef!$C$2:$C154, $E42
  ),
  SUMIFS(
    PriceRef!$D$2:$D154,
    PriceRef!$A$2:$A154, "TwoTone",
    PriceRef!$C$2:$C154, $G42
  )
)</f>
        <v>1695</v>
      </c>
      <c r="K42" s="65" t="s">
        <v>745</v>
      </c>
      <c r="L42" s="66" t="str">
        <f t="shared" si="1"/>
        <v>2LT AH2 HUL</v>
      </c>
    </row>
    <row r="43">
      <c r="A43" s="60" t="s">
        <v>741</v>
      </c>
      <c r="B43" s="61" t="s">
        <v>742</v>
      </c>
      <c r="C43" s="61" t="s">
        <v>726</v>
      </c>
      <c r="D43" s="61" t="s">
        <v>799</v>
      </c>
      <c r="E43" s="61"/>
      <c r="F43" s="61"/>
      <c r="G43" s="62"/>
      <c r="H43" s="62" t="s">
        <v>800</v>
      </c>
      <c r="I43" s="63" t="s">
        <v>766</v>
      </c>
      <c r="J43" s="64">
        <f>SUM(
  SUMIFS(
    PriceRef!$D$2:$D154,
    PriceRef!$A$2:$A154, "Seat",
    PriceRef!$B$2:$B154, $B43,
    PriceRef!$C$2:$C154, $C43
  ),
  SUMIFS(
    PriceRef!$D$2:$D154,
    PriceRef!$A$2:$A154, "Stitching",
    PriceRef!$C$2:$C154, $F43
  ),
  SUMIFS(
    PriceRef!$D$2:$D154,
    PriceRef!$A$2:$A154, "Suede",
    PriceRef!$C$2:$C154, $E43
  ),
  SUMIFS(
    PriceRef!$D$2:$D154,
    PriceRef!$A$2:$A154, "TwoTone",
    PriceRef!$C$2:$C154, $G43
  )
)</f>
        <v>1995</v>
      </c>
      <c r="K43" s="65" t="s">
        <v>745</v>
      </c>
      <c r="L43" s="66" t="str">
        <f t="shared" si="1"/>
        <v>2LT AE4 HUL</v>
      </c>
    </row>
    <row r="44">
      <c r="A44" s="60" t="s">
        <v>741</v>
      </c>
      <c r="B44" s="61" t="s">
        <v>742</v>
      </c>
      <c r="C44" s="61" t="s">
        <v>753</v>
      </c>
      <c r="D44" s="61" t="s">
        <v>799</v>
      </c>
      <c r="E44" s="61"/>
      <c r="F44" s="61"/>
      <c r="G44" s="62" t="s">
        <v>767</v>
      </c>
      <c r="H44" s="62" t="s">
        <v>801</v>
      </c>
      <c r="I44" s="63" t="s">
        <v>769</v>
      </c>
      <c r="J44" s="64">
        <f>SUM(
  SUMIFS(
    PriceRef!$D$2:$D154,
    PriceRef!$A$2:$A154, "Seat",
    PriceRef!$B$2:$B154, $B44,
    PriceRef!$C$2:$C154, $C44
  ),
  SUMIFS(
    PriceRef!$D$2:$D154,
    PriceRef!$A$2:$A154, "Stitching",
    PriceRef!$C$2:$C154, $F44
  ),
  SUMIFS(
    PriceRef!$D$2:$D154,
    PriceRef!$A$2:$A154, "Suede",
    PriceRef!$C$2:$C154, $E44
  ),
  SUMIFS(
    PriceRef!$D$2:$D154,
    PriceRef!$A$2:$A154, "TwoTone",
    PriceRef!$C$2:$C154, $G44
  )
)</f>
        <v>2290</v>
      </c>
      <c r="K44" s="65" t="s">
        <v>745</v>
      </c>
      <c r="L44" s="66" t="str">
        <f t="shared" si="1"/>
        <v>2LT AH2 HUL TU7</v>
      </c>
    </row>
    <row r="45">
      <c r="A45" s="60" t="s">
        <v>741</v>
      </c>
      <c r="B45" s="61" t="s">
        <v>742</v>
      </c>
      <c r="C45" s="61" t="s">
        <v>721</v>
      </c>
      <c r="D45" s="61" t="s">
        <v>802</v>
      </c>
      <c r="E45" s="61"/>
      <c r="F45" s="61"/>
      <c r="G45" s="62"/>
      <c r="H45" s="62" t="s">
        <v>732</v>
      </c>
      <c r="I45" s="63" t="s">
        <v>803</v>
      </c>
      <c r="J45" s="64">
        <f>SUM(
  SUMIFS(
    PriceRef!$D$2:$D154,
    PriceRef!$A$2:$A154, "Seat",
    PriceRef!$B$2:$B154, $B45,
    PriceRef!$C$2:$C154, $C45
  ),
  SUMIFS(
    PriceRef!$D$2:$D154,
    PriceRef!$A$2:$A154, "Stitching",
    PriceRef!$C$2:$C154, $F45
  ),
  SUMIFS(
    PriceRef!$D$2:$D154,
    PriceRef!$A$2:$A154, "Suede",
    PriceRef!$C$2:$C154, $E45
  ),
  SUMIFS(
    PriceRef!$D$2:$D154,
    PriceRef!$A$2:$A154, "TwoTone",
    PriceRef!$C$2:$C154, $G45
  )
)</f>
        <v>0</v>
      </c>
      <c r="K45" s="65" t="s">
        <v>745</v>
      </c>
      <c r="L45" s="66" t="str">
        <f t="shared" si="1"/>
        <v>2LT AQ9 HUN</v>
      </c>
    </row>
    <row r="46">
      <c r="A46" s="60" t="s">
        <v>741</v>
      </c>
      <c r="B46" s="61" t="s">
        <v>742</v>
      </c>
      <c r="C46" s="61" t="s">
        <v>721</v>
      </c>
      <c r="D46" s="61" t="s">
        <v>804</v>
      </c>
      <c r="E46" s="61"/>
      <c r="F46" s="61"/>
      <c r="G46" s="62"/>
      <c r="H46" s="62" t="s">
        <v>735</v>
      </c>
      <c r="I46" s="63" t="s">
        <v>803</v>
      </c>
      <c r="J46" s="64">
        <f>SUM(
  SUMIFS(
    PriceRef!$D$2:$D154,
    PriceRef!$A$2:$A154, "Seat",
    PriceRef!$B$2:$B154, $B46,
    PriceRef!$C$2:$C154, $C46
  ),
  SUMIFS(
    PriceRef!$D$2:$D154,
    PriceRef!$A$2:$A154, "Stitching",
    PriceRef!$C$2:$C154, $F46
  ),
  SUMIFS(
    PriceRef!$D$2:$D154,
    PriceRef!$A$2:$A154, "Suede",
    PriceRef!$C$2:$C154, $E46
  ),
  SUMIFS(
    PriceRef!$D$2:$D154,
    PriceRef!$A$2:$A154, "TwoTone",
    PriceRef!$C$2:$C154, $G46
  )
)</f>
        <v>0</v>
      </c>
      <c r="K46" s="65" t="s">
        <v>745</v>
      </c>
      <c r="L46" s="66" t="str">
        <f t="shared" si="1"/>
        <v>2LT AQ9 HUR</v>
      </c>
    </row>
    <row r="47">
      <c r="A47" s="60" t="s">
        <v>741</v>
      </c>
      <c r="B47" s="61" t="s">
        <v>742</v>
      </c>
      <c r="C47" s="61" t="s">
        <v>721</v>
      </c>
      <c r="D47" s="61" t="s">
        <v>805</v>
      </c>
      <c r="E47" s="61"/>
      <c r="F47" s="61"/>
      <c r="G47" s="62"/>
      <c r="H47" s="62" t="s">
        <v>806</v>
      </c>
      <c r="I47" s="63" t="s">
        <v>803</v>
      </c>
      <c r="J47" s="64">
        <f>SUM(
  SUMIFS(
    PriceRef!$D$2:$D154,
    PriceRef!$A$2:$A154, "Seat",
    PriceRef!$B$2:$B154, $B47,
    PriceRef!$C$2:$C154, $C47
  ),
  SUMIFS(
    PriceRef!$D$2:$D154,
    PriceRef!$A$2:$A154, "Stitching",
    PriceRef!$C$2:$C154, $F47
  ),
  SUMIFS(
    PriceRef!$D$2:$D154,
    PriceRef!$A$2:$A154, "Suede",
    PriceRef!$C$2:$C154, $E47
  ),
  SUMIFS(
    PriceRef!$D$2:$D154,
    PriceRef!$A$2:$A154, "TwoTone",
    PriceRef!$C$2:$C154, $G47
  )
)</f>
        <v>0</v>
      </c>
      <c r="K47" s="65" t="s">
        <v>745</v>
      </c>
      <c r="L47" s="66" t="str">
        <f t="shared" si="1"/>
        <v>2LT AQ9 HUV</v>
      </c>
    </row>
    <row r="48">
      <c r="A48" s="60" t="s">
        <v>566</v>
      </c>
      <c r="B48" s="61" t="s">
        <v>742</v>
      </c>
      <c r="C48" s="61" t="s">
        <v>726</v>
      </c>
      <c r="D48" s="61" t="s">
        <v>726</v>
      </c>
      <c r="E48" s="61"/>
      <c r="F48" s="61"/>
      <c r="G48" s="62"/>
      <c r="H48" s="62" t="s">
        <v>807</v>
      </c>
      <c r="I48" s="63" t="s">
        <v>808</v>
      </c>
      <c r="J48" s="64">
        <f>SUM(
  SUMIFS(
    PriceRef!$D$2:$D154,
    PriceRef!$A$2:$A154, "Seat",
    PriceRef!$B$2:$B154, $B48,
    PriceRef!$C$2:$C154, $C48
  ),
  SUMIFS(
    PriceRef!$D$2:$D154,
    PriceRef!$A$2:$A154, "Stitching",
    PriceRef!$C$2:$C154, $F48
  ),
  SUMIFS(
    PriceRef!$D$2:$D154,
    PriceRef!$A$2:$A154, "Suede",
    PriceRef!$C$2:$C154, $E48
  ),
  SUMIFS(
    PriceRef!$D$2:$D154,
    PriceRef!$A$2:$A154, "TwoTone",
    PriceRef!$C$2:$C154, $G48
  )
)</f>
        <v>1995</v>
      </c>
      <c r="K48" s="65" t="s">
        <v>809</v>
      </c>
      <c r="L48" s="66" t="str">
        <f t="shared" si="1"/>
        <v>2LT AE4 AE4</v>
      </c>
    </row>
    <row r="49">
      <c r="A49" s="60" t="s">
        <v>566</v>
      </c>
      <c r="B49" s="61" t="s">
        <v>742</v>
      </c>
      <c r="C49" s="61" t="s">
        <v>753</v>
      </c>
      <c r="D49" s="61" t="s">
        <v>753</v>
      </c>
      <c r="E49" s="61"/>
      <c r="F49" s="61"/>
      <c r="G49" s="62"/>
      <c r="H49" s="62" t="s">
        <v>810</v>
      </c>
      <c r="I49" s="63" t="s">
        <v>811</v>
      </c>
      <c r="J49" s="64">
        <f>SUM(
  SUMIFS(
    PriceRef!$D$2:$D154,
    PriceRef!$A$2:$A154, "Seat",
    PriceRef!$B$2:$B154, $B49,
    PriceRef!$C$2:$C154, $C49
  ),
  SUMIFS(
    PriceRef!$D$2:$D154,
    PriceRef!$A$2:$A154, "Stitching",
    PriceRef!$C$2:$C154, $F49
  ),
  SUMIFS(
    PriceRef!$D$2:$D154,
    PriceRef!$A$2:$A154, "Suede",
    PriceRef!$C$2:$C154, $E49
  ),
  SUMIFS(
    PriceRef!$D$2:$D154,
    PriceRef!$A$2:$A154, "TwoTone",
    PriceRef!$C$2:$C154, $G49
  )
)</f>
        <v>1695</v>
      </c>
      <c r="K49" s="65" t="s">
        <v>809</v>
      </c>
      <c r="L49" s="66" t="str">
        <f t="shared" si="1"/>
        <v>2LT AH2 AH2</v>
      </c>
    </row>
    <row r="50">
      <c r="A50" s="60" t="s">
        <v>566</v>
      </c>
      <c r="B50" s="61" t="s">
        <v>742</v>
      </c>
      <c r="C50" s="61" t="s">
        <v>721</v>
      </c>
      <c r="D50" s="61" t="s">
        <v>721</v>
      </c>
      <c r="E50" s="61"/>
      <c r="F50" s="61"/>
      <c r="G50" s="62"/>
      <c r="H50" s="62" t="s">
        <v>739</v>
      </c>
      <c r="I50" s="63" t="s">
        <v>740</v>
      </c>
      <c r="J50" s="64">
        <f>SUM(
  SUMIFS(
    PriceRef!$D$2:$D154,
    PriceRef!$A$2:$A154, "Seat",
    PriceRef!$B$2:$B154, $B50,
    PriceRef!$C$2:$C154, $C50
  ),
  SUMIFS(
    PriceRef!$D$2:$D154,
    PriceRef!$A$2:$A154, "Stitching",
    PriceRef!$C$2:$C154, $F50
  ),
  SUMIFS(
    PriceRef!$D$2:$D154,
    PriceRef!$A$2:$A154, "Suede",
    PriceRef!$C$2:$C154, $E50
  ),
  SUMIFS(
    PriceRef!$D$2:$D154,
    PriceRef!$A$2:$A154, "TwoTone",
    PriceRef!$C$2:$C154, $G50
  )
)</f>
        <v>0</v>
      </c>
      <c r="K50" s="65" t="s">
        <v>809</v>
      </c>
      <c r="L50" s="66" t="str">
        <f t="shared" si="1"/>
        <v>2LT AQ9 AQ9</v>
      </c>
    </row>
    <row r="51">
      <c r="A51" s="60" t="s">
        <v>812</v>
      </c>
      <c r="B51" s="61" t="s">
        <v>813</v>
      </c>
      <c r="C51" s="61" t="s">
        <v>753</v>
      </c>
      <c r="D51" s="61" t="s">
        <v>814</v>
      </c>
      <c r="E51" s="61"/>
      <c r="F51" s="61"/>
      <c r="G51" s="62"/>
      <c r="H51" s="62" t="s">
        <v>815</v>
      </c>
      <c r="I51" s="63" t="s">
        <v>816</v>
      </c>
      <c r="J51" s="64">
        <f>SUM(
  SUMIFS(
    PriceRef!$D$2:$D154,
    PriceRef!$A$2:$A154, "Seat",
    PriceRef!$B$2:$B154, $B51,
    PriceRef!$C$2:$C154, $C51
  ),
  SUMIFS(
    PriceRef!$D$2:$D154,
    PriceRef!$A$2:$A154, "Stitching",
    PriceRef!$C$2:$C154, $F51
  ),
  SUMIFS(
    PriceRef!$D$2:$D154,
    PriceRef!$A$2:$A154, "Suede",
    PriceRef!$C$2:$C154, $E51
  ),
  SUMIFS(
    PriceRef!$D$2:$D154,
    PriceRef!$A$2:$A154, "TwoTone",
    PriceRef!$C$2:$C154, $G51
  )
)</f>
        <v>0</v>
      </c>
      <c r="K51" s="65" t="s">
        <v>817</v>
      </c>
      <c r="L51" s="66" t="str">
        <f t="shared" si="1"/>
        <v>3LT AH2 HNK</v>
      </c>
    </row>
    <row r="52">
      <c r="A52" s="60" t="s">
        <v>812</v>
      </c>
      <c r="B52" s="61" t="s">
        <v>813</v>
      </c>
      <c r="C52" s="61" t="s">
        <v>726</v>
      </c>
      <c r="D52" s="61" t="s">
        <v>814</v>
      </c>
      <c r="E52" s="61"/>
      <c r="F52" s="61"/>
      <c r="G52" s="62"/>
      <c r="H52" s="62" t="s">
        <v>815</v>
      </c>
      <c r="I52" s="63" t="s">
        <v>818</v>
      </c>
      <c r="J52" s="64">
        <f>SUM(
  SUMIFS(
    PriceRef!$D$2:$D154,
    PriceRef!$A$2:$A154, "Seat",
    PriceRef!$B$2:$B154, $B52,
    PriceRef!$C$2:$C154, $C52
  ),
  SUMIFS(
    PriceRef!$D$2:$D154,
    PriceRef!$A$2:$A154, "Stitching",
    PriceRef!$C$2:$C154, $F52
  ),
  SUMIFS(
    PriceRef!$D$2:$D154,
    PriceRef!$A$2:$A154, "Suede",
    PriceRef!$C$2:$C154, $E52
  ),
  SUMIFS(
    PriceRef!$D$2:$D154,
    PriceRef!$A$2:$A154, "TwoTone",
    PriceRef!$C$2:$C154, $G52
  )
)</f>
        <v>500</v>
      </c>
      <c r="K52" s="65" t="s">
        <v>817</v>
      </c>
      <c r="L52" s="66" t="str">
        <f t="shared" si="1"/>
        <v>3LT AE4 HNK</v>
      </c>
    </row>
    <row r="53">
      <c r="A53" s="60" t="s">
        <v>812</v>
      </c>
      <c r="B53" s="61" t="s">
        <v>813</v>
      </c>
      <c r="C53" s="61" t="s">
        <v>753</v>
      </c>
      <c r="D53" s="61" t="s">
        <v>819</v>
      </c>
      <c r="E53" s="61"/>
      <c r="F53" s="61"/>
      <c r="G53" s="62"/>
      <c r="H53" s="62" t="s">
        <v>820</v>
      </c>
      <c r="I53" s="63" t="s">
        <v>821</v>
      </c>
      <c r="J53" s="64">
        <f>SUM(
  SUMIFS(
    PriceRef!$D$2:$D154,
    PriceRef!$A$2:$A154, "Seat",
    PriceRef!$B$2:$B154, $B53,
    PriceRef!$C$2:$C154, $C53
  ),
  SUMIFS(
    PriceRef!$D$2:$D154,
    PriceRef!$A$2:$A154, "Stitching",
    PriceRef!$C$2:$C154, $F53
  ),
  SUMIFS(
    PriceRef!$D$2:$D154,
    PriceRef!$A$2:$A154, "Suede",
    PriceRef!$C$2:$C154, $E53
  ),
  SUMIFS(
    PriceRef!$D$2:$D154,
    PriceRef!$A$2:$A154, "TwoTone",
    PriceRef!$C$2:$C154, $G53
  )
)</f>
        <v>0</v>
      </c>
      <c r="K53" s="65" t="s">
        <v>817</v>
      </c>
      <c r="L53" s="66" t="str">
        <f t="shared" si="1"/>
        <v>3LT AH2 HVZ</v>
      </c>
    </row>
    <row r="54">
      <c r="A54" s="60" t="s">
        <v>812</v>
      </c>
      <c r="B54" s="61" t="s">
        <v>813</v>
      </c>
      <c r="C54" s="61" t="s">
        <v>726</v>
      </c>
      <c r="D54" s="61" t="s">
        <v>819</v>
      </c>
      <c r="E54" s="61"/>
      <c r="F54" s="61"/>
      <c r="G54" s="62"/>
      <c r="H54" s="62" t="s">
        <v>820</v>
      </c>
      <c r="I54" s="63" t="s">
        <v>821</v>
      </c>
      <c r="J54" s="64">
        <f>SUM(
  SUMIFS(
    PriceRef!$D$2:$D154,
    PriceRef!$A$2:$A154, "Seat",
    PriceRef!$B$2:$B154, $B54,
    PriceRef!$C$2:$C154, $C54
  ),
  SUMIFS(
    PriceRef!$D$2:$D154,
    PriceRef!$A$2:$A154, "Stitching",
    PriceRef!$C$2:$C154, $F54
  ),
  SUMIFS(
    PriceRef!$D$2:$D154,
    PriceRef!$A$2:$A154, "Suede",
    PriceRef!$C$2:$C154, $E54
  ),
  SUMIFS(
    PriceRef!$D$2:$D154,
    PriceRef!$A$2:$A154, "TwoTone",
    PriceRef!$C$2:$C154, $G54
  )
)</f>
        <v>500</v>
      </c>
      <c r="K54" s="65" t="s">
        <v>817</v>
      </c>
      <c r="L54" s="66" t="str">
        <f t="shared" si="1"/>
        <v>3LT AE4 HVZ</v>
      </c>
    </row>
    <row r="55">
      <c r="A55" s="60" t="s">
        <v>812</v>
      </c>
      <c r="B55" s="61" t="s">
        <v>813</v>
      </c>
      <c r="C55" s="61" t="s">
        <v>822</v>
      </c>
      <c r="D55" s="61" t="s">
        <v>819</v>
      </c>
      <c r="E55" s="61"/>
      <c r="F55" s="61"/>
      <c r="G55" s="62"/>
      <c r="H55" s="62" t="s">
        <v>820</v>
      </c>
      <c r="I55" s="63" t="s">
        <v>823</v>
      </c>
      <c r="J55" s="64">
        <f>SUM(
  SUMIFS(
    PriceRef!$D$2:$D154,
    PriceRef!$A$2:$A154, "Seat",
    PriceRef!$B$2:$B154, $B55,
    PriceRef!$C$2:$C154, $C55
  ),
  SUMIFS(
    PriceRef!$D$2:$D154,
    PriceRef!$A$2:$A154, "Stitching",
    PriceRef!$C$2:$C154, $F55
  ),
  SUMIFS(
    PriceRef!$D$2:$D154,
    PriceRef!$A$2:$A154, "Suede",
    PriceRef!$C$2:$C154, $E55
  ),
  SUMIFS(
    PriceRef!$D$2:$D154,
    PriceRef!$A$2:$A154, "TwoTone",
    PriceRef!$C$2:$C154, $G55
  )
)</f>
        <v>250</v>
      </c>
      <c r="K55" s="65" t="s">
        <v>817</v>
      </c>
      <c r="L55" s="66" t="str">
        <f t="shared" si="1"/>
        <v>3LT AUP HVZ</v>
      </c>
    </row>
    <row r="56">
      <c r="A56" s="60" t="s">
        <v>812</v>
      </c>
      <c r="B56" s="61" t="s">
        <v>813</v>
      </c>
      <c r="C56" s="61" t="s">
        <v>753</v>
      </c>
      <c r="D56" s="61" t="s">
        <v>824</v>
      </c>
      <c r="E56" s="61"/>
      <c r="F56" s="61"/>
      <c r="G56" s="62"/>
      <c r="H56" s="62" t="s">
        <v>755</v>
      </c>
      <c r="I56" s="63" t="s">
        <v>825</v>
      </c>
      <c r="J56" s="64">
        <f>SUM(
  SUMIFS(
    PriceRef!$D$2:$D154,
    PriceRef!$A$2:$A154, "Seat",
    PriceRef!$B$2:$B154, $B56,
    PriceRef!$C$2:$C154, $C56
  ),
  SUMIFS(
    PriceRef!$D$2:$D154,
    PriceRef!$A$2:$A154, "Stitching",
    PriceRef!$C$2:$C154, $F56
  ),
  SUMIFS(
    PriceRef!$D$2:$D154,
    PriceRef!$A$2:$A154, "Suede",
    PriceRef!$C$2:$C154, $E56
  ),
  SUMIFS(
    PriceRef!$D$2:$D154,
    PriceRef!$A$2:$A154, "TwoTone",
    PriceRef!$C$2:$C154, $G56
  )
)</f>
        <v>0</v>
      </c>
      <c r="K56" s="65" t="s">
        <v>817</v>
      </c>
      <c r="L56" s="66" t="str">
        <f t="shared" si="1"/>
        <v>3LT AH2 HTE</v>
      </c>
    </row>
    <row r="57">
      <c r="A57" s="60" t="s">
        <v>812</v>
      </c>
      <c r="B57" s="61" t="s">
        <v>813</v>
      </c>
      <c r="C57" s="61" t="s">
        <v>753</v>
      </c>
      <c r="D57" s="61" t="s">
        <v>824</v>
      </c>
      <c r="E57" s="61"/>
      <c r="F57" s="61" t="s">
        <v>749</v>
      </c>
      <c r="G57" s="62"/>
      <c r="H57" s="62" t="s">
        <v>826</v>
      </c>
      <c r="I57" s="63" t="s">
        <v>827</v>
      </c>
      <c r="J57" s="64">
        <f>SUM(
  SUMIFS(
    PriceRef!$D$2:$D154,
    PriceRef!$A$2:$A154, "Seat",
    PriceRef!$B$2:$B154, $B57,
    PriceRef!$C$2:$C154, $C57
  ),
  SUMIFS(
    PriceRef!$D$2:$D154,
    PriceRef!$A$2:$A154, "Stitching",
    PriceRef!$C$2:$C154, $F57
  ),
  SUMIFS(
    PriceRef!$D$2:$D154,
    PriceRef!$A$2:$A154, "Suede",
    PriceRef!$C$2:$C154, $E57
  ),
  SUMIFS(
    PriceRef!$D$2:$D154,
    PriceRef!$A$2:$A154, "TwoTone",
    PriceRef!$C$2:$C154, $G57
  )
)</f>
        <v>495</v>
      </c>
      <c r="K57" s="65" t="s">
        <v>817</v>
      </c>
      <c r="L57" s="66" t="str">
        <f t="shared" si="1"/>
        <v>3LT AH2 HTE 36S</v>
      </c>
    </row>
    <row r="58">
      <c r="A58" s="60" t="s">
        <v>812</v>
      </c>
      <c r="B58" s="61" t="s">
        <v>813</v>
      </c>
      <c r="C58" s="61" t="s">
        <v>753</v>
      </c>
      <c r="D58" s="61" t="s">
        <v>824</v>
      </c>
      <c r="E58" s="61"/>
      <c r="F58" s="61" t="s">
        <v>746</v>
      </c>
      <c r="G58" s="62"/>
      <c r="H58" s="62" t="s">
        <v>828</v>
      </c>
      <c r="I58" s="63" t="s">
        <v>829</v>
      </c>
      <c r="J58" s="64">
        <f>SUM(
  SUMIFS(
    PriceRef!$D$2:$D154,
    PriceRef!$A$2:$A154, "Seat",
    PriceRef!$B$2:$B154, $B58,
    PriceRef!$C$2:$C154, $C58
  ),
  SUMIFS(
    PriceRef!$D$2:$D154,
    PriceRef!$A$2:$A154, "Stitching",
    PriceRef!$C$2:$C154, $F58
  ),
  SUMIFS(
    PriceRef!$D$2:$D154,
    PriceRef!$A$2:$A154, "Suede",
    PriceRef!$C$2:$C154, $E58
  ),
  SUMIFS(
    PriceRef!$D$2:$D154,
    PriceRef!$A$2:$A154, "TwoTone",
    PriceRef!$C$2:$C154, $G58
  )
)</f>
        <v>495</v>
      </c>
      <c r="K58" s="65" t="s">
        <v>817</v>
      </c>
      <c r="L58" s="66" t="str">
        <f t="shared" si="1"/>
        <v>3LT AH2 HTE 38S</v>
      </c>
    </row>
    <row r="59">
      <c r="A59" s="60" t="s">
        <v>812</v>
      </c>
      <c r="B59" s="61" t="s">
        <v>813</v>
      </c>
      <c r="C59" s="61" t="s">
        <v>753</v>
      </c>
      <c r="D59" s="61" t="s">
        <v>824</v>
      </c>
      <c r="E59" s="61"/>
      <c r="F59" s="61" t="s">
        <v>751</v>
      </c>
      <c r="G59" s="62"/>
      <c r="H59" s="62" t="s">
        <v>830</v>
      </c>
      <c r="I59" s="63" t="s">
        <v>829</v>
      </c>
      <c r="J59" s="64">
        <f>SUM(
  SUMIFS(
    PriceRef!$D$2:$D154,
    PriceRef!$A$2:$A154, "Seat",
    PriceRef!$B$2:$B154, $B59,
    PriceRef!$C$2:$C154, $C59
  ),
  SUMIFS(
    PriceRef!$D$2:$D154,
    PriceRef!$A$2:$A154, "Stitching",
    PriceRef!$C$2:$C154, $F59
  ),
  SUMIFS(
    PriceRef!$D$2:$D154,
    PriceRef!$A$2:$A154, "Suede",
    PriceRef!$C$2:$C154, $E59
  ),
  SUMIFS(
    PriceRef!$D$2:$D154,
    PriceRef!$A$2:$A154, "TwoTone",
    PriceRef!$C$2:$C154, $G59
  )
)</f>
        <v>495</v>
      </c>
      <c r="K59" s="65" t="s">
        <v>817</v>
      </c>
      <c r="L59" s="66" t="str">
        <f t="shared" si="1"/>
        <v>3LT AH2 HTE 37S</v>
      </c>
    </row>
    <row r="60">
      <c r="A60" s="60" t="s">
        <v>812</v>
      </c>
      <c r="B60" s="61" t="s">
        <v>813</v>
      </c>
      <c r="C60" s="61" t="s">
        <v>726</v>
      </c>
      <c r="D60" s="61" t="s">
        <v>824</v>
      </c>
      <c r="E60" s="61"/>
      <c r="F60" s="61"/>
      <c r="G60" s="62"/>
      <c r="H60" s="62" t="s">
        <v>755</v>
      </c>
      <c r="I60" s="63" t="s">
        <v>831</v>
      </c>
      <c r="J60" s="64">
        <f>SUM(
  SUMIFS(
    PriceRef!$D$2:$D154,
    PriceRef!$A$2:$A154, "Seat",
    PriceRef!$B$2:$B154, $B60,
    PriceRef!$C$2:$C154, $C60
  ),
  SUMIFS(
    PriceRef!$D$2:$D154,
    PriceRef!$A$2:$A154, "Stitching",
    PriceRef!$C$2:$C154, $F60
  ),
  SUMIFS(
    PriceRef!$D$2:$D154,
    PriceRef!$A$2:$A154, "Suede",
    PriceRef!$C$2:$C154, $E60
  ),
  SUMIFS(
    PriceRef!$D$2:$D154,
    PriceRef!$A$2:$A154, "TwoTone",
    PriceRef!$C$2:$C154, $G60
  )
)</f>
        <v>500</v>
      </c>
      <c r="K60" s="65" t="s">
        <v>817</v>
      </c>
      <c r="L60" s="66" t="str">
        <f t="shared" si="1"/>
        <v>3LT AE4 HTE</v>
      </c>
    </row>
    <row r="61">
      <c r="A61" s="60" t="s">
        <v>812</v>
      </c>
      <c r="B61" s="61" t="s">
        <v>813</v>
      </c>
      <c r="C61" s="61" t="s">
        <v>726</v>
      </c>
      <c r="D61" s="61" t="s">
        <v>824</v>
      </c>
      <c r="E61" s="61"/>
      <c r="F61" s="61" t="s">
        <v>749</v>
      </c>
      <c r="G61" s="62"/>
      <c r="H61" s="62" t="s">
        <v>826</v>
      </c>
      <c r="I61" s="63" t="s">
        <v>831</v>
      </c>
      <c r="J61" s="64">
        <f>SUM(
  SUMIFS(
    PriceRef!$D$2:$D154,
    PriceRef!$A$2:$A154, "Seat",
    PriceRef!$B$2:$B154, $B61,
    PriceRef!$C$2:$C154, $C61
  ),
  SUMIFS(
    PriceRef!$D$2:$D154,
    PriceRef!$A$2:$A154, "Stitching",
    PriceRef!$C$2:$C154, $F61
  ),
  SUMIFS(
    PriceRef!$D$2:$D154,
    PriceRef!$A$2:$A154, "Suede",
    PriceRef!$C$2:$C154, $E61
  ),
  SUMIFS(
    PriceRef!$D$2:$D154,
    PriceRef!$A$2:$A154, "TwoTone",
    PriceRef!$C$2:$C154, $G61
  )
)</f>
        <v>995</v>
      </c>
      <c r="K61" s="65" t="s">
        <v>817</v>
      </c>
      <c r="L61" s="66" t="str">
        <f t="shared" si="1"/>
        <v>3LT AE4 HTE 36S</v>
      </c>
    </row>
    <row r="62">
      <c r="A62" s="60" t="s">
        <v>812</v>
      </c>
      <c r="B62" s="61" t="s">
        <v>813</v>
      </c>
      <c r="C62" s="61" t="s">
        <v>726</v>
      </c>
      <c r="D62" s="61" t="s">
        <v>824</v>
      </c>
      <c r="E62" s="61"/>
      <c r="F62" s="61" t="s">
        <v>751</v>
      </c>
      <c r="G62" s="62"/>
      <c r="H62" s="62" t="s">
        <v>830</v>
      </c>
      <c r="I62" s="63" t="s">
        <v>832</v>
      </c>
      <c r="J62" s="64">
        <f>SUM(
  SUMIFS(
    PriceRef!$D$2:$D154,
    PriceRef!$A$2:$A154, "Seat",
    PriceRef!$B$2:$B154, $B62,
    PriceRef!$C$2:$C154, $C62
  ),
  SUMIFS(
    PriceRef!$D$2:$D154,
    PriceRef!$A$2:$A154, "Stitching",
    PriceRef!$C$2:$C154, $F62
  ),
  SUMIFS(
    PriceRef!$D$2:$D154,
    PriceRef!$A$2:$A154, "Suede",
    PriceRef!$C$2:$C154, $E62
  ),
  SUMIFS(
    PriceRef!$D$2:$D154,
    PriceRef!$A$2:$A154, "TwoTone",
    PriceRef!$C$2:$C154, $G62
  )
)</f>
        <v>995</v>
      </c>
      <c r="K62" s="65" t="s">
        <v>817</v>
      </c>
      <c r="L62" s="66" t="str">
        <f t="shared" si="1"/>
        <v>3LT AE4 HTE 37S</v>
      </c>
    </row>
    <row r="63">
      <c r="A63" s="60" t="s">
        <v>812</v>
      </c>
      <c r="B63" s="61" t="s">
        <v>813</v>
      </c>
      <c r="C63" s="61" t="s">
        <v>726</v>
      </c>
      <c r="D63" s="61" t="s">
        <v>824</v>
      </c>
      <c r="E63" s="61"/>
      <c r="F63" s="61" t="s">
        <v>746</v>
      </c>
      <c r="G63" s="62"/>
      <c r="H63" s="62" t="s">
        <v>828</v>
      </c>
      <c r="I63" s="63" t="s">
        <v>832</v>
      </c>
      <c r="J63" s="64">
        <f>SUM(
  SUMIFS(
    PriceRef!$D$2:$D154,
    PriceRef!$A$2:$A154, "Seat",
    PriceRef!$B$2:$B154, $B63,
    PriceRef!$C$2:$C154, $C63
  ),
  SUMIFS(
    PriceRef!$D$2:$D154,
    PriceRef!$A$2:$A154, "Stitching",
    PriceRef!$C$2:$C154, $F63
  ),
  SUMIFS(
    PriceRef!$D$2:$D154,
    PriceRef!$A$2:$A154, "Suede",
    PriceRef!$C$2:$C154, $E63
  ),
  SUMIFS(
    PriceRef!$D$2:$D154,
    PriceRef!$A$2:$A154, "TwoTone",
    PriceRef!$C$2:$C154, $G63
  )
)</f>
        <v>995</v>
      </c>
      <c r="K63" s="65" t="s">
        <v>817</v>
      </c>
      <c r="L63" s="66" t="str">
        <f t="shared" si="1"/>
        <v>3LT AE4 HTE 38S</v>
      </c>
    </row>
    <row r="64">
      <c r="A64" s="60" t="s">
        <v>812</v>
      </c>
      <c r="B64" s="61" t="s">
        <v>813</v>
      </c>
      <c r="C64" s="61" t="s">
        <v>753</v>
      </c>
      <c r="D64" s="61" t="s">
        <v>833</v>
      </c>
      <c r="E64" s="61" t="s">
        <v>728</v>
      </c>
      <c r="F64" s="61"/>
      <c r="G64" s="62"/>
      <c r="H64" s="62" t="s">
        <v>778</v>
      </c>
      <c r="I64" s="63" t="s">
        <v>834</v>
      </c>
      <c r="J64" s="64">
        <f>SUM(
  SUMIFS(
    PriceRef!$D$2:$D154,
    PriceRef!$A$2:$A154, "Seat",
    PriceRef!$B$2:$B154, $B64,
    PriceRef!$C$2:$C154, $C64
  ),
  SUMIFS(
    PriceRef!$D$2:$D154,
    PriceRef!$A$2:$A154, "Stitching",
    PriceRef!$C$2:$C154, $F64
  ),
  SUMIFS(
    PriceRef!$D$2:$D154,
    PriceRef!$A$2:$A154, "Suede",
    PriceRef!$C$2:$C154, $E64
  ),
  SUMIFS(
    PriceRef!$D$2:$D154,
    PriceRef!$A$2:$A154, "TwoTone",
    PriceRef!$C$2:$C154, $G64
  )
)</f>
        <v>695</v>
      </c>
      <c r="K64" s="65" t="s">
        <v>817</v>
      </c>
      <c r="L64" s="66" t="str">
        <f t="shared" si="1"/>
        <v>3LT AH2 HTG N26</v>
      </c>
    </row>
    <row r="65">
      <c r="A65" s="60" t="s">
        <v>812</v>
      </c>
      <c r="B65" s="61" t="s">
        <v>813</v>
      </c>
      <c r="C65" s="61" t="s">
        <v>726</v>
      </c>
      <c r="D65" s="61" t="s">
        <v>833</v>
      </c>
      <c r="E65" s="61" t="s">
        <v>728</v>
      </c>
      <c r="F65" s="61"/>
      <c r="G65" s="62"/>
      <c r="H65" s="62" t="s">
        <v>778</v>
      </c>
      <c r="I65" s="63" t="s">
        <v>835</v>
      </c>
      <c r="J65" s="64">
        <f>SUM(
  SUMIFS(
    PriceRef!$D$2:$D154,
    PriceRef!$A$2:$A154, "Seat",
    PriceRef!$B$2:$B154, $B65,
    PriceRef!$C$2:$C154, $C65
  ),
  SUMIFS(
    PriceRef!$D$2:$D154,
    PriceRef!$A$2:$A154, "Stitching",
    PriceRef!$C$2:$C154, $F65
  ),
  SUMIFS(
    PriceRef!$D$2:$D154,
    PriceRef!$A$2:$A154, "Suede",
    PriceRef!$C$2:$C154, $E65
  ),
  SUMIFS(
    PriceRef!$D$2:$D154,
    PriceRef!$A$2:$A154, "TwoTone",
    PriceRef!$C$2:$C154, $G65
  )
)</f>
        <v>1195</v>
      </c>
      <c r="K65" s="65" t="s">
        <v>817</v>
      </c>
      <c r="L65" s="66" t="str">
        <f t="shared" si="1"/>
        <v>3LT AE4 HTG N26</v>
      </c>
    </row>
    <row r="66">
      <c r="A66" s="60" t="s">
        <v>812</v>
      </c>
      <c r="B66" s="61" t="s">
        <v>813</v>
      </c>
      <c r="C66" s="61" t="s">
        <v>753</v>
      </c>
      <c r="D66" s="61" t="s">
        <v>833</v>
      </c>
      <c r="E66" s="61" t="s">
        <v>728</v>
      </c>
      <c r="F66" s="61"/>
      <c r="G66" s="62" t="s">
        <v>767</v>
      </c>
      <c r="H66" s="62" t="s">
        <v>781</v>
      </c>
      <c r="I66" s="63" t="s">
        <v>836</v>
      </c>
      <c r="J66" s="64">
        <f>SUM(
  SUMIFS(
    PriceRef!$D$2:$D154,
    PriceRef!$A$2:$A154, "Seat",
    PriceRef!$B$2:$B154, $B66,
    PriceRef!$C$2:$C154, $C66
  ),
  SUMIFS(
    PriceRef!$D$2:$D154,
    PriceRef!$A$2:$A154, "Stitching",
    PriceRef!$C$2:$C154, $F66
  ),
  SUMIFS(
    PriceRef!$D$2:$D154,
    PriceRef!$A$2:$A154, "Suede",
    PriceRef!$C$2:$C154, $E66
  ),
  SUMIFS(
    PriceRef!$D$2:$D154,
    PriceRef!$A$2:$A154, "TwoTone",
    PriceRef!$C$2:$C154, $G66
  )
)</f>
        <v>1290</v>
      </c>
      <c r="K66" s="65" t="s">
        <v>817</v>
      </c>
      <c r="L66" s="66" t="str">
        <f t="shared" si="1"/>
        <v>3LT AH2 HTG N26 TU7</v>
      </c>
    </row>
    <row r="67">
      <c r="A67" s="60" t="s">
        <v>812</v>
      </c>
      <c r="B67" s="61" t="s">
        <v>813</v>
      </c>
      <c r="C67" s="61" t="s">
        <v>753</v>
      </c>
      <c r="D67" s="61" t="s">
        <v>837</v>
      </c>
      <c r="E67" s="61"/>
      <c r="F67" s="61"/>
      <c r="G67" s="62"/>
      <c r="H67" s="62" t="s">
        <v>838</v>
      </c>
      <c r="I67" s="63" t="s">
        <v>839</v>
      </c>
      <c r="J67" s="64">
        <f>SUM(
  SUMIFS(
    PriceRef!$D$2:$D154,
    PriceRef!$A$2:$A154, "Seat",
    PriceRef!$B$2:$B154, $B67,
    PriceRef!$C$2:$C154, $C67
  ),
  SUMIFS(
    PriceRef!$D$2:$D154,
    PriceRef!$A$2:$A154, "Stitching",
    PriceRef!$C$2:$C154, $F67
  ),
  SUMIFS(
    PriceRef!$D$2:$D154,
    PriceRef!$A$2:$A154, "Suede",
    PriceRef!$C$2:$C154, $E67
  ),
  SUMIFS(
    PriceRef!$D$2:$D154,
    PriceRef!$A$2:$A154, "TwoTone",
    PriceRef!$C$2:$C154, $G67
  )
)</f>
        <v>0</v>
      </c>
      <c r="K67" s="65" t="s">
        <v>817</v>
      </c>
      <c r="L67" s="66" t="str">
        <f t="shared" si="1"/>
        <v>3LT AH2 H8T</v>
      </c>
    </row>
    <row r="68">
      <c r="A68" s="60" t="s">
        <v>812</v>
      </c>
      <c r="B68" s="61" t="s">
        <v>813</v>
      </c>
      <c r="C68" s="61" t="s">
        <v>726</v>
      </c>
      <c r="D68" s="61" t="s">
        <v>837</v>
      </c>
      <c r="E68" s="61"/>
      <c r="F68" s="61"/>
      <c r="G68" s="62"/>
      <c r="H68" s="62" t="s">
        <v>838</v>
      </c>
      <c r="I68" s="63" t="s">
        <v>840</v>
      </c>
      <c r="J68" s="64">
        <f>SUM(
  SUMIFS(
    PriceRef!$D$2:$D154,
    PriceRef!$A$2:$A154, "Seat",
    PriceRef!$B$2:$B154, $B68,
    PriceRef!$C$2:$C154, $C68
  ),
  SUMIFS(
    PriceRef!$D$2:$D154,
    PriceRef!$A$2:$A154, "Stitching",
    PriceRef!$C$2:$C154, $F68
  ),
  SUMIFS(
    PriceRef!$D$2:$D154,
    PriceRef!$A$2:$A154, "Suede",
    PriceRef!$C$2:$C154, $E68
  ),
  SUMIFS(
    PriceRef!$D$2:$D154,
    PriceRef!$A$2:$A154, "TwoTone",
    PriceRef!$C$2:$C154, $G68
  )
)</f>
        <v>500</v>
      </c>
      <c r="K68" s="65" t="s">
        <v>817</v>
      </c>
      <c r="L68" s="66" t="str">
        <f t="shared" si="1"/>
        <v>3LT AE4 H8T</v>
      </c>
    </row>
    <row r="69">
      <c r="A69" s="60" t="s">
        <v>812</v>
      </c>
      <c r="B69" s="61" t="s">
        <v>813</v>
      </c>
      <c r="C69" s="61" t="s">
        <v>753</v>
      </c>
      <c r="D69" s="61" t="s">
        <v>841</v>
      </c>
      <c r="E69" s="61" t="s">
        <v>728</v>
      </c>
      <c r="F69" s="61" t="s">
        <v>749</v>
      </c>
      <c r="G69" s="62"/>
      <c r="H69" s="62" t="s">
        <v>842</v>
      </c>
      <c r="I69" s="63" t="s">
        <v>843</v>
      </c>
      <c r="J69" s="64">
        <f>SUM(
  SUMIFS(
    PriceRef!$D$2:$D154,
    PriceRef!$A$2:$A154, "Seat",
    PriceRef!$B$2:$B154, $B69,
    PriceRef!$C$2:$C154, $C69
  ),
  SUMIFS(
    PriceRef!$D$2:$D154,
    PriceRef!$A$2:$A154, "Stitching",
    PriceRef!$C$2:$C154, $F69
  ),
  SUMIFS(
    PriceRef!$D$2:$D154,
    PriceRef!$A$2:$A154, "Suede",
    PriceRef!$C$2:$C154, $E69
  ),
  SUMIFS(
    PriceRef!$D$2:$D154,
    PriceRef!$A$2:$A154, "TwoTone",
    PriceRef!$C$2:$C154, $G69
  )
)</f>
        <v>1190</v>
      </c>
      <c r="K69" s="65" t="s">
        <v>817</v>
      </c>
      <c r="L69" s="66" t="str">
        <f t="shared" si="1"/>
        <v>3LT AH2 HTT 36S N26</v>
      </c>
    </row>
    <row r="70">
      <c r="A70" s="60" t="s">
        <v>812</v>
      </c>
      <c r="B70" s="61" t="s">
        <v>813</v>
      </c>
      <c r="C70" s="61" t="s">
        <v>726</v>
      </c>
      <c r="D70" s="61" t="s">
        <v>841</v>
      </c>
      <c r="E70" s="61" t="s">
        <v>728</v>
      </c>
      <c r="F70" s="61" t="s">
        <v>749</v>
      </c>
      <c r="G70" s="62"/>
      <c r="H70" s="62" t="s">
        <v>842</v>
      </c>
      <c r="I70" s="63" t="s">
        <v>844</v>
      </c>
      <c r="J70" s="64">
        <f>SUM(
  SUMIFS(
    PriceRef!$D$2:$D154,
    PriceRef!$A$2:$A154, "Seat",
    PriceRef!$B$2:$B154, $B70,
    PriceRef!$C$2:$C154, $C70
  ),
  SUMIFS(
    PriceRef!$D$2:$D154,
    PriceRef!$A$2:$A154, "Stitching",
    PriceRef!$C$2:$C154, $F70
  ),
  SUMIFS(
    PriceRef!$D$2:$D154,
    PriceRef!$A$2:$A154, "Suede",
    PriceRef!$C$2:$C154, $E70
  ),
  SUMIFS(
    PriceRef!$D$2:$D154,
    PriceRef!$A$2:$A154, "TwoTone",
    PriceRef!$C$2:$C154, $G70
  )
)</f>
        <v>1690</v>
      </c>
      <c r="K70" s="65" t="s">
        <v>817</v>
      </c>
      <c r="L70" s="66" t="str">
        <f t="shared" si="1"/>
        <v>3LT AE4 HTT 36S N26</v>
      </c>
    </row>
    <row r="71">
      <c r="A71" s="60" t="s">
        <v>812</v>
      </c>
      <c r="B71" s="61" t="s">
        <v>813</v>
      </c>
      <c r="C71" s="61" t="s">
        <v>753</v>
      </c>
      <c r="D71" s="61" t="s">
        <v>841</v>
      </c>
      <c r="E71" s="61" t="s">
        <v>728</v>
      </c>
      <c r="F71" s="61" t="s">
        <v>751</v>
      </c>
      <c r="G71" s="62"/>
      <c r="H71" s="62" t="s">
        <v>845</v>
      </c>
      <c r="I71" s="63" t="s">
        <v>846</v>
      </c>
      <c r="J71" s="64">
        <f>SUM(
  SUMIFS(
    PriceRef!$D$2:$D154,
    PriceRef!$A$2:$A154, "Seat",
    PriceRef!$B$2:$B154, $B71,
    PriceRef!$C$2:$C154, $C71
  ),
  SUMIFS(
    PriceRef!$D$2:$D154,
    PriceRef!$A$2:$A154, "Stitching",
    PriceRef!$C$2:$C154, $F71
  ),
  SUMIFS(
    PriceRef!$D$2:$D154,
    PriceRef!$A$2:$A154, "Suede",
    PriceRef!$C$2:$C154, $E71
  ),
  SUMIFS(
    PriceRef!$D$2:$D154,
    PriceRef!$A$2:$A154, "TwoTone",
    PriceRef!$C$2:$C154, $G71
  )
)</f>
        <v>1190</v>
      </c>
      <c r="K71" s="65" t="s">
        <v>817</v>
      </c>
      <c r="L71" s="66" t="str">
        <f t="shared" si="1"/>
        <v>3LT AH2 HTT 37S N26</v>
      </c>
    </row>
    <row r="72">
      <c r="A72" s="60" t="s">
        <v>812</v>
      </c>
      <c r="B72" s="61" t="s">
        <v>813</v>
      </c>
      <c r="C72" s="61" t="s">
        <v>726</v>
      </c>
      <c r="D72" s="61" t="s">
        <v>841</v>
      </c>
      <c r="E72" s="61" t="s">
        <v>728</v>
      </c>
      <c r="F72" s="61" t="s">
        <v>751</v>
      </c>
      <c r="G72" s="62"/>
      <c r="H72" s="62" t="s">
        <v>845</v>
      </c>
      <c r="I72" s="63" t="s">
        <v>847</v>
      </c>
      <c r="J72" s="64">
        <f>SUM(
  SUMIFS(
    PriceRef!$D$2:$D154,
    PriceRef!$A$2:$A154, "Seat",
    PriceRef!$B$2:$B154, $B72,
    PriceRef!$C$2:$C154, $C72
  ),
  SUMIFS(
    PriceRef!$D$2:$D154,
    PriceRef!$A$2:$A154, "Stitching",
    PriceRef!$C$2:$C154, $F72
  ),
  SUMIFS(
    PriceRef!$D$2:$D154,
    PriceRef!$A$2:$A154, "Suede",
    PriceRef!$C$2:$C154, $E72
  ),
  SUMIFS(
    PriceRef!$D$2:$D154,
    PriceRef!$A$2:$A154, "TwoTone",
    PriceRef!$C$2:$C154, $G72
  )
)</f>
        <v>1690</v>
      </c>
      <c r="K72" s="65" t="s">
        <v>817</v>
      </c>
      <c r="L72" s="66" t="str">
        <f t="shared" si="1"/>
        <v>3LT AE4 HTT 37S N26</v>
      </c>
    </row>
    <row r="73">
      <c r="A73" s="60" t="s">
        <v>812</v>
      </c>
      <c r="B73" s="61" t="s">
        <v>813</v>
      </c>
      <c r="C73" s="61" t="s">
        <v>753</v>
      </c>
      <c r="D73" s="61" t="s">
        <v>841</v>
      </c>
      <c r="E73" s="61" t="s">
        <v>728</v>
      </c>
      <c r="F73" s="61" t="s">
        <v>746</v>
      </c>
      <c r="G73" s="62"/>
      <c r="H73" s="62" t="s">
        <v>848</v>
      </c>
      <c r="I73" s="63" t="s">
        <v>843</v>
      </c>
      <c r="J73" s="64">
        <f>SUM(
  SUMIFS(
    PriceRef!$D$2:$D154,
    PriceRef!$A$2:$A154, "Seat",
    PriceRef!$B$2:$B154, $B73,
    PriceRef!$C$2:$C154, $C73
  ),
  SUMIFS(
    PriceRef!$D$2:$D154,
    PriceRef!$A$2:$A154, "Stitching",
    PriceRef!$C$2:$C154, $F73
  ),
  SUMIFS(
    PriceRef!$D$2:$D154,
    PriceRef!$A$2:$A154, "Suede",
    PriceRef!$C$2:$C154, $E73
  ),
  SUMIFS(
    PriceRef!$D$2:$D154,
    PriceRef!$A$2:$A154, "TwoTone",
    PriceRef!$C$2:$C154, $G73
  )
)</f>
        <v>1190</v>
      </c>
      <c r="K73" s="65" t="s">
        <v>817</v>
      </c>
      <c r="L73" s="66" t="str">
        <f t="shared" si="1"/>
        <v>3LT AH2 HTT 38S N26</v>
      </c>
    </row>
    <row r="74">
      <c r="A74" s="60" t="s">
        <v>812</v>
      </c>
      <c r="B74" s="61" t="s">
        <v>813</v>
      </c>
      <c r="C74" s="61" t="s">
        <v>726</v>
      </c>
      <c r="D74" s="61" t="s">
        <v>841</v>
      </c>
      <c r="E74" s="61" t="s">
        <v>728</v>
      </c>
      <c r="F74" s="61" t="s">
        <v>746</v>
      </c>
      <c r="G74" s="62"/>
      <c r="H74" s="62" t="s">
        <v>848</v>
      </c>
      <c r="I74" s="63" t="s">
        <v>844</v>
      </c>
      <c r="J74" s="64">
        <f>SUM(
  SUMIFS(
    PriceRef!$D$2:$D154,
    PriceRef!$A$2:$A154, "Seat",
    PriceRef!$B$2:$B154, $B74,
    PriceRef!$C$2:$C154, $C74
  ),
  SUMIFS(
    PriceRef!$D$2:$D154,
    PriceRef!$A$2:$A154, "Stitching",
    PriceRef!$C$2:$C154, $F74
  ),
  SUMIFS(
    PriceRef!$D$2:$D154,
    PriceRef!$A$2:$A154, "Suede",
    PriceRef!$C$2:$C154, $E74
  ),
  SUMIFS(
    PriceRef!$D$2:$D154,
    PriceRef!$A$2:$A154, "TwoTone",
    PriceRef!$C$2:$C154, $G74
  )
)</f>
        <v>1690</v>
      </c>
      <c r="K74" s="65" t="s">
        <v>817</v>
      </c>
      <c r="L74" s="66" t="str">
        <f t="shared" si="1"/>
        <v>3LT AE4 HTT 38S N26</v>
      </c>
    </row>
    <row r="75">
      <c r="A75" s="60" t="s">
        <v>812</v>
      </c>
      <c r="B75" s="61" t="s">
        <v>813</v>
      </c>
      <c r="C75" s="61" t="s">
        <v>753</v>
      </c>
      <c r="D75" s="61" t="s">
        <v>841</v>
      </c>
      <c r="E75" s="61" t="s">
        <v>728</v>
      </c>
      <c r="F75" s="61"/>
      <c r="G75" s="62"/>
      <c r="H75" s="62" t="s">
        <v>771</v>
      </c>
      <c r="I75" s="63" t="s">
        <v>829</v>
      </c>
      <c r="J75" s="64">
        <f>SUM(
  SUMIFS(
    PriceRef!$D$2:$D154,
    PriceRef!$A$2:$A154, "Seat",
    PriceRef!$B$2:$B154, $B75,
    PriceRef!$C$2:$C154, $C75
  ),
  SUMIFS(
    PriceRef!$D$2:$D154,
    PriceRef!$A$2:$A154, "Stitching",
    PriceRef!$C$2:$C154, $F75
  ),
  SUMIFS(
    PriceRef!$D$2:$D154,
    PriceRef!$A$2:$A154, "Suede",
    PriceRef!$C$2:$C154, $E75
  ),
  SUMIFS(
    PriceRef!$D$2:$D154,
    PriceRef!$A$2:$A154, "TwoTone",
    PriceRef!$C$2:$C154, $G75
  )
)</f>
        <v>695</v>
      </c>
      <c r="K75" s="65" t="s">
        <v>817</v>
      </c>
      <c r="L75" s="66" t="str">
        <f t="shared" si="1"/>
        <v>3LT AH2 HTT N26</v>
      </c>
    </row>
    <row r="76">
      <c r="A76" s="60" t="s">
        <v>812</v>
      </c>
      <c r="B76" s="61" t="s">
        <v>813</v>
      </c>
      <c r="C76" s="61" t="s">
        <v>726</v>
      </c>
      <c r="D76" s="61" t="s">
        <v>841</v>
      </c>
      <c r="E76" s="61" t="s">
        <v>728</v>
      </c>
      <c r="F76" s="61"/>
      <c r="G76" s="62"/>
      <c r="H76" s="62" t="s">
        <v>771</v>
      </c>
      <c r="I76" s="63" t="s">
        <v>832</v>
      </c>
      <c r="J76" s="64">
        <f>SUM(
  SUMIFS(
    PriceRef!$D$2:$D154,
    PriceRef!$A$2:$A154, "Seat",
    PriceRef!$B$2:$B154, $B76,
    PriceRef!$C$2:$C154, $C76
  ),
  SUMIFS(
    PriceRef!$D$2:$D154,
    PriceRef!$A$2:$A154, "Stitching",
    PriceRef!$C$2:$C154, $F76
  ),
  SUMIFS(
    PriceRef!$D$2:$D154,
    PriceRef!$A$2:$A154, "Suede",
    PriceRef!$C$2:$C154, $E76
  ),
  SUMIFS(
    PriceRef!$D$2:$D154,
    PriceRef!$A$2:$A154, "TwoTone",
    PriceRef!$C$2:$C154, $G76
  )
)</f>
        <v>1195</v>
      </c>
      <c r="K76" s="65" t="s">
        <v>817</v>
      </c>
      <c r="L76" s="66" t="str">
        <f t="shared" si="1"/>
        <v>3LT AE4 HTT N26</v>
      </c>
    </row>
    <row r="77">
      <c r="A77" s="60" t="s">
        <v>812</v>
      </c>
      <c r="B77" s="61" t="s">
        <v>813</v>
      </c>
      <c r="C77" s="61" t="s">
        <v>753</v>
      </c>
      <c r="D77" s="61" t="s">
        <v>849</v>
      </c>
      <c r="E77" s="61"/>
      <c r="F77" s="61"/>
      <c r="G77" s="62"/>
      <c r="H77" s="62" t="s">
        <v>850</v>
      </c>
      <c r="I77" s="63" t="s">
        <v>851</v>
      </c>
      <c r="J77" s="64">
        <f>SUM(
  SUMIFS(
    PriceRef!$D$2:$D154,
    PriceRef!$A$2:$A154, "Seat",
    PriceRef!$B$2:$B154, $B77,
    PriceRef!$C$2:$C154, $C77
  ),
  SUMIFS(
    PriceRef!$D$2:$D154,
    PriceRef!$A$2:$A154, "Stitching",
    PriceRef!$C$2:$C154, $F77
  ),
  SUMIFS(
    PriceRef!$D$2:$D154,
    PriceRef!$A$2:$A154, "Suede",
    PriceRef!$C$2:$C154, $E77
  ),
  SUMIFS(
    PriceRef!$D$2:$D154,
    PriceRef!$A$2:$A154, "TwoTone",
    PriceRef!$C$2:$C154, $G77
  )
)</f>
        <v>0</v>
      </c>
      <c r="K77" s="65" t="s">
        <v>817</v>
      </c>
      <c r="L77" s="66" t="str">
        <f t="shared" si="1"/>
        <v>3LT AH2 HUC</v>
      </c>
    </row>
    <row r="78">
      <c r="A78" s="60" t="s">
        <v>812</v>
      </c>
      <c r="B78" s="61" t="s">
        <v>813</v>
      </c>
      <c r="C78" s="61" t="s">
        <v>753</v>
      </c>
      <c r="D78" s="61" t="s">
        <v>849</v>
      </c>
      <c r="E78" s="61"/>
      <c r="F78" s="61" t="s">
        <v>749</v>
      </c>
      <c r="G78" s="62"/>
      <c r="H78" s="62" t="s">
        <v>852</v>
      </c>
      <c r="I78" s="63" t="s">
        <v>851</v>
      </c>
      <c r="J78" s="64">
        <f>SUM(
  SUMIFS(
    PriceRef!$D$2:$D154,
    PriceRef!$A$2:$A154, "Seat",
    PriceRef!$B$2:$B154, $B78,
    PriceRef!$C$2:$C154, $C78
  ),
  SUMIFS(
    PriceRef!$D$2:$D154,
    PriceRef!$A$2:$A154, "Stitching",
    PriceRef!$C$2:$C154, $F78
  ),
  SUMIFS(
    PriceRef!$D$2:$D154,
    PriceRef!$A$2:$A154, "Suede",
    PriceRef!$C$2:$C154, $E78
  ),
  SUMIFS(
    PriceRef!$D$2:$D154,
    PriceRef!$A$2:$A154, "TwoTone",
    PriceRef!$C$2:$C154, $G78
  )
)</f>
        <v>495</v>
      </c>
      <c r="K78" s="65" t="s">
        <v>817</v>
      </c>
      <c r="L78" s="66" t="str">
        <f t="shared" si="1"/>
        <v>3LT AH2 HUC 36S</v>
      </c>
    </row>
    <row r="79">
      <c r="A79" s="60" t="s">
        <v>812</v>
      </c>
      <c r="B79" s="61" t="s">
        <v>813</v>
      </c>
      <c r="C79" s="61" t="s">
        <v>753</v>
      </c>
      <c r="D79" s="61" t="s">
        <v>849</v>
      </c>
      <c r="E79" s="61"/>
      <c r="F79" s="61" t="s">
        <v>751</v>
      </c>
      <c r="G79" s="62"/>
      <c r="H79" s="62" t="s">
        <v>853</v>
      </c>
      <c r="I79" s="63" t="s">
        <v>851</v>
      </c>
      <c r="J79" s="64">
        <f>SUM(
  SUMIFS(
    PriceRef!$D$2:$D154,
    PriceRef!$A$2:$A154, "Seat",
    PriceRef!$B$2:$B154, $B79,
    PriceRef!$C$2:$C154, $C79
  ),
  SUMIFS(
    PriceRef!$D$2:$D154,
    PriceRef!$A$2:$A154, "Stitching",
    PriceRef!$C$2:$C154, $F79
  ),
  SUMIFS(
    PriceRef!$D$2:$D154,
    PriceRef!$A$2:$A154, "Suede",
    PriceRef!$C$2:$C154, $E79
  ),
  SUMIFS(
    PriceRef!$D$2:$D154,
    PriceRef!$A$2:$A154, "TwoTone",
    PriceRef!$C$2:$C154, $G79
  )
)</f>
        <v>495</v>
      </c>
      <c r="K79" s="65" t="s">
        <v>817</v>
      </c>
      <c r="L79" s="66" t="str">
        <f t="shared" si="1"/>
        <v>3LT AH2 HUC 37S</v>
      </c>
    </row>
    <row r="80">
      <c r="A80" s="60" t="s">
        <v>812</v>
      </c>
      <c r="B80" s="61" t="s">
        <v>813</v>
      </c>
      <c r="C80" s="61" t="s">
        <v>753</v>
      </c>
      <c r="D80" s="61" t="s">
        <v>849</v>
      </c>
      <c r="E80" s="61"/>
      <c r="F80" s="61" t="s">
        <v>746</v>
      </c>
      <c r="G80" s="62"/>
      <c r="H80" s="62" t="s">
        <v>854</v>
      </c>
      <c r="I80" s="63" t="s">
        <v>851</v>
      </c>
      <c r="J80" s="64">
        <f>SUM(
  SUMIFS(
    PriceRef!$D$2:$D154,
    PriceRef!$A$2:$A154, "Seat",
    PriceRef!$B$2:$B154, $B80,
    PriceRef!$C$2:$C154, $C80
  ),
  SUMIFS(
    PriceRef!$D$2:$D154,
    PriceRef!$A$2:$A154, "Stitching",
    PriceRef!$C$2:$C154, $F80
  ),
  SUMIFS(
    PriceRef!$D$2:$D154,
    PriceRef!$A$2:$A154, "Suede",
    PriceRef!$C$2:$C154, $E80
  ),
  SUMIFS(
    PriceRef!$D$2:$D154,
    PriceRef!$A$2:$A154, "TwoTone",
    PriceRef!$C$2:$C154, $G80
  )
)</f>
        <v>495</v>
      </c>
      <c r="K80" s="65" t="s">
        <v>817</v>
      </c>
      <c r="L80" s="66" t="str">
        <f t="shared" si="1"/>
        <v>3LT AH2 HUC 38S</v>
      </c>
    </row>
    <row r="81">
      <c r="A81" s="60" t="s">
        <v>812</v>
      </c>
      <c r="B81" s="61" t="s">
        <v>813</v>
      </c>
      <c r="C81" s="61" t="s">
        <v>726</v>
      </c>
      <c r="D81" s="61" t="s">
        <v>849</v>
      </c>
      <c r="E81" s="61"/>
      <c r="F81" s="61"/>
      <c r="G81" s="62"/>
      <c r="H81" s="62" t="s">
        <v>850</v>
      </c>
      <c r="I81" s="63" t="s">
        <v>855</v>
      </c>
      <c r="J81" s="64">
        <f>SUM(
  SUMIFS(
    PriceRef!$D$2:$D154,
    PriceRef!$A$2:$A154, "Seat",
    PriceRef!$B$2:$B154, $B81,
    PriceRef!$C$2:$C154, $C81
  ),
  SUMIFS(
    PriceRef!$D$2:$D154,
    PriceRef!$A$2:$A154, "Stitching",
    PriceRef!$C$2:$C154, $F81
  ),
  SUMIFS(
    PriceRef!$D$2:$D154,
    PriceRef!$A$2:$A154, "Suede",
    PriceRef!$C$2:$C154, $E81
  ),
  SUMIFS(
    PriceRef!$D$2:$D154,
    PriceRef!$A$2:$A154, "TwoTone",
    PriceRef!$C$2:$C154, $G81
  )
)</f>
        <v>500</v>
      </c>
      <c r="K81" s="65" t="s">
        <v>817</v>
      </c>
      <c r="L81" s="66" t="str">
        <f t="shared" si="1"/>
        <v>3LT AE4 HUC</v>
      </c>
    </row>
    <row r="82">
      <c r="A82" s="60" t="s">
        <v>812</v>
      </c>
      <c r="B82" s="61" t="s">
        <v>813</v>
      </c>
      <c r="C82" s="61" t="s">
        <v>726</v>
      </c>
      <c r="D82" s="61" t="s">
        <v>849</v>
      </c>
      <c r="E82" s="61"/>
      <c r="F82" s="61" t="s">
        <v>749</v>
      </c>
      <c r="G82" s="62"/>
      <c r="H82" s="62" t="s">
        <v>852</v>
      </c>
      <c r="I82" s="63" t="s">
        <v>855</v>
      </c>
      <c r="J82" s="64">
        <f>SUM(
  SUMIFS(
    PriceRef!$D$2:$D154,
    PriceRef!$A$2:$A154, "Seat",
    PriceRef!$B$2:$B154, $B82,
    PriceRef!$C$2:$C154, $C82
  ),
  SUMIFS(
    PriceRef!$D$2:$D154,
    PriceRef!$A$2:$A154, "Stitching",
    PriceRef!$C$2:$C154, $F82
  ),
  SUMIFS(
    PriceRef!$D$2:$D154,
    PriceRef!$A$2:$A154, "Suede",
    PriceRef!$C$2:$C154, $E82
  ),
  SUMIFS(
    PriceRef!$D$2:$D154,
    PriceRef!$A$2:$A154, "TwoTone",
    PriceRef!$C$2:$C154, $G82
  )
)</f>
        <v>995</v>
      </c>
      <c r="K82" s="65" t="s">
        <v>817</v>
      </c>
      <c r="L82" s="66" t="str">
        <f t="shared" si="1"/>
        <v>3LT AE4 HUC 36S</v>
      </c>
    </row>
    <row r="83">
      <c r="A83" s="60" t="s">
        <v>812</v>
      </c>
      <c r="B83" s="61" t="s">
        <v>813</v>
      </c>
      <c r="C83" s="61" t="s">
        <v>726</v>
      </c>
      <c r="D83" s="61" t="s">
        <v>849</v>
      </c>
      <c r="E83" s="61"/>
      <c r="F83" s="61" t="s">
        <v>751</v>
      </c>
      <c r="G83" s="62"/>
      <c r="H83" s="62" t="s">
        <v>853</v>
      </c>
      <c r="I83" s="63" t="s">
        <v>855</v>
      </c>
      <c r="J83" s="64">
        <f>SUM(
  SUMIFS(
    PriceRef!$D$2:$D154,
    PriceRef!$A$2:$A154, "Seat",
    PriceRef!$B$2:$B154, $B83,
    PriceRef!$C$2:$C154, $C83
  ),
  SUMIFS(
    PriceRef!$D$2:$D154,
    PriceRef!$A$2:$A154, "Stitching",
    PriceRef!$C$2:$C154, $F83
  ),
  SUMIFS(
    PriceRef!$D$2:$D154,
    PriceRef!$A$2:$A154, "Suede",
    PriceRef!$C$2:$C154, $E83
  ),
  SUMIFS(
    PriceRef!$D$2:$D154,
    PriceRef!$A$2:$A154, "TwoTone",
    PriceRef!$C$2:$C154, $G83
  )
)</f>
        <v>995</v>
      </c>
      <c r="K83" s="65" t="s">
        <v>817</v>
      </c>
      <c r="L83" s="66" t="str">
        <f t="shared" si="1"/>
        <v>3LT AE4 HUC 37S</v>
      </c>
    </row>
    <row r="84">
      <c r="A84" s="60" t="s">
        <v>812</v>
      </c>
      <c r="B84" s="61" t="s">
        <v>813</v>
      </c>
      <c r="C84" s="61" t="s">
        <v>726</v>
      </c>
      <c r="D84" s="61" t="s">
        <v>849</v>
      </c>
      <c r="E84" s="61"/>
      <c r="F84" s="61" t="s">
        <v>746</v>
      </c>
      <c r="G84" s="62"/>
      <c r="H84" s="62" t="s">
        <v>854</v>
      </c>
      <c r="I84" s="63" t="s">
        <v>855</v>
      </c>
      <c r="J84" s="64">
        <f>SUM(
  SUMIFS(
    PriceRef!$D$2:$D154,
    PriceRef!$A$2:$A154, "Seat",
    PriceRef!$B$2:$B154, $B84,
    PriceRef!$C$2:$C154, $C84
  ),
  SUMIFS(
    PriceRef!$D$2:$D154,
    PriceRef!$A$2:$A154, "Stitching",
    PriceRef!$C$2:$C154, $F84
  ),
  SUMIFS(
    PriceRef!$D$2:$D154,
    PriceRef!$A$2:$A154, "Suede",
    PriceRef!$C$2:$C154, $E84
  ),
  SUMIFS(
    PriceRef!$D$2:$D154,
    PriceRef!$A$2:$A154, "TwoTone",
    PriceRef!$C$2:$C154, $G84
  )
)</f>
        <v>995</v>
      </c>
      <c r="K84" s="65" t="s">
        <v>817</v>
      </c>
      <c r="L84" s="66" t="str">
        <f t="shared" si="1"/>
        <v>3LT AE4 HUC 38S</v>
      </c>
    </row>
    <row r="85">
      <c r="A85" s="60" t="s">
        <v>812</v>
      </c>
      <c r="B85" s="61" t="s">
        <v>813</v>
      </c>
      <c r="C85" s="61" t="s">
        <v>753</v>
      </c>
      <c r="D85" s="61" t="s">
        <v>856</v>
      </c>
      <c r="E85" s="61"/>
      <c r="F85" s="61"/>
      <c r="G85" s="62"/>
      <c r="H85" s="62" t="s">
        <v>857</v>
      </c>
      <c r="I85" s="63" t="s">
        <v>851</v>
      </c>
      <c r="J85" s="64">
        <f>SUM(
  SUMIFS(
    PriceRef!$D$2:$D154,
    PriceRef!$A$2:$A154, "Seat",
    PriceRef!$B$2:$B154, $B85,
    PriceRef!$C$2:$C154, $C85
  ),
  SUMIFS(
    PriceRef!$D$2:$D154,
    PriceRef!$A$2:$A154, "Stitching",
    PriceRef!$C$2:$C154, $F85
  ),
  SUMIFS(
    PriceRef!$D$2:$D154,
    PriceRef!$A$2:$A154, "Suede",
    PriceRef!$C$2:$C154, $E85
  ),
  SUMIFS(
    PriceRef!$D$2:$D154,
    PriceRef!$A$2:$A154, "TwoTone",
    PriceRef!$C$2:$C154, $G85
  )
)</f>
        <v>0</v>
      </c>
      <c r="K85" s="65" t="s">
        <v>817</v>
      </c>
      <c r="L85" s="66" t="str">
        <f t="shared" si="1"/>
        <v>3LT AH2 HUB</v>
      </c>
    </row>
    <row r="86">
      <c r="A86" s="60" t="s">
        <v>812</v>
      </c>
      <c r="B86" s="61" t="s">
        <v>813</v>
      </c>
      <c r="C86" s="61" t="s">
        <v>753</v>
      </c>
      <c r="D86" s="61" t="s">
        <v>856</v>
      </c>
      <c r="E86" s="61" t="s">
        <v>728</v>
      </c>
      <c r="F86" s="61" t="s">
        <v>749</v>
      </c>
      <c r="G86" s="62"/>
      <c r="H86" s="62" t="s">
        <v>858</v>
      </c>
      <c r="I86" s="63" t="s">
        <v>851</v>
      </c>
      <c r="J86" s="64">
        <f>SUM(
  SUMIFS(
    PriceRef!$D$2:$D154,
    PriceRef!$A$2:$A154, "Seat",
    PriceRef!$B$2:$B154, $B86,
    PriceRef!$C$2:$C154, $C86
  ),
  SUMIFS(
    PriceRef!$D$2:$D154,
    PriceRef!$A$2:$A154, "Stitching",
    PriceRef!$C$2:$C154, $F86
  ),
  SUMIFS(
    PriceRef!$D$2:$D154,
    PriceRef!$A$2:$A154, "Suede",
    PriceRef!$C$2:$C154, $E86
  ),
  SUMIFS(
    PriceRef!$D$2:$D154,
    PriceRef!$A$2:$A154, "TwoTone",
    PriceRef!$C$2:$C154, $G86
  )
)</f>
        <v>1190</v>
      </c>
      <c r="K86" s="65" t="s">
        <v>817</v>
      </c>
      <c r="L86" s="66" t="str">
        <f t="shared" si="1"/>
        <v>3LT AH2 HUB 36S N26</v>
      </c>
    </row>
    <row r="87">
      <c r="A87" s="60" t="s">
        <v>812</v>
      </c>
      <c r="B87" s="61" t="s">
        <v>813</v>
      </c>
      <c r="C87" s="61" t="s">
        <v>753</v>
      </c>
      <c r="D87" s="61" t="s">
        <v>856</v>
      </c>
      <c r="E87" s="61" t="s">
        <v>728</v>
      </c>
      <c r="F87" s="61" t="s">
        <v>751</v>
      </c>
      <c r="G87" s="62"/>
      <c r="H87" s="62" t="s">
        <v>859</v>
      </c>
      <c r="I87" s="63" t="s">
        <v>851</v>
      </c>
      <c r="J87" s="64">
        <f>SUM(
  SUMIFS(
    PriceRef!$D$2:$D154,
    PriceRef!$A$2:$A154, "Seat",
    PriceRef!$B$2:$B154, $B87,
    PriceRef!$C$2:$C154, $C87
  ),
  SUMIFS(
    PriceRef!$D$2:$D154,
    PriceRef!$A$2:$A154, "Stitching",
    PriceRef!$C$2:$C154, $F87
  ),
  SUMIFS(
    PriceRef!$D$2:$D154,
    PriceRef!$A$2:$A154, "Suede",
    PriceRef!$C$2:$C154, $E87
  ),
  SUMIFS(
    PriceRef!$D$2:$D154,
    PriceRef!$A$2:$A154, "TwoTone",
    PriceRef!$C$2:$C154, $G87
  )
)</f>
        <v>1190</v>
      </c>
      <c r="K87" s="65" t="s">
        <v>817</v>
      </c>
      <c r="L87" s="66" t="str">
        <f t="shared" si="1"/>
        <v>3LT AH2 HUB 37S N26</v>
      </c>
    </row>
    <row r="88">
      <c r="A88" s="60" t="s">
        <v>812</v>
      </c>
      <c r="B88" s="61" t="s">
        <v>813</v>
      </c>
      <c r="C88" s="61" t="s">
        <v>753</v>
      </c>
      <c r="D88" s="61" t="s">
        <v>856</v>
      </c>
      <c r="E88" s="61" t="s">
        <v>728</v>
      </c>
      <c r="F88" s="61" t="s">
        <v>746</v>
      </c>
      <c r="G88" s="62"/>
      <c r="H88" s="62" t="s">
        <v>860</v>
      </c>
      <c r="I88" s="63" t="s">
        <v>851</v>
      </c>
      <c r="J88" s="64">
        <f>SUM(
  SUMIFS(
    PriceRef!$D$2:$D154,
    PriceRef!$A$2:$A154, "Seat",
    PriceRef!$B$2:$B154, $B88,
    PriceRef!$C$2:$C154, $C88
  ),
  SUMIFS(
    PriceRef!$D$2:$D154,
    PriceRef!$A$2:$A154, "Stitching",
    PriceRef!$C$2:$C154, $F88
  ),
  SUMIFS(
    PriceRef!$D$2:$D154,
    PriceRef!$A$2:$A154, "Suede",
    PriceRef!$C$2:$C154, $E88
  ),
  SUMIFS(
    PriceRef!$D$2:$D154,
    PriceRef!$A$2:$A154, "TwoTone",
    PriceRef!$C$2:$C154, $G88
  )
)</f>
        <v>1190</v>
      </c>
      <c r="K88" s="65" t="s">
        <v>817</v>
      </c>
      <c r="L88" s="66" t="str">
        <f t="shared" si="1"/>
        <v>3LT AH2 HUB 38S N26</v>
      </c>
    </row>
    <row r="89">
      <c r="A89" s="60" t="s">
        <v>812</v>
      </c>
      <c r="B89" s="61" t="s">
        <v>813</v>
      </c>
      <c r="C89" s="61" t="s">
        <v>726</v>
      </c>
      <c r="D89" s="61" t="s">
        <v>856</v>
      </c>
      <c r="E89" s="61" t="s">
        <v>728</v>
      </c>
      <c r="F89" s="61"/>
      <c r="G89" s="62"/>
      <c r="H89" s="62" t="s">
        <v>861</v>
      </c>
      <c r="I89" s="63" t="s">
        <v>855</v>
      </c>
      <c r="J89" s="64">
        <f>SUM(
  SUMIFS(
    PriceRef!$D$2:$D154,
    PriceRef!$A$2:$A154, "Seat",
    PriceRef!$B$2:$B154, $B89,
    PriceRef!$C$2:$C154, $C89
  ),
  SUMIFS(
    PriceRef!$D$2:$D154,
    PriceRef!$A$2:$A154, "Stitching",
    PriceRef!$C$2:$C154, $F89
  ),
  SUMIFS(
    PriceRef!$D$2:$D154,
    PriceRef!$A$2:$A154, "Suede",
    PriceRef!$C$2:$C154, $E89
  ),
  SUMIFS(
    PriceRef!$D$2:$D154,
    PriceRef!$A$2:$A154, "TwoTone",
    PriceRef!$C$2:$C154, $G89
  )
)</f>
        <v>1195</v>
      </c>
      <c r="K89" s="65" t="s">
        <v>817</v>
      </c>
      <c r="L89" s="66" t="str">
        <f t="shared" si="1"/>
        <v>3LT AE4 HUB N26</v>
      </c>
    </row>
    <row r="90">
      <c r="A90" s="60" t="s">
        <v>812</v>
      </c>
      <c r="B90" s="61" t="s">
        <v>813</v>
      </c>
      <c r="C90" s="61" t="s">
        <v>726</v>
      </c>
      <c r="D90" s="61" t="s">
        <v>856</v>
      </c>
      <c r="E90" s="61" t="s">
        <v>728</v>
      </c>
      <c r="F90" s="61" t="s">
        <v>749</v>
      </c>
      <c r="G90" s="62"/>
      <c r="H90" s="62" t="s">
        <v>858</v>
      </c>
      <c r="I90" s="63" t="s">
        <v>855</v>
      </c>
      <c r="J90" s="64">
        <f>SUM(
  SUMIFS(
    PriceRef!$D$2:$D154,
    PriceRef!$A$2:$A154, "Seat",
    PriceRef!$B$2:$B154, $B90,
    PriceRef!$C$2:$C154, $C90
  ),
  SUMIFS(
    PriceRef!$D$2:$D154,
    PriceRef!$A$2:$A154, "Stitching",
    PriceRef!$C$2:$C154, $F90
  ),
  SUMIFS(
    PriceRef!$D$2:$D154,
    PriceRef!$A$2:$A154, "Suede",
    PriceRef!$C$2:$C154, $E90
  ),
  SUMIFS(
    PriceRef!$D$2:$D154,
    PriceRef!$A$2:$A154, "TwoTone",
    PriceRef!$C$2:$C154, $G90
  )
)</f>
        <v>1690</v>
      </c>
      <c r="K90" s="65" t="s">
        <v>817</v>
      </c>
      <c r="L90" s="66" t="str">
        <f t="shared" si="1"/>
        <v>3LT AE4 HUB 36S N26</v>
      </c>
    </row>
    <row r="91">
      <c r="A91" s="60" t="s">
        <v>812</v>
      </c>
      <c r="B91" s="61" t="s">
        <v>813</v>
      </c>
      <c r="C91" s="61" t="s">
        <v>726</v>
      </c>
      <c r="D91" s="61" t="s">
        <v>856</v>
      </c>
      <c r="E91" s="61" t="s">
        <v>728</v>
      </c>
      <c r="F91" s="61" t="s">
        <v>751</v>
      </c>
      <c r="G91" s="62"/>
      <c r="H91" s="62" t="s">
        <v>859</v>
      </c>
      <c r="I91" s="63" t="s">
        <v>855</v>
      </c>
      <c r="J91" s="64">
        <f>SUM(
  SUMIFS(
    PriceRef!$D$2:$D154,
    PriceRef!$A$2:$A154, "Seat",
    PriceRef!$B$2:$B154, $B91,
    PriceRef!$C$2:$C154, $C91
  ),
  SUMIFS(
    PriceRef!$D$2:$D154,
    PriceRef!$A$2:$A154, "Stitching",
    PriceRef!$C$2:$C154, $F91
  ),
  SUMIFS(
    PriceRef!$D$2:$D154,
    PriceRef!$A$2:$A154, "Suede",
    PriceRef!$C$2:$C154, $E91
  ),
  SUMIFS(
    PriceRef!$D$2:$D154,
    PriceRef!$A$2:$A154, "TwoTone",
    PriceRef!$C$2:$C154, $G91
  )
)</f>
        <v>1690</v>
      </c>
      <c r="K91" s="65" t="s">
        <v>817</v>
      </c>
      <c r="L91" s="66" t="str">
        <f t="shared" si="1"/>
        <v>3LT AE4 HUB 37S N26</v>
      </c>
    </row>
    <row r="92">
      <c r="A92" s="60" t="s">
        <v>812</v>
      </c>
      <c r="B92" s="61" t="s">
        <v>813</v>
      </c>
      <c r="C92" s="61" t="s">
        <v>726</v>
      </c>
      <c r="D92" s="61" t="s">
        <v>856</v>
      </c>
      <c r="E92" s="61" t="s">
        <v>728</v>
      </c>
      <c r="F92" s="61" t="s">
        <v>746</v>
      </c>
      <c r="G92" s="62"/>
      <c r="H92" s="62" t="s">
        <v>860</v>
      </c>
      <c r="I92" s="63" t="s">
        <v>855</v>
      </c>
      <c r="J92" s="64">
        <f>SUM(
  SUMIFS(
    PriceRef!$D$2:$D154,
    PriceRef!$A$2:$A154, "Seat",
    PriceRef!$B$2:$B154, $B92,
    PriceRef!$C$2:$C154, $C92
  ),
  SUMIFS(
    PriceRef!$D$2:$D154,
    PriceRef!$A$2:$A154, "Stitching",
    PriceRef!$C$2:$C154, $F92
  ),
  SUMIFS(
    PriceRef!$D$2:$D154,
    PriceRef!$A$2:$A154, "Suede",
    PriceRef!$C$2:$C154, $E92
  ),
  SUMIFS(
    PriceRef!$D$2:$D154,
    PriceRef!$A$2:$A154, "TwoTone",
    PriceRef!$C$2:$C154, $G92
  )
)</f>
        <v>1690</v>
      </c>
      <c r="K92" s="65" t="s">
        <v>817</v>
      </c>
      <c r="L92" s="66" t="str">
        <f t="shared" si="1"/>
        <v>3LT AE4 HUB 38S N26</v>
      </c>
    </row>
    <row r="93">
      <c r="A93" s="60" t="s">
        <v>812</v>
      </c>
      <c r="B93" s="61" t="s">
        <v>813</v>
      </c>
      <c r="C93" s="61" t="s">
        <v>753</v>
      </c>
      <c r="D93" s="61" t="s">
        <v>862</v>
      </c>
      <c r="E93" s="61"/>
      <c r="F93" s="61"/>
      <c r="G93" s="62"/>
      <c r="H93" s="62" t="s">
        <v>795</v>
      </c>
      <c r="I93" s="63" t="s">
        <v>863</v>
      </c>
      <c r="J93" s="64">
        <f>SUM(
  SUMIFS(
    PriceRef!$D$2:$D154,
    PriceRef!$A$2:$A154, "Seat",
    PriceRef!$B$2:$B154, $B93,
    PriceRef!$C$2:$C154, $C93
  ),
  SUMIFS(
    PriceRef!$D$2:$D154,
    PriceRef!$A$2:$A154, "Stitching",
    PriceRef!$C$2:$C154, $F93
  ),
  SUMIFS(
    PriceRef!$D$2:$D154,
    PriceRef!$A$2:$A154, "Suede",
    PriceRef!$C$2:$C154, $E93
  ),
  SUMIFS(
    PriceRef!$D$2:$D154,
    PriceRef!$A$2:$A154, "TwoTone",
    PriceRef!$C$2:$C154, $G93
  )
)</f>
        <v>0</v>
      </c>
      <c r="K93" s="65" t="s">
        <v>817</v>
      </c>
      <c r="L93" s="66" t="str">
        <f t="shared" si="1"/>
        <v>3LT AH2 HU1</v>
      </c>
    </row>
    <row r="94">
      <c r="A94" s="60" t="s">
        <v>812</v>
      </c>
      <c r="B94" s="61" t="s">
        <v>813</v>
      </c>
      <c r="C94" s="61" t="s">
        <v>726</v>
      </c>
      <c r="D94" s="61" t="s">
        <v>862</v>
      </c>
      <c r="E94" s="61"/>
      <c r="F94" s="61"/>
      <c r="G94" s="62"/>
      <c r="H94" s="62" t="s">
        <v>795</v>
      </c>
      <c r="I94" s="63" t="s">
        <v>864</v>
      </c>
      <c r="J94" s="64">
        <f>SUM(
  SUMIFS(
    PriceRef!$D$2:$D154,
    PriceRef!$A$2:$A154, "Seat",
    PriceRef!$B$2:$B154, $B94,
    PriceRef!$C$2:$C154, $C94
  ),
  SUMIFS(
    PriceRef!$D$2:$D154,
    PriceRef!$A$2:$A154, "Stitching",
    PriceRef!$C$2:$C154, $F94
  ),
  SUMIFS(
    PriceRef!$D$2:$D154,
    PriceRef!$A$2:$A154, "Suede",
    PriceRef!$C$2:$C154, $E94
  ),
  SUMIFS(
    PriceRef!$D$2:$D154,
    PriceRef!$A$2:$A154, "TwoTone",
    PriceRef!$C$2:$C154, $G94
  )
)</f>
        <v>500</v>
      </c>
      <c r="K94" s="65" t="s">
        <v>817</v>
      </c>
      <c r="L94" s="66" t="str">
        <f t="shared" si="1"/>
        <v>3LT AE4 HU1</v>
      </c>
    </row>
    <row r="95">
      <c r="A95" s="60" t="s">
        <v>812</v>
      </c>
      <c r="B95" s="61" t="s">
        <v>813</v>
      </c>
      <c r="C95" s="61" t="s">
        <v>753</v>
      </c>
      <c r="D95" s="61" t="s">
        <v>862</v>
      </c>
      <c r="E95" s="61"/>
      <c r="F95" s="61"/>
      <c r="G95" s="62" t="s">
        <v>767</v>
      </c>
      <c r="H95" s="62" t="s">
        <v>797</v>
      </c>
      <c r="I95" s="63" t="s">
        <v>865</v>
      </c>
      <c r="J95" s="64">
        <f>SUM(
  SUMIFS(
    PriceRef!$D$2:$D154,
    PriceRef!$A$2:$A154, "Seat",
    PriceRef!$B$2:$B154, $B95,
    PriceRef!$C$2:$C154, $C95
  ),
  SUMIFS(
    PriceRef!$D$2:$D154,
    PriceRef!$A$2:$A154, "Stitching",
    PriceRef!$C$2:$C154, $F95
  ),
  SUMIFS(
    PriceRef!$D$2:$D154,
    PriceRef!$A$2:$A154, "Suede",
    PriceRef!$C$2:$C154, $E95
  ),
  SUMIFS(
    PriceRef!$D$2:$D154,
    PriceRef!$A$2:$A154, "TwoTone",
    PriceRef!$C$2:$C154, $G95
  )
)</f>
        <v>595</v>
      </c>
      <c r="K95" s="65" t="s">
        <v>817</v>
      </c>
      <c r="L95" s="66" t="str">
        <f t="shared" si="1"/>
        <v>3LT AH2 HU1 TU7</v>
      </c>
    </row>
    <row r="96">
      <c r="A96" s="60" t="s">
        <v>812</v>
      </c>
      <c r="B96" s="61" t="s">
        <v>813</v>
      </c>
      <c r="C96" s="61" t="s">
        <v>753</v>
      </c>
      <c r="D96" s="61" t="s">
        <v>866</v>
      </c>
      <c r="E96" s="61"/>
      <c r="F96" s="61"/>
      <c r="G96" s="62"/>
      <c r="H96" s="62" t="s">
        <v>800</v>
      </c>
      <c r="I96" s="63" t="s">
        <v>867</v>
      </c>
      <c r="J96" s="64">
        <f>SUM(
  SUMIFS(
    PriceRef!$D$2:$D154,
    PriceRef!$A$2:$A154, "Seat",
    PriceRef!$B$2:$B154, $B96,
    PriceRef!$C$2:$C154, $C96
  ),
  SUMIFS(
    PriceRef!$D$2:$D154,
    PriceRef!$A$2:$A154, "Stitching",
    PriceRef!$C$2:$C154, $F96
  ),
  SUMIFS(
    PriceRef!$D$2:$D154,
    PriceRef!$A$2:$A154, "Suede",
    PriceRef!$C$2:$C154, $E96
  ),
  SUMIFS(
    PriceRef!$D$2:$D154,
    PriceRef!$A$2:$A154, "TwoTone",
    PriceRef!$C$2:$C154, $G96
  )
)</f>
        <v>0</v>
      </c>
      <c r="K96" s="65" t="s">
        <v>817</v>
      </c>
      <c r="L96" s="66" t="str">
        <f t="shared" si="1"/>
        <v>3LT AH2 HU2</v>
      </c>
    </row>
    <row r="97">
      <c r="A97" s="60" t="s">
        <v>812</v>
      </c>
      <c r="B97" s="61" t="s">
        <v>813</v>
      </c>
      <c r="C97" s="61" t="s">
        <v>726</v>
      </c>
      <c r="D97" s="61" t="s">
        <v>866</v>
      </c>
      <c r="E97" s="61"/>
      <c r="F97" s="61"/>
      <c r="G97" s="62"/>
      <c r="H97" s="62" t="s">
        <v>800</v>
      </c>
      <c r="I97" s="63" t="s">
        <v>831</v>
      </c>
      <c r="J97" s="64">
        <f>SUM(
  SUMIFS(
    PriceRef!$D$2:$D154,
    PriceRef!$A$2:$A154, "Seat",
    PriceRef!$B$2:$B154, $B97,
    PriceRef!$C$2:$C154, $C97
  ),
  SUMIFS(
    PriceRef!$D$2:$D154,
    PriceRef!$A$2:$A154, "Stitching",
    PriceRef!$C$2:$C154, $F97
  ),
  SUMIFS(
    PriceRef!$D$2:$D154,
    PriceRef!$A$2:$A154, "Suede",
    PriceRef!$C$2:$C154, $E97
  ),
  SUMIFS(
    PriceRef!$D$2:$D154,
    PriceRef!$A$2:$A154, "TwoTone",
    PriceRef!$C$2:$C154, $G97
  )
)</f>
        <v>500</v>
      </c>
      <c r="K97" s="65" t="s">
        <v>817</v>
      </c>
      <c r="L97" s="66" t="str">
        <f t="shared" si="1"/>
        <v>3LT AE4 HU2</v>
      </c>
    </row>
    <row r="98">
      <c r="A98" s="60" t="s">
        <v>812</v>
      </c>
      <c r="B98" s="61" t="s">
        <v>813</v>
      </c>
      <c r="C98" s="61" t="s">
        <v>753</v>
      </c>
      <c r="D98" s="61" t="s">
        <v>866</v>
      </c>
      <c r="E98" s="61"/>
      <c r="F98" s="61"/>
      <c r="G98" s="62" t="s">
        <v>767</v>
      </c>
      <c r="H98" s="62" t="s">
        <v>801</v>
      </c>
      <c r="I98" s="63" t="s">
        <v>868</v>
      </c>
      <c r="J98" s="64">
        <f>SUM(
  SUMIFS(
    PriceRef!$D$2:$D154,
    PriceRef!$A$2:$A154, "Seat",
    PriceRef!$B$2:$B154, $B98,
    PriceRef!$C$2:$C154, $C98
  ),
  SUMIFS(
    PriceRef!$D$2:$D154,
    PriceRef!$A$2:$A154, "Stitching",
    PriceRef!$C$2:$C154, $F98
  ),
  SUMIFS(
    PriceRef!$D$2:$D154,
    PriceRef!$A$2:$A154, "Suede",
    PriceRef!$C$2:$C154, $E98
  ),
  SUMIFS(
    PriceRef!$D$2:$D154,
    PriceRef!$A$2:$A154, "TwoTone",
    PriceRef!$C$2:$C154, $G98
  )
)</f>
        <v>595</v>
      </c>
      <c r="K98" s="65" t="s">
        <v>817</v>
      </c>
      <c r="L98" s="66" t="str">
        <f t="shared" si="1"/>
        <v>3LT AH2 HU2 TU7</v>
      </c>
    </row>
    <row r="99">
      <c r="A99" s="60" t="s">
        <v>812</v>
      </c>
      <c r="B99" s="61" t="s">
        <v>813</v>
      </c>
      <c r="C99" s="61" t="s">
        <v>753</v>
      </c>
      <c r="D99" s="61" t="s">
        <v>869</v>
      </c>
      <c r="E99" s="61" t="s">
        <v>728</v>
      </c>
      <c r="F99" s="61"/>
      <c r="G99" s="62"/>
      <c r="H99" s="62" t="s">
        <v>784</v>
      </c>
      <c r="I99" s="63" t="s">
        <v>870</v>
      </c>
      <c r="J99" s="64">
        <f>SUM(
  SUMIFS(
    PriceRef!$D$2:$D154,
    PriceRef!$A$2:$A154, "Seat",
    PriceRef!$B$2:$B154, $B99,
    PriceRef!$C$2:$C154, $C99
  ),
  SUMIFS(
    PriceRef!$D$2:$D154,
    PriceRef!$A$2:$A154, "Stitching",
    PriceRef!$C$2:$C154, $F99
  ),
  SUMIFS(
    PriceRef!$D$2:$D154,
    PriceRef!$A$2:$A154, "Suede",
    PriceRef!$C$2:$C154, $E99
  ),
  SUMIFS(
    PriceRef!$D$2:$D154,
    PriceRef!$A$2:$A154, "TwoTone",
    PriceRef!$C$2:$C154, $G99
  )
)</f>
        <v>695</v>
      </c>
      <c r="K99" s="65" t="s">
        <v>817</v>
      </c>
      <c r="L99" s="66" t="str">
        <f t="shared" si="1"/>
        <v>3LT AH2 HU9 N26</v>
      </c>
    </row>
    <row r="100">
      <c r="A100" s="60" t="s">
        <v>812</v>
      </c>
      <c r="B100" s="61" t="s">
        <v>813</v>
      </c>
      <c r="C100" s="61" t="s">
        <v>726</v>
      </c>
      <c r="D100" s="61" t="s">
        <v>869</v>
      </c>
      <c r="E100" s="61" t="s">
        <v>728</v>
      </c>
      <c r="F100" s="61"/>
      <c r="G100" s="62"/>
      <c r="H100" s="62" t="s">
        <v>784</v>
      </c>
      <c r="I100" s="63" t="s">
        <v>871</v>
      </c>
      <c r="J100" s="64">
        <f>SUM(
  SUMIFS(
    PriceRef!$D$2:$D154,
    PriceRef!$A$2:$A154, "Seat",
    PriceRef!$B$2:$B154, $B100,
    PriceRef!$C$2:$C154, $C100
  ),
  SUMIFS(
    PriceRef!$D$2:$D154,
    PriceRef!$A$2:$A154, "Stitching",
    PriceRef!$C$2:$C154, $F100
  ),
  SUMIFS(
    PriceRef!$D$2:$D154,
    PriceRef!$A$2:$A154, "Suede",
    PriceRef!$C$2:$C154, $E100
  ),
  SUMIFS(
    PriceRef!$D$2:$D154,
    PriceRef!$A$2:$A154, "TwoTone",
    PriceRef!$C$2:$C154, $G100
  )
)</f>
        <v>1195</v>
      </c>
      <c r="K100" s="65" t="s">
        <v>817</v>
      </c>
      <c r="L100" s="66" t="str">
        <f t="shared" si="1"/>
        <v>3LT AE4 HU9 N26</v>
      </c>
    </row>
    <row r="101">
      <c r="A101" s="60" t="s">
        <v>812</v>
      </c>
      <c r="B101" s="61" t="s">
        <v>813</v>
      </c>
      <c r="C101" s="61" t="s">
        <v>753</v>
      </c>
      <c r="D101" s="61" t="s">
        <v>869</v>
      </c>
      <c r="E101" s="61" t="s">
        <v>728</v>
      </c>
      <c r="F101" s="61"/>
      <c r="G101" s="62" t="s">
        <v>767</v>
      </c>
      <c r="H101" s="62" t="s">
        <v>787</v>
      </c>
      <c r="I101" s="63" t="s">
        <v>872</v>
      </c>
      <c r="J101" s="64">
        <f>SUM(
  SUMIFS(
    PriceRef!$D$2:$D154,
    PriceRef!$A$2:$A154, "Seat",
    PriceRef!$B$2:$B154, $B101,
    PriceRef!$C$2:$C154, $C101
  ),
  SUMIFS(
    PriceRef!$D$2:$D154,
    PriceRef!$A$2:$A154, "Stitching",
    PriceRef!$C$2:$C154, $F101
  ),
  SUMIFS(
    PriceRef!$D$2:$D154,
    PriceRef!$A$2:$A154, "Suede",
    PriceRef!$C$2:$C154, $E101
  ),
  SUMIFS(
    PriceRef!$D$2:$D154,
    PriceRef!$A$2:$A154, "TwoTone",
    PriceRef!$C$2:$C154, $G101
  )
)</f>
        <v>1290</v>
      </c>
      <c r="K101" s="65" t="s">
        <v>817</v>
      </c>
      <c r="L101" s="66" t="str">
        <f t="shared" si="1"/>
        <v>3LT AH2 HU9 N26 TU7</v>
      </c>
    </row>
    <row r="102">
      <c r="A102" s="60" t="s">
        <v>812</v>
      </c>
      <c r="B102" s="61" t="s">
        <v>813</v>
      </c>
      <c r="C102" s="61" t="s">
        <v>726</v>
      </c>
      <c r="D102" s="61" t="s">
        <v>873</v>
      </c>
      <c r="E102" s="61" t="s">
        <v>728</v>
      </c>
      <c r="F102" s="61"/>
      <c r="G102" s="62"/>
      <c r="H102" s="62" t="s">
        <v>790</v>
      </c>
      <c r="I102" s="63" t="s">
        <v>835</v>
      </c>
      <c r="J102" s="64">
        <f>SUM(
  SUMIFS(
    PriceRef!$D$2:$D154,
    PriceRef!$A$2:$A154, "Seat",
    PriceRef!$B$2:$B154, $B102,
    PriceRef!$C$2:$C154, $C102
  ),
  SUMIFS(
    PriceRef!$D$2:$D154,
    PriceRef!$A$2:$A154, "Stitching",
    PriceRef!$C$2:$C154, $F102
  ),
  SUMIFS(
    PriceRef!$D$2:$D154,
    PriceRef!$A$2:$A154, "Suede",
    PriceRef!$C$2:$C154, $E102
  ),
  SUMIFS(
    PriceRef!$D$2:$D154,
    PriceRef!$A$2:$A154, "TwoTone",
    PriceRef!$C$2:$C154, $G102
  )
)</f>
        <v>1195</v>
      </c>
      <c r="K102" s="65" t="s">
        <v>817</v>
      </c>
      <c r="L102" s="66" t="str">
        <f t="shared" si="1"/>
        <v>3LT AE4 HUA N26</v>
      </c>
    </row>
    <row r="103">
      <c r="A103" s="60" t="s">
        <v>812</v>
      </c>
      <c r="B103" s="61" t="s">
        <v>813</v>
      </c>
      <c r="C103" s="61" t="s">
        <v>753</v>
      </c>
      <c r="D103" s="61" t="s">
        <v>873</v>
      </c>
      <c r="E103" s="61" t="s">
        <v>728</v>
      </c>
      <c r="F103" s="61"/>
      <c r="G103" s="62" t="s">
        <v>767</v>
      </c>
      <c r="H103" s="62" t="s">
        <v>790</v>
      </c>
      <c r="I103" s="63" t="s">
        <v>874</v>
      </c>
      <c r="J103" s="64">
        <f>SUM(
  SUMIFS(
    PriceRef!$D$2:$D154,
    PriceRef!$A$2:$A154, "Seat",
    PriceRef!$B$2:$B154, $B103,
    PriceRef!$C$2:$C154, $C103
  ),
  SUMIFS(
    PriceRef!$D$2:$D154,
    PriceRef!$A$2:$A154, "Stitching",
    PriceRef!$C$2:$C154, $F103
  ),
  SUMIFS(
    PriceRef!$D$2:$D154,
    PriceRef!$A$2:$A154, "Suede",
    PriceRef!$C$2:$C154, $E103
  ),
  SUMIFS(
    PriceRef!$D$2:$D154,
    PriceRef!$A$2:$A154, "TwoTone",
    PriceRef!$C$2:$C154, $G103
  )
)</f>
        <v>1290</v>
      </c>
      <c r="K103" s="65" t="s">
        <v>817</v>
      </c>
      <c r="L103" s="66" t="str">
        <f t="shared" si="1"/>
        <v>3LT AH2 HUA N26 TU7</v>
      </c>
    </row>
    <row r="104">
      <c r="A104" s="60" t="s">
        <v>812</v>
      </c>
      <c r="B104" s="61" t="s">
        <v>813</v>
      </c>
      <c r="C104" s="61" t="s">
        <v>753</v>
      </c>
      <c r="D104" s="61" t="s">
        <v>875</v>
      </c>
      <c r="E104" s="61"/>
      <c r="F104" s="61"/>
      <c r="G104" s="62"/>
      <c r="H104" s="62" t="s">
        <v>764</v>
      </c>
      <c r="I104" s="63" t="s">
        <v>876</v>
      </c>
      <c r="J104" s="64">
        <f>SUM(
  SUMIFS(
    PriceRef!$D$2:$D154,
    PriceRef!$A$2:$A154, "Seat",
    PriceRef!$B$2:$B154, $B104,
    PriceRef!$C$2:$C154, $C104
  ),
  SUMIFS(
    PriceRef!$D$2:$D154,
    PriceRef!$A$2:$A154, "Stitching",
    PriceRef!$C$2:$C154, $F104
  ),
  SUMIFS(
    PriceRef!$D$2:$D154,
    PriceRef!$A$2:$A154, "Suede",
    PriceRef!$C$2:$C154, $E104
  ),
  SUMIFS(
    PriceRef!$D$2:$D154,
    PriceRef!$A$2:$A154, "TwoTone",
    PriceRef!$C$2:$C154, $G104
  )
)</f>
        <v>0</v>
      </c>
      <c r="K104" s="65" t="s">
        <v>817</v>
      </c>
      <c r="L104" s="66" t="str">
        <f t="shared" si="1"/>
        <v>3LT AH2 HUE</v>
      </c>
    </row>
    <row r="105">
      <c r="A105" s="60" t="s">
        <v>812</v>
      </c>
      <c r="B105" s="61" t="s">
        <v>813</v>
      </c>
      <c r="C105" s="61" t="s">
        <v>726</v>
      </c>
      <c r="D105" s="61" t="s">
        <v>875</v>
      </c>
      <c r="E105" s="61"/>
      <c r="F105" s="61"/>
      <c r="G105" s="62"/>
      <c r="H105" s="62" t="s">
        <v>764</v>
      </c>
      <c r="I105" s="63" t="s">
        <v>831</v>
      </c>
      <c r="J105" s="64">
        <f>SUM(
  SUMIFS(
    PriceRef!$D$2:$D154,
    PriceRef!$A$2:$A154, "Seat",
    PriceRef!$B$2:$B154, $B105,
    PriceRef!$C$2:$C154, $C105
  ),
  SUMIFS(
    PriceRef!$D$2:$D154,
    PriceRef!$A$2:$A154, "Stitching",
    PriceRef!$C$2:$C154, $F105
  ),
  SUMIFS(
    PriceRef!$D$2:$D154,
    PriceRef!$A$2:$A154, "Suede",
    PriceRef!$C$2:$C154, $E105
  ),
  SUMIFS(
    PriceRef!$D$2:$D154,
    PriceRef!$A$2:$A154, "TwoTone",
    PriceRef!$C$2:$C154, $G105
  )
)</f>
        <v>500</v>
      </c>
      <c r="K105" s="65" t="s">
        <v>817</v>
      </c>
      <c r="L105" s="66" t="str">
        <f t="shared" si="1"/>
        <v>3LT AE4 HUE</v>
      </c>
    </row>
    <row r="106">
      <c r="A106" s="60" t="s">
        <v>812</v>
      </c>
      <c r="B106" s="61" t="s">
        <v>813</v>
      </c>
      <c r="C106" s="61" t="s">
        <v>753</v>
      </c>
      <c r="D106" s="61" t="s">
        <v>875</v>
      </c>
      <c r="E106" s="61"/>
      <c r="F106" s="61"/>
      <c r="G106" s="62" t="s">
        <v>767</v>
      </c>
      <c r="H106" s="62" t="s">
        <v>768</v>
      </c>
      <c r="I106" s="63" t="s">
        <v>868</v>
      </c>
      <c r="J106" s="64">
        <f>SUM(
  SUMIFS(
    PriceRef!$D$2:$D154,
    PriceRef!$A$2:$A154, "Seat",
    PriceRef!$B$2:$B154, $B106,
    PriceRef!$C$2:$C154, $C106
  ),
  SUMIFS(
    PriceRef!$D$2:$D154,
    PriceRef!$A$2:$A154, "Stitching",
    PriceRef!$C$2:$C154, $F106
  ),
  SUMIFS(
    PriceRef!$D$2:$D154,
    PriceRef!$A$2:$A154, "Suede",
    PriceRef!$C$2:$C154, $E106
  ),
  SUMIFS(
    PriceRef!$D$2:$D154,
    PriceRef!$A$2:$A154, "TwoTone",
    PriceRef!$C$2:$C154, $G106
  )
)</f>
        <v>595</v>
      </c>
      <c r="K106" s="65" t="s">
        <v>817</v>
      </c>
      <c r="L106" s="66" t="str">
        <f t="shared" si="1"/>
        <v>3LT AH2 HUE TU7</v>
      </c>
    </row>
    <row r="107">
      <c r="A107" s="60" t="s">
        <v>812</v>
      </c>
      <c r="B107" s="61" t="s">
        <v>813</v>
      </c>
      <c r="C107" s="61" t="s">
        <v>753</v>
      </c>
      <c r="D107" s="61" t="s">
        <v>877</v>
      </c>
      <c r="E107" s="61" t="s">
        <v>728</v>
      </c>
      <c r="F107" s="61"/>
      <c r="G107" s="62"/>
      <c r="H107" s="62" t="s">
        <v>878</v>
      </c>
      <c r="I107" s="63" t="s">
        <v>879</v>
      </c>
      <c r="J107" s="64">
        <f>SUM(
  SUMIFS(
    PriceRef!$D$2:$D154,
    PriceRef!$A$2:$A154, "Seat",
    PriceRef!$B$2:$B154, $B107,
    PriceRef!$C$2:$C154, $C107
  ),
  SUMIFS(
    PriceRef!$D$2:$D154,
    PriceRef!$A$2:$A154, "Stitching",
    PriceRef!$C$2:$C154, $F107
  ),
  SUMIFS(
    PriceRef!$D$2:$D154,
    PriceRef!$A$2:$A154, "Suede",
    PriceRef!$C$2:$C154, $E107
  ),
  SUMIFS(
    PriceRef!$D$2:$D154,
    PriceRef!$A$2:$A154, "TwoTone",
    PriceRef!$C$2:$C154, $G107
  )
)</f>
        <v>695</v>
      </c>
      <c r="K107" s="65" t="s">
        <v>817</v>
      </c>
      <c r="L107" s="66" t="str">
        <f t="shared" si="1"/>
        <v>3LT AH2 HUF N26</v>
      </c>
    </row>
    <row r="108">
      <c r="A108" s="60" t="s">
        <v>812</v>
      </c>
      <c r="B108" s="61" t="s">
        <v>813</v>
      </c>
      <c r="C108" s="61" t="s">
        <v>726</v>
      </c>
      <c r="D108" s="61" t="s">
        <v>877</v>
      </c>
      <c r="E108" s="61" t="s">
        <v>728</v>
      </c>
      <c r="F108" s="61"/>
      <c r="G108" s="62"/>
      <c r="H108" s="62" t="s">
        <v>878</v>
      </c>
      <c r="I108" s="63" t="s">
        <v>880</v>
      </c>
      <c r="J108" s="64">
        <f>SUM(
  SUMIFS(
    PriceRef!$D$2:$D154,
    PriceRef!$A$2:$A154, "Seat",
    PriceRef!$B$2:$B154, $B108,
    PriceRef!$C$2:$C154, $C108
  ),
  SUMIFS(
    PriceRef!$D$2:$D154,
    PriceRef!$A$2:$A154, "Stitching",
    PriceRef!$C$2:$C154, $F108
  ),
  SUMIFS(
    PriceRef!$D$2:$D154,
    PriceRef!$A$2:$A154, "Suede",
    PriceRef!$C$2:$C154, $E108
  ),
  SUMIFS(
    PriceRef!$D$2:$D154,
    PriceRef!$A$2:$A154, "TwoTone",
    PriceRef!$C$2:$C154, $G108
  )
)</f>
        <v>1195</v>
      </c>
      <c r="K108" s="65" t="s">
        <v>817</v>
      </c>
      <c r="L108" s="66" t="str">
        <f t="shared" si="1"/>
        <v>3LT AE4 HUF N26</v>
      </c>
    </row>
    <row r="109">
      <c r="A109" s="60" t="s">
        <v>812</v>
      </c>
      <c r="B109" s="61" t="s">
        <v>813</v>
      </c>
      <c r="C109" s="61" t="s">
        <v>753</v>
      </c>
      <c r="D109" s="61" t="s">
        <v>881</v>
      </c>
      <c r="E109" s="61"/>
      <c r="F109" s="61"/>
      <c r="G109" s="62"/>
      <c r="H109" s="62" t="s">
        <v>882</v>
      </c>
      <c r="I109" s="63" t="s">
        <v>883</v>
      </c>
      <c r="J109" s="64">
        <f>SUM(
  SUMIFS(
    PriceRef!$D$2:$D154,
    PriceRef!$A$2:$A154, "Seat",
    PriceRef!$B$2:$B154, $B109,
    PriceRef!$C$2:$C154, $C109
  ),
  SUMIFS(
    PriceRef!$D$2:$D154,
    PriceRef!$A$2:$A154, "Stitching",
    PriceRef!$C$2:$C154, $F109
  ),
  SUMIFS(
    PriceRef!$D$2:$D154,
    PriceRef!$A$2:$A154, "Suede",
    PriceRef!$C$2:$C154, $E109
  ),
  SUMIFS(
    PriceRef!$D$2:$D154,
    PriceRef!$A$2:$A154, "TwoTone",
    PriceRef!$C$2:$C154, $G109
  )
)</f>
        <v>0</v>
      </c>
      <c r="K109" s="65" t="s">
        <v>817</v>
      </c>
      <c r="L109" s="66" t="str">
        <f t="shared" si="1"/>
        <v>3LT AH2 HUW</v>
      </c>
    </row>
    <row r="110">
      <c r="A110" s="60" t="s">
        <v>812</v>
      </c>
      <c r="B110" s="61" t="s">
        <v>813</v>
      </c>
      <c r="C110" s="61" t="s">
        <v>726</v>
      </c>
      <c r="D110" s="61" t="s">
        <v>881</v>
      </c>
      <c r="E110" s="61"/>
      <c r="F110" s="61"/>
      <c r="G110" s="62"/>
      <c r="H110" s="62" t="s">
        <v>882</v>
      </c>
      <c r="I110" s="63" t="s">
        <v>884</v>
      </c>
      <c r="J110" s="64">
        <f>SUM(
  SUMIFS(
    PriceRef!$D$2:$D154,
    PriceRef!$A$2:$A154, "Seat",
    PriceRef!$B$2:$B154, $B110,
    PriceRef!$C$2:$C154, $C110
  ),
  SUMIFS(
    PriceRef!$D$2:$D154,
    PriceRef!$A$2:$A154, "Stitching",
    PriceRef!$C$2:$C154, $F110
  ),
  SUMIFS(
    PriceRef!$D$2:$D154,
    PriceRef!$A$2:$A154, "Suede",
    PriceRef!$C$2:$C154, $E110
  ),
  SUMIFS(
    PriceRef!$D$2:$D154,
    PriceRef!$A$2:$A154, "TwoTone",
    PriceRef!$C$2:$C154, $G110
  )
)</f>
        <v>500</v>
      </c>
      <c r="K110" s="65" t="s">
        <v>817</v>
      </c>
      <c r="L110" s="66" t="str">
        <f t="shared" si="1"/>
        <v>3LT AE4 HUW</v>
      </c>
    </row>
    <row r="111">
      <c r="A111" s="60" t="s">
        <v>812</v>
      </c>
      <c r="B111" s="61" t="s">
        <v>813</v>
      </c>
      <c r="C111" s="61" t="s">
        <v>753</v>
      </c>
      <c r="D111" s="61" t="s">
        <v>885</v>
      </c>
      <c r="E111" s="61" t="s">
        <v>728</v>
      </c>
      <c r="F111" s="61"/>
      <c r="G111" s="62"/>
      <c r="H111" s="62" t="s">
        <v>886</v>
      </c>
      <c r="I111" s="63" t="s">
        <v>887</v>
      </c>
      <c r="J111" s="64">
        <f>SUM(
  SUMIFS(
    PriceRef!$D$2:$D154,
    PriceRef!$A$2:$A154, "Seat",
    PriceRef!$B$2:$B154, $B111,
    PriceRef!$C$2:$C154, $C111
  ),
  SUMIFS(
    PriceRef!$D$2:$D154,
    PriceRef!$A$2:$A154, "Stitching",
    PriceRef!$C$2:$C154, $F111
  ),
  SUMIFS(
    PriceRef!$D$2:$D154,
    PriceRef!$A$2:$A154, "Suede",
    PriceRef!$C$2:$C154, $E111
  ),
  SUMIFS(
    PriceRef!$D$2:$D154,
    PriceRef!$A$2:$A154, "TwoTone",
    PriceRef!$C$2:$C154, $G111
  )
)</f>
        <v>695</v>
      </c>
      <c r="K111" s="65" t="s">
        <v>817</v>
      </c>
      <c r="L111" s="66" t="str">
        <f t="shared" si="1"/>
        <v>3LT AH2 HUX N26</v>
      </c>
    </row>
    <row r="112">
      <c r="A112" s="60" t="s">
        <v>812</v>
      </c>
      <c r="B112" s="61" t="s">
        <v>813</v>
      </c>
      <c r="C112" s="61" t="s">
        <v>726</v>
      </c>
      <c r="D112" s="61" t="s">
        <v>885</v>
      </c>
      <c r="E112" s="61" t="s">
        <v>728</v>
      </c>
      <c r="F112" s="61"/>
      <c r="G112" s="62"/>
      <c r="H112" s="62" t="s">
        <v>886</v>
      </c>
      <c r="I112" s="63" t="s">
        <v>888</v>
      </c>
      <c r="J112" s="64">
        <f>SUM(
  SUMIFS(
    PriceRef!$D$2:$D154,
    PriceRef!$A$2:$A154, "Seat",
    PriceRef!$B$2:$B154, $B112,
    PriceRef!$C$2:$C154, $C112
  ),
  SUMIFS(
    PriceRef!$D$2:$D154,
    PriceRef!$A$2:$A154, "Stitching",
    PriceRef!$C$2:$C154, $F112
  ),
  SUMIFS(
    PriceRef!$D$2:$D154,
    PriceRef!$A$2:$A154, "Suede",
    PriceRef!$C$2:$C154, $E112
  ),
  SUMIFS(
    PriceRef!$D$2:$D154,
    PriceRef!$A$2:$A154, "TwoTone",
    PriceRef!$C$2:$C154, $G112
  )
)</f>
        <v>1195</v>
      </c>
      <c r="K112" s="65" t="s">
        <v>817</v>
      </c>
      <c r="L112" s="66" t="str">
        <f t="shared" si="1"/>
        <v>3LT AE4 HUX N26</v>
      </c>
    </row>
    <row r="113">
      <c r="A113" s="60" t="s">
        <v>812</v>
      </c>
      <c r="B113" s="61" t="s">
        <v>813</v>
      </c>
      <c r="C113" s="61" t="s">
        <v>753</v>
      </c>
      <c r="D113" s="61" t="s">
        <v>889</v>
      </c>
      <c r="E113" s="61"/>
      <c r="F113" s="61"/>
      <c r="G113" s="62"/>
      <c r="H113" s="62" t="s">
        <v>890</v>
      </c>
      <c r="I113" s="63" t="s">
        <v>891</v>
      </c>
      <c r="J113" s="64">
        <f>SUM(
  SUMIFS(
    PriceRef!$D$2:$D154,
    PriceRef!$A$2:$A154, "Seat",
    PriceRef!$B$2:$B154, $B113,
    PriceRef!$C$2:$C154, $C113
  ),
  SUMIFS(
    PriceRef!$D$2:$D154,
    PriceRef!$A$2:$A154, "Stitching",
    PriceRef!$C$2:$C154, $F113
  ),
  SUMIFS(
    PriceRef!$D$2:$D154,
    PriceRef!$A$2:$A154, "Suede",
    PriceRef!$C$2:$C154, $E113
  ),
  SUMIFS(
    PriceRef!$D$2:$D154,
    PriceRef!$A$2:$A154, "TwoTone",
    PriceRef!$C$2:$C154, $G113
  )
)</f>
        <v>0</v>
      </c>
      <c r="K113" s="65" t="s">
        <v>817</v>
      </c>
      <c r="L113" s="66" t="str">
        <f t="shared" si="1"/>
        <v>3LT AH2 EMT</v>
      </c>
    </row>
    <row r="114">
      <c r="A114" s="60" t="s">
        <v>812</v>
      </c>
      <c r="B114" s="61" t="s">
        <v>813</v>
      </c>
      <c r="C114" s="61" t="s">
        <v>726</v>
      </c>
      <c r="D114" s="61" t="s">
        <v>889</v>
      </c>
      <c r="E114" s="61"/>
      <c r="F114" s="61"/>
      <c r="G114" s="62"/>
      <c r="H114" s="62" t="s">
        <v>890</v>
      </c>
      <c r="I114" s="63" t="s">
        <v>892</v>
      </c>
      <c r="J114" s="64">
        <f>SUM(
  SUMIFS(
    PriceRef!$D$2:$D154,
    PriceRef!$A$2:$A154, "Seat",
    PriceRef!$B$2:$B154, $B114,
    PriceRef!$C$2:$C154, $C114
  ),
  SUMIFS(
    PriceRef!$D$2:$D154,
    PriceRef!$A$2:$A154, "Stitching",
    PriceRef!$C$2:$C154, $F114
  ),
  SUMIFS(
    PriceRef!$D$2:$D154,
    PriceRef!$A$2:$A154, "Suede",
    PriceRef!$C$2:$C154, $E114
  ),
  SUMIFS(
    PriceRef!$D$2:$D154,
    PriceRef!$A$2:$A154, "TwoTone",
    PriceRef!$C$2:$C154, $G114
  )
)</f>
        <v>500</v>
      </c>
      <c r="K114" s="65" t="s">
        <v>817</v>
      </c>
      <c r="L114" s="66" t="str">
        <f t="shared" si="1"/>
        <v>3LT AE4 EMT</v>
      </c>
    </row>
    <row r="115">
      <c r="A115" s="60" t="s">
        <v>812</v>
      </c>
      <c r="B115" s="61" t="s">
        <v>813</v>
      </c>
      <c r="C115" s="61" t="s">
        <v>753</v>
      </c>
      <c r="D115" s="61" t="s">
        <v>893</v>
      </c>
      <c r="E115" s="61" t="s">
        <v>728</v>
      </c>
      <c r="F115" s="61"/>
      <c r="G115" s="62"/>
      <c r="H115" s="62" t="s">
        <v>894</v>
      </c>
      <c r="I115" s="63" t="s">
        <v>895</v>
      </c>
      <c r="J115" s="64">
        <f>SUM(
  SUMIFS(
    PriceRef!$D$2:$D154,
    PriceRef!$A$2:$A154, "Seat",
    PriceRef!$B$2:$B154, $B115,
    PriceRef!$C$2:$C154, $C115
  ),
  SUMIFS(
    PriceRef!$D$2:$D154,
    PriceRef!$A$2:$A154, "Stitching",
    PriceRef!$C$2:$C154, $F115
  ),
  SUMIFS(
    PriceRef!$D$2:$D154,
    PriceRef!$A$2:$A154, "Suede",
    PriceRef!$C$2:$C154, $E115
  ),
  SUMIFS(
    PriceRef!$D$2:$D154,
    PriceRef!$A$2:$A154, "TwoTone",
    PriceRef!$C$2:$C154, $G115
  )
)</f>
        <v>695</v>
      </c>
      <c r="K115" s="65" t="s">
        <v>817</v>
      </c>
      <c r="L115" s="66" t="str">
        <f t="shared" si="1"/>
        <v>3LT AH2 EPX N26</v>
      </c>
    </row>
    <row r="116">
      <c r="A116" s="60" t="s">
        <v>812</v>
      </c>
      <c r="B116" s="61" t="s">
        <v>813</v>
      </c>
      <c r="C116" s="61" t="s">
        <v>726</v>
      </c>
      <c r="D116" s="61" t="s">
        <v>893</v>
      </c>
      <c r="E116" s="61" t="s">
        <v>728</v>
      </c>
      <c r="F116" s="61"/>
      <c r="G116" s="62"/>
      <c r="H116" s="62" t="s">
        <v>894</v>
      </c>
      <c r="I116" s="63" t="s">
        <v>896</v>
      </c>
      <c r="J116" s="64">
        <f>SUM(
  SUMIFS(
    PriceRef!$D$2:$D154,
    PriceRef!$A$2:$A154, "Seat",
    PriceRef!$B$2:$B154, $B116,
    PriceRef!$C$2:$C154, $C116
  ),
  SUMIFS(
    PriceRef!$D$2:$D154,
    PriceRef!$A$2:$A154, "Stitching",
    PriceRef!$C$2:$C154, $F116
  ),
  SUMIFS(
    PriceRef!$D$2:$D154,
    PriceRef!$A$2:$A154, "Suede",
    PriceRef!$C$2:$C154, $E116
  ),
  SUMIFS(
    PriceRef!$D$2:$D154,
    PriceRef!$A$2:$A154, "TwoTone",
    PriceRef!$C$2:$C154, $G116
  )
)</f>
        <v>1195</v>
      </c>
      <c r="K116" s="65" t="s">
        <v>817</v>
      </c>
      <c r="L116" s="66" t="str">
        <f t="shared" si="1"/>
        <v>3LT AE4 EPX N26</v>
      </c>
    </row>
    <row r="117">
      <c r="A117" s="60" t="s">
        <v>812</v>
      </c>
      <c r="B117" s="61" t="s">
        <v>813</v>
      </c>
      <c r="C117" s="61" t="s">
        <v>753</v>
      </c>
      <c r="D117" s="61" t="s">
        <v>897</v>
      </c>
      <c r="E117" s="61"/>
      <c r="F117" s="61"/>
      <c r="G117" s="62"/>
      <c r="H117" s="62" t="s">
        <v>898</v>
      </c>
      <c r="I117" s="63" t="s">
        <v>899</v>
      </c>
      <c r="J117" s="64">
        <f>SUM(
  SUMIFS(
    PriceRef!$D$2:$D154,
    PriceRef!$A$2:$A154, "Seat",
    PriceRef!$B$2:$B154, $B117,
    PriceRef!$C$2:$C154, $C117
  ),
  SUMIFS(
    PriceRef!$D$2:$D154,
    PriceRef!$A$2:$A154, "Stitching",
    PriceRef!$C$2:$C154, $F117
  ),
  SUMIFS(
    PriceRef!$D$2:$D154,
    PriceRef!$A$2:$A154, "Suede",
    PriceRef!$C$2:$C154, $E117
  ),
  SUMIFS(
    PriceRef!$D$2:$D154,
    PriceRef!$A$2:$A154, "TwoTone",
    PriceRef!$C$2:$C154, $G117
  )
)</f>
        <v>0</v>
      </c>
      <c r="K117" s="65" t="s">
        <v>817</v>
      </c>
      <c r="L117" s="66" t="str">
        <f t="shared" si="1"/>
        <v>3LT AH2 EJH</v>
      </c>
    </row>
    <row r="118">
      <c r="A118" s="60" t="s">
        <v>812</v>
      </c>
      <c r="B118" s="61" t="s">
        <v>813</v>
      </c>
      <c r="C118" s="61" t="s">
        <v>726</v>
      </c>
      <c r="D118" s="61" t="s">
        <v>897</v>
      </c>
      <c r="E118" s="61"/>
      <c r="F118" s="61"/>
      <c r="G118" s="62"/>
      <c r="H118" s="62" t="s">
        <v>900</v>
      </c>
      <c r="I118" s="63" t="s">
        <v>901</v>
      </c>
      <c r="J118" s="64">
        <f>SUM(
  SUMIFS(
    PriceRef!$D$2:$D154,
    PriceRef!$A$2:$A154, "Seat",
    PriceRef!$B$2:$B154, $B118,
    PriceRef!$C$2:$C154, $C118
  ),
  SUMIFS(
    PriceRef!$D$2:$D154,
    PriceRef!$A$2:$A154, "Stitching",
    PriceRef!$C$2:$C154, $F118
  ),
  SUMIFS(
    PriceRef!$D$2:$D154,
    PriceRef!$A$2:$A154, "Suede",
    PriceRef!$C$2:$C154, $E118
  ),
  SUMIFS(
    PriceRef!$D$2:$D154,
    PriceRef!$A$2:$A154, "TwoTone",
    PriceRef!$C$2:$C154, $G118
  )
)</f>
        <v>500</v>
      </c>
      <c r="K118" s="65" t="s">
        <v>817</v>
      </c>
      <c r="L118" s="66" t="str">
        <f t="shared" si="1"/>
        <v>3LT AE4 EJH</v>
      </c>
    </row>
    <row r="119">
      <c r="A119" s="60" t="s">
        <v>812</v>
      </c>
      <c r="B119" s="61" t="s">
        <v>813</v>
      </c>
      <c r="C119" s="61" t="s">
        <v>753</v>
      </c>
      <c r="D119" s="61" t="s">
        <v>902</v>
      </c>
      <c r="E119" s="61"/>
      <c r="F119" s="61"/>
      <c r="G119" s="62"/>
      <c r="H119" s="62" t="s">
        <v>903</v>
      </c>
      <c r="I119" s="63" t="s">
        <v>904</v>
      </c>
      <c r="J119" s="64">
        <f>SUM(
  SUMIFS(
    PriceRef!$D$2:$D154,
    PriceRef!$A$2:$A154, "Seat",
    PriceRef!$B$2:$B154, $B119,
    PriceRef!$C$2:$C154, $C119
  ),
  SUMIFS(
    PriceRef!$D$2:$D154,
    PriceRef!$A$2:$A154, "Stitching",
    PriceRef!$C$2:$C154, $F119
  ),
  SUMIFS(
    PriceRef!$D$2:$D154,
    PriceRef!$A$2:$A154, "Suede",
    PriceRef!$C$2:$C154, $E119
  ),
  SUMIFS(
    PriceRef!$D$2:$D154,
    PriceRef!$A$2:$A154, "TwoTone",
    PriceRef!$C$2:$C154, $G119
  )
)</f>
        <v>0</v>
      </c>
      <c r="K119" s="65" t="s">
        <v>817</v>
      </c>
      <c r="L119" s="66" t="str">
        <f t="shared" si="1"/>
        <v>3LT AH2 HZN</v>
      </c>
    </row>
    <row r="120">
      <c r="A120" s="60" t="s">
        <v>812</v>
      </c>
      <c r="B120" s="61" t="s">
        <v>813</v>
      </c>
      <c r="C120" s="61" t="s">
        <v>726</v>
      </c>
      <c r="D120" s="61" t="s">
        <v>902</v>
      </c>
      <c r="E120" s="61"/>
      <c r="F120" s="61"/>
      <c r="G120" s="62"/>
      <c r="H120" s="62" t="s">
        <v>903</v>
      </c>
      <c r="I120" s="63" t="s">
        <v>905</v>
      </c>
      <c r="J120" s="64">
        <f>SUM(
  SUMIFS(
    PriceRef!$D$2:$D154,
    PriceRef!$A$2:$A154, "Seat",
    PriceRef!$B$2:$B154, $B120,
    PriceRef!$C$2:$C154, $C120
  ),
  SUMIFS(
    PriceRef!$D$2:$D154,
    PriceRef!$A$2:$A154, "Stitching",
    PriceRef!$C$2:$C154, $F120
  ),
  SUMIFS(
    PriceRef!$D$2:$D154,
    PriceRef!$A$2:$A154, "Suede",
    PriceRef!$C$2:$C154, $E120
  ),
  SUMIFS(
    PriceRef!$D$2:$D154,
    PriceRef!$A$2:$A154, "TwoTone",
    PriceRef!$C$2:$C154, $G120
  )
)</f>
        <v>500</v>
      </c>
      <c r="K120" s="65" t="s">
        <v>817</v>
      </c>
      <c r="L120" s="66" t="str">
        <f t="shared" si="1"/>
        <v>3LT AE4 HZN</v>
      </c>
    </row>
    <row r="121">
      <c r="A121" s="60" t="s">
        <v>906</v>
      </c>
      <c r="B121" s="61" t="s">
        <v>907</v>
      </c>
      <c r="C121" s="61" t="s">
        <v>753</v>
      </c>
      <c r="D121" s="61" t="s">
        <v>908</v>
      </c>
      <c r="E121" s="61" t="s">
        <v>728</v>
      </c>
      <c r="F121" s="61"/>
      <c r="G121" s="62"/>
      <c r="H121" s="62" t="s">
        <v>909</v>
      </c>
      <c r="I121" s="63" t="s">
        <v>910</v>
      </c>
      <c r="J121" s="64">
        <f>SUM(
  SUMIFS(
    PriceRef!$D$2:$D154,
    PriceRef!$A$2:$A154, "Seat",
    PriceRef!$B$2:$B154, $B121,
    PriceRef!$C$2:$C154, $C121
  ),
  SUMIFS(
    PriceRef!$D$2:$D154,
    PriceRef!$A$2:$A154, "Stitching",
    PriceRef!$C$2:$C154, $F121
  ),
  SUMIFS(
    PriceRef!$D$2:$D154,
    PriceRef!$A$2:$A154, "Suede",
    PriceRef!$C$2:$C154, $E121
  ),
  SUMIFS(
    PriceRef!$D$2:$D154,
    PriceRef!$A$2:$A154, "TwoTone",
    PriceRef!$C$2:$C154, $G121
  )
)</f>
        <v>1390</v>
      </c>
      <c r="K121" s="65" t="s">
        <v>817</v>
      </c>
      <c r="L121" s="66" t="str">
        <f t="shared" si="1"/>
        <v>3LT R6X AH2 HM0 N26</v>
      </c>
    </row>
    <row r="122">
      <c r="A122" s="60" t="s">
        <v>906</v>
      </c>
      <c r="B122" s="61" t="s">
        <v>907</v>
      </c>
      <c r="C122" s="61" t="s">
        <v>753</v>
      </c>
      <c r="D122" s="61" t="s">
        <v>908</v>
      </c>
      <c r="E122" s="61" t="s">
        <v>728</v>
      </c>
      <c r="F122" s="61"/>
      <c r="G122" s="62" t="s">
        <v>767</v>
      </c>
      <c r="H122" s="62" t="s">
        <v>911</v>
      </c>
      <c r="I122" s="63" t="s">
        <v>912</v>
      </c>
      <c r="J122" s="64">
        <f>SUM(
  SUMIFS(
    PriceRef!$D$2:$D154,
    PriceRef!$A$2:$A154, "Seat",
    PriceRef!$B$2:$B154, $B122,
    PriceRef!$C$2:$C154, $C122
  ),
  SUMIFS(
    PriceRef!$D$2:$D154,
    PriceRef!$A$2:$A154, "Stitching",
    PriceRef!$C$2:$C154, $F122
  ),
  SUMIFS(
    PriceRef!$D$2:$D154,
    PriceRef!$A$2:$A154, "Suede",
    PriceRef!$C$2:$C154, $E122
  ),
  SUMIFS(
    PriceRef!$D$2:$D154,
    PriceRef!$A$2:$A154, "TwoTone",
    PriceRef!$C$2:$C154, $G122
  )
)</f>
        <v>1985</v>
      </c>
      <c r="K122" s="65" t="s">
        <v>817</v>
      </c>
      <c r="L122" s="66" t="str">
        <f t="shared" si="1"/>
        <v>3LT R6X AH2 HM0 N26 TU7</v>
      </c>
    </row>
    <row r="123">
      <c r="A123" s="60" t="s">
        <v>906</v>
      </c>
      <c r="B123" s="61" t="s">
        <v>907</v>
      </c>
      <c r="C123" s="61" t="s">
        <v>753</v>
      </c>
      <c r="D123" s="61" t="s">
        <v>913</v>
      </c>
      <c r="E123" s="61"/>
      <c r="F123" s="61" t="s">
        <v>746</v>
      </c>
      <c r="G123" s="62"/>
      <c r="H123" s="62" t="s">
        <v>914</v>
      </c>
      <c r="I123" s="63" t="s">
        <v>915</v>
      </c>
      <c r="J123" s="64">
        <f>SUM(
  SUMIFS(
    PriceRef!$D$2:$D154,
    PriceRef!$A$2:$A154, "Seat",
    PriceRef!$B$2:$B154, $B123,
    PriceRef!$C$2:$C154, $C123
  ),
  SUMIFS(
    PriceRef!$D$2:$D154,
    PriceRef!$A$2:$A154, "Stitching",
    PriceRef!$C$2:$C154, $F123
  ),
  SUMIFS(
    PriceRef!$D$2:$D154,
    PriceRef!$A$2:$A154, "Suede",
    PriceRef!$C$2:$C154, $E123
  ),
  SUMIFS(
    PriceRef!$D$2:$D154,
    PriceRef!$A$2:$A154, "TwoTone",
    PriceRef!$C$2:$C154, $G123
  )
)</f>
        <v>1190</v>
      </c>
      <c r="K123" s="65" t="s">
        <v>817</v>
      </c>
      <c r="L123" s="66" t="str">
        <f t="shared" si="1"/>
        <v>3LT R6X AH2 HU0 38S</v>
      </c>
    </row>
    <row r="124">
      <c r="A124" s="60" t="s">
        <v>906</v>
      </c>
      <c r="B124" s="61" t="s">
        <v>907</v>
      </c>
      <c r="C124" s="61" t="s">
        <v>726</v>
      </c>
      <c r="D124" s="61" t="s">
        <v>913</v>
      </c>
      <c r="E124" s="61"/>
      <c r="F124" s="61" t="s">
        <v>746</v>
      </c>
      <c r="G124" s="62"/>
      <c r="H124" s="62" t="s">
        <v>914</v>
      </c>
      <c r="I124" s="63" t="s">
        <v>916</v>
      </c>
      <c r="J124" s="64">
        <f>SUM(
  SUMIFS(
    PriceRef!$D$2:$D154,
    PriceRef!$A$2:$A154, "Seat",
    PriceRef!$B$2:$B154, $B124,
    PriceRef!$C$2:$C154, $C124
  ),
  SUMIFS(
    PriceRef!$D$2:$D154,
    PriceRef!$A$2:$A154, "Stitching",
    PriceRef!$C$2:$C154, $F124
  ),
  SUMIFS(
    PriceRef!$D$2:$D154,
    PriceRef!$A$2:$A154, "Suede",
    PriceRef!$C$2:$C154, $E124
  ),
  SUMIFS(
    PriceRef!$D$2:$D154,
    PriceRef!$A$2:$A154, "TwoTone",
    PriceRef!$C$2:$C154, $G124
  )
)</f>
        <v>1690</v>
      </c>
      <c r="K124" s="65" t="s">
        <v>817</v>
      </c>
      <c r="L124" s="66" t="str">
        <f t="shared" si="1"/>
        <v>3LT R6X AE4 HU0 38S</v>
      </c>
    </row>
    <row r="125">
      <c r="A125" s="60" t="s">
        <v>906</v>
      </c>
      <c r="B125" s="61" t="s">
        <v>907</v>
      </c>
      <c r="C125" s="61" t="s">
        <v>753</v>
      </c>
      <c r="D125" s="61" t="s">
        <v>913</v>
      </c>
      <c r="E125" s="61"/>
      <c r="F125" s="61" t="s">
        <v>746</v>
      </c>
      <c r="G125" s="62" t="s">
        <v>767</v>
      </c>
      <c r="H125" s="62" t="s">
        <v>917</v>
      </c>
      <c r="I125" s="63" t="s">
        <v>918</v>
      </c>
      <c r="J125" s="64">
        <f>SUM(
  SUMIFS(
    PriceRef!$D$2:$D154,
    PriceRef!$A$2:$A154, "Seat",
    PriceRef!$B$2:$B154, $B125,
    PriceRef!$C$2:$C154, $C125
  ),
  SUMIFS(
    PriceRef!$D$2:$D154,
    PriceRef!$A$2:$A154, "Stitching",
    PriceRef!$C$2:$C154, $F125
  ),
  SUMIFS(
    PriceRef!$D$2:$D154,
    PriceRef!$A$2:$A154, "Suede",
    PriceRef!$C$2:$C154, $E125
  ),
  SUMIFS(
    PriceRef!$D$2:$D154,
    PriceRef!$A$2:$A154, "TwoTone",
    PriceRef!$C$2:$C154, $G125
  )
)</f>
        <v>1785</v>
      </c>
      <c r="K125" s="65" t="s">
        <v>817</v>
      </c>
      <c r="L125" s="66" t="str">
        <f t="shared" si="1"/>
        <v>3LT R6X AH2 HU0 38S TU7</v>
      </c>
    </row>
    <row r="126">
      <c r="A126" s="60" t="s">
        <v>906</v>
      </c>
      <c r="B126" s="61" t="s">
        <v>907</v>
      </c>
      <c r="C126" s="61" t="s">
        <v>753</v>
      </c>
      <c r="D126" s="61" t="s">
        <v>919</v>
      </c>
      <c r="E126" s="61"/>
      <c r="F126" s="61"/>
      <c r="G126" s="62"/>
      <c r="H126" s="62" t="s">
        <v>920</v>
      </c>
      <c r="I126" s="63" t="s">
        <v>921</v>
      </c>
      <c r="J126" s="64">
        <f>SUM(
  SUMIFS(
    PriceRef!$D$2:$D154,
    PriceRef!$A$2:$A154, "Seat",
    PriceRef!$B$2:$B154, $B126,
    PriceRef!$C$2:$C154, $C126
  ),
  SUMIFS(
    PriceRef!$D$2:$D154,
    PriceRef!$A$2:$A154, "Stitching",
    PriceRef!$C$2:$C154, $F126
  ),
  SUMIFS(
    PriceRef!$D$2:$D154,
    PriceRef!$A$2:$A154, "Suede",
    PriceRef!$C$2:$C154, $E126
  ),
  SUMIFS(
    PriceRef!$D$2:$D154,
    PriceRef!$A$2:$A154, "TwoTone",
    PriceRef!$C$2:$C154, $G126
  )
)</f>
        <v>695</v>
      </c>
      <c r="K126" s="65" t="s">
        <v>817</v>
      </c>
      <c r="L126" s="66" t="str">
        <f t="shared" si="1"/>
        <v>3LT R6X AH2 HUU</v>
      </c>
    </row>
    <row r="127">
      <c r="A127" s="60" t="s">
        <v>906</v>
      </c>
      <c r="B127" s="61" t="s">
        <v>907</v>
      </c>
      <c r="C127" s="61" t="s">
        <v>726</v>
      </c>
      <c r="D127" s="61" t="s">
        <v>919</v>
      </c>
      <c r="E127" s="61"/>
      <c r="F127" s="61"/>
      <c r="G127" s="62"/>
      <c r="H127" s="62" t="s">
        <v>920</v>
      </c>
      <c r="I127" s="63" t="s">
        <v>922</v>
      </c>
      <c r="J127" s="64">
        <f>SUM(
  SUMIFS(
    PriceRef!$D$2:$D154,
    PriceRef!$A$2:$A154, "Seat",
    PriceRef!$B$2:$B154, $B127,
    PriceRef!$C$2:$C154, $C127
  ),
  SUMIFS(
    PriceRef!$D$2:$D154,
    PriceRef!$A$2:$A154, "Stitching",
    PriceRef!$C$2:$C154, $F127
  ),
  SUMIFS(
    PriceRef!$D$2:$D154,
    PriceRef!$A$2:$A154, "Suede",
    PriceRef!$C$2:$C154, $E127
  ),
  SUMIFS(
    PriceRef!$D$2:$D154,
    PriceRef!$A$2:$A154, "TwoTone",
    PriceRef!$C$2:$C154, $G127
  )
)</f>
        <v>1195</v>
      </c>
      <c r="K127" s="65" t="s">
        <v>817</v>
      </c>
      <c r="L127" s="66" t="str">
        <f t="shared" si="1"/>
        <v>3LT R6X AE4 HUU</v>
      </c>
    </row>
    <row r="128">
      <c r="A128" s="60" t="s">
        <v>906</v>
      </c>
      <c r="B128" s="61" t="s">
        <v>907</v>
      </c>
      <c r="C128" s="61" t="s">
        <v>753</v>
      </c>
      <c r="D128" s="61" t="s">
        <v>923</v>
      </c>
      <c r="E128" s="61" t="s">
        <v>728</v>
      </c>
      <c r="F128" s="61"/>
      <c r="G128" s="62"/>
      <c r="H128" s="62" t="s">
        <v>924</v>
      </c>
      <c r="I128" s="63" t="s">
        <v>925</v>
      </c>
      <c r="J128" s="64">
        <f>SUM(
  SUMIFS(
    PriceRef!$D$2:$D154,
    PriceRef!$A$2:$A154, "Seat",
    PriceRef!$B$2:$B154, $B128,
    PriceRef!$C$2:$C154, $C128
  ),
  SUMIFS(
    PriceRef!$D$2:$D154,
    PriceRef!$A$2:$A154, "Stitching",
    PriceRef!$C$2:$C154, $F128
  ),
  SUMIFS(
    PriceRef!$D$2:$D154,
    PriceRef!$A$2:$A154, "Suede",
    PriceRef!$C$2:$C154, $E128
  ),
  SUMIFS(
    PriceRef!$D$2:$D154,
    PriceRef!$A$2:$A154, "TwoTone",
    PriceRef!$C$2:$C154, $G128
  )
)</f>
        <v>1390</v>
      </c>
      <c r="K128" s="65" t="s">
        <v>817</v>
      </c>
      <c r="L128" s="66" t="str">
        <f t="shared" si="1"/>
        <v>3LT R6X AH2 HVT N26</v>
      </c>
    </row>
    <row r="129">
      <c r="A129" s="60" t="s">
        <v>906</v>
      </c>
      <c r="B129" s="61" t="s">
        <v>907</v>
      </c>
      <c r="C129" s="61" t="s">
        <v>753</v>
      </c>
      <c r="D129" s="61" t="s">
        <v>926</v>
      </c>
      <c r="E129" s="61"/>
      <c r="F129" s="61"/>
      <c r="G129" s="62"/>
      <c r="H129" s="62" t="s">
        <v>927</v>
      </c>
      <c r="I129" s="63" t="s">
        <v>928</v>
      </c>
      <c r="J129" s="64">
        <f>SUM(
  SUMIFS(
    PriceRef!$D$2:$D154,
    PriceRef!$A$2:$A154, "Seat",
    PriceRef!$B$2:$B154, $B129,
    PriceRef!$C$2:$C154, $C129
  ),
  SUMIFS(
    PriceRef!$D$2:$D154,
    PriceRef!$A$2:$A154, "Stitching",
    PriceRef!$C$2:$C154, $F129
  ),
  SUMIFS(
    PriceRef!$D$2:$D154,
    PriceRef!$A$2:$A154, "Suede",
    PriceRef!$C$2:$C154, $E129
  ),
  SUMIFS(
    PriceRef!$D$2:$D154,
    PriceRef!$A$2:$A154, "TwoTone",
    PriceRef!$C$2:$C154, $G129
  )
)</f>
        <v>695</v>
      </c>
      <c r="K129" s="65" t="s">
        <v>817</v>
      </c>
      <c r="L129" s="66" t="str">
        <f t="shared" si="1"/>
        <v>3LT R6X AH2 HVV</v>
      </c>
    </row>
    <row r="130">
      <c r="A130" s="60" t="s">
        <v>906</v>
      </c>
      <c r="B130" s="61" t="s">
        <v>907</v>
      </c>
      <c r="C130" s="61" t="s">
        <v>753</v>
      </c>
      <c r="D130" s="61" t="s">
        <v>926</v>
      </c>
      <c r="E130" s="61"/>
      <c r="F130" s="61"/>
      <c r="G130" s="62" t="s">
        <v>767</v>
      </c>
      <c r="H130" s="62" t="s">
        <v>929</v>
      </c>
      <c r="I130" s="63" t="s">
        <v>930</v>
      </c>
      <c r="J130" s="64">
        <f>SUM(
  SUMIFS(
    PriceRef!$D$2:$D154,
    PriceRef!$A$2:$A154, "Seat",
    PriceRef!$B$2:$B154, $B130,
    PriceRef!$C$2:$C154, $C130
  ),
  SUMIFS(
    PriceRef!$D$2:$D154,
    PriceRef!$A$2:$A154, "Stitching",
    PriceRef!$C$2:$C154, $F130
  ),
  SUMIFS(
    PriceRef!$D$2:$D154,
    PriceRef!$A$2:$A154, "Suede",
    PriceRef!$C$2:$C154, $E130
  ),
  SUMIFS(
    PriceRef!$D$2:$D154,
    PriceRef!$A$2:$A154, "TwoTone",
    PriceRef!$C$2:$C154, $G130
  )
)</f>
        <v>1290</v>
      </c>
      <c r="K130" s="65" t="s">
        <v>817</v>
      </c>
      <c r="L130" s="66" t="str">
        <f t="shared" si="1"/>
        <v>3LT R6X AH2 HVV TU7</v>
      </c>
    </row>
    <row r="131">
      <c r="A131" s="60" t="s">
        <v>906</v>
      </c>
      <c r="B131" s="61" t="s">
        <v>907</v>
      </c>
      <c r="C131" s="61" t="s">
        <v>726</v>
      </c>
      <c r="D131" s="61" t="s">
        <v>931</v>
      </c>
      <c r="E131" s="61" t="s">
        <v>728</v>
      </c>
      <c r="F131" s="61" t="s">
        <v>746</v>
      </c>
      <c r="G131" s="62"/>
      <c r="H131" s="62" t="s">
        <v>932</v>
      </c>
      <c r="I131" s="63" t="s">
        <v>933</v>
      </c>
      <c r="J131" s="64">
        <f>SUM(
  SUMIFS(
    PriceRef!$D$2:$D154,
    PriceRef!$A$2:$A154, "Seat",
    PriceRef!$B$2:$B154, $B131,
    PriceRef!$C$2:$C154, $C131
  ),
  SUMIFS(
    PriceRef!$D$2:$D154,
    PriceRef!$A$2:$A154, "Stitching",
    PriceRef!$C$2:$C154, $F131
  ),
  SUMIFS(
    PriceRef!$D$2:$D154,
    PriceRef!$A$2:$A154, "Suede",
    PriceRef!$C$2:$C154, $E131
  ),
  SUMIFS(
    PriceRef!$D$2:$D154,
    PriceRef!$A$2:$A154, "TwoTone",
    PriceRef!$C$2:$C154, $G131
  )
)</f>
        <v>2385</v>
      </c>
      <c r="K131" s="65" t="s">
        <v>817</v>
      </c>
      <c r="L131" s="66" t="str">
        <f t="shared" si="1"/>
        <v>3LT R6X AE4 HX0 38S N26</v>
      </c>
    </row>
    <row r="132">
      <c r="A132" s="60" t="s">
        <v>906</v>
      </c>
      <c r="B132" s="61" t="s">
        <v>907</v>
      </c>
      <c r="C132" s="61" t="s">
        <v>753</v>
      </c>
      <c r="D132" s="61" t="s">
        <v>931</v>
      </c>
      <c r="E132" s="61" t="s">
        <v>728</v>
      </c>
      <c r="F132" s="61" t="s">
        <v>746</v>
      </c>
      <c r="G132" s="62" t="s">
        <v>767</v>
      </c>
      <c r="H132" s="62" t="s">
        <v>932</v>
      </c>
      <c r="I132" s="63" t="s">
        <v>934</v>
      </c>
      <c r="J132" s="64">
        <f>SUM(
  SUMIFS(
    PriceRef!$D$2:$D154,
    PriceRef!$A$2:$A154, "Seat",
    PriceRef!$B$2:$B154, $B132,
    PriceRef!$C$2:$C154, $C132
  ),
  SUMIFS(
    PriceRef!$D$2:$D154,
    PriceRef!$A$2:$A154, "Stitching",
    PriceRef!$C$2:$C154, $F132
  ),
  SUMIFS(
    PriceRef!$D$2:$D154,
    PriceRef!$A$2:$A154, "Suede",
    PriceRef!$C$2:$C154, $E132
  ),
  SUMIFS(
    PriceRef!$D$2:$D154,
    PriceRef!$A$2:$A154, "TwoTone",
    PriceRef!$C$2:$C154, $G132
  )
)</f>
        <v>2480</v>
      </c>
      <c r="K132" s="65" t="s">
        <v>817</v>
      </c>
      <c r="L132" s="66" t="str">
        <f t="shared" si="1"/>
        <v>3LT R6X AH2 HX0 38S N26 TU7</v>
      </c>
    </row>
    <row r="133">
      <c r="A133" s="60" t="s">
        <v>906</v>
      </c>
      <c r="B133" s="61" t="s">
        <v>907</v>
      </c>
      <c r="C133" s="61" t="s">
        <v>753</v>
      </c>
      <c r="D133" s="61" t="s">
        <v>935</v>
      </c>
      <c r="E133" s="61"/>
      <c r="F133" s="61"/>
      <c r="G133" s="62"/>
      <c r="H133" s="62" t="s">
        <v>936</v>
      </c>
      <c r="I133" s="63" t="s">
        <v>937</v>
      </c>
      <c r="J133" s="64">
        <f>SUM(
  SUMIFS(
    PriceRef!$D$2:$D154,
    PriceRef!$A$2:$A154, "Seat",
    PriceRef!$B$2:$B154, $B133,
    PriceRef!$C$2:$C154, $C133
  ),
  SUMIFS(
    PriceRef!$D$2:$D154,
    PriceRef!$A$2:$A154, "Stitching",
    PriceRef!$C$2:$C154, $F133
  ),
  SUMIFS(
    PriceRef!$D$2:$D154,
    PriceRef!$A$2:$A154, "Suede",
    PriceRef!$C$2:$C154, $E133
  ),
  SUMIFS(
    PriceRef!$D$2:$D154,
    PriceRef!$A$2:$A154, "TwoTone",
    PriceRef!$C$2:$C154, $G133
  )
)</f>
        <v>695</v>
      </c>
      <c r="K133" s="65" t="s">
        <v>817</v>
      </c>
      <c r="L133" s="66" t="str">
        <f t="shared" si="1"/>
        <v>3LT R6X AH2 HZB</v>
      </c>
    </row>
    <row r="134">
      <c r="A134" s="60" t="s">
        <v>906</v>
      </c>
      <c r="B134" s="61" t="s">
        <v>907</v>
      </c>
      <c r="C134" s="61" t="s">
        <v>753</v>
      </c>
      <c r="D134" s="61" t="s">
        <v>938</v>
      </c>
      <c r="E134" s="61" t="s">
        <v>728</v>
      </c>
      <c r="F134" s="61"/>
      <c r="G134" s="62"/>
      <c r="H134" s="62" t="s">
        <v>939</v>
      </c>
      <c r="I134" s="63" t="s">
        <v>940</v>
      </c>
      <c r="J134" s="64">
        <f>SUM(
  SUMIFS(
    PriceRef!$D$2:$D154,
    PriceRef!$A$2:$A154, "Seat",
    PriceRef!$B$2:$B154, $B134,
    PriceRef!$C$2:$C154, $C134
  ),
  SUMIFS(
    PriceRef!$D$2:$D154,
    PriceRef!$A$2:$A154, "Stitching",
    PriceRef!$C$2:$C154, $F134
  ),
  SUMIFS(
    PriceRef!$D$2:$D154,
    PriceRef!$A$2:$A154, "Suede",
    PriceRef!$C$2:$C154, $E134
  ),
  SUMIFS(
    PriceRef!$D$2:$D154,
    PriceRef!$A$2:$A154, "TwoTone",
    PriceRef!$C$2:$C154, $G134
  )
)</f>
        <v>1390</v>
      </c>
      <c r="K134" s="65" t="s">
        <v>817</v>
      </c>
      <c r="L134" s="66" t="str">
        <f t="shared" si="1"/>
        <v>3LT R6X AH2 HZP N26</v>
      </c>
    </row>
    <row r="135">
      <c r="A135" s="60" t="s">
        <v>906</v>
      </c>
      <c r="B135" s="61" t="s">
        <v>907</v>
      </c>
      <c r="C135" s="61" t="s">
        <v>726</v>
      </c>
      <c r="D135" s="61" t="s">
        <v>938</v>
      </c>
      <c r="E135" s="61" t="s">
        <v>728</v>
      </c>
      <c r="F135" s="61"/>
      <c r="G135" s="62"/>
      <c r="H135" s="62" t="s">
        <v>939</v>
      </c>
      <c r="I135" s="63" t="s">
        <v>941</v>
      </c>
      <c r="J135" s="64">
        <f>SUM(
  SUMIFS(
    PriceRef!$D$2:$D154,
    PriceRef!$A$2:$A154, "Seat",
    PriceRef!$B$2:$B154, $B135,
    PriceRef!$C$2:$C154, $C135
  ),
  SUMIFS(
    PriceRef!$D$2:$D154,
    PriceRef!$A$2:$A154, "Stitching",
    PriceRef!$C$2:$C154, $F135
  ),
  SUMIFS(
    PriceRef!$D$2:$D154,
    PriceRef!$A$2:$A154, "Suede",
    PriceRef!$C$2:$C154, $E135
  ),
  SUMIFS(
    PriceRef!$D$2:$D154,
    PriceRef!$A$2:$A154, "TwoTone",
    PriceRef!$C$2:$C154, $G135
  )
)</f>
        <v>1890</v>
      </c>
      <c r="K135" s="65" t="s">
        <v>817</v>
      </c>
      <c r="L135" s="66" t="str">
        <f t="shared" si="1"/>
        <v>3LT R6X AE4 HZP N26</v>
      </c>
    </row>
    <row r="136">
      <c r="A136" s="60" t="s">
        <v>578</v>
      </c>
      <c r="B136" s="61" t="s">
        <v>813</v>
      </c>
      <c r="C136" s="61" t="s">
        <v>726</v>
      </c>
      <c r="D136" s="61" t="s">
        <v>726</v>
      </c>
      <c r="E136" s="61"/>
      <c r="F136" s="61"/>
      <c r="G136" s="62"/>
      <c r="H136" s="62" t="s">
        <v>807</v>
      </c>
      <c r="I136" s="63" t="s">
        <v>808</v>
      </c>
      <c r="J136" s="64">
        <f>SUM(
  SUMIFS(
    PriceRef!$D$2:$D154,
    PriceRef!$A$2:$A154, "Seat",
    PriceRef!$B$2:$B154, $B136,
    PriceRef!$C$2:$C154, $C136
  ),
  SUMIFS(
    PriceRef!$D$2:$D154,
    PriceRef!$A$2:$A154, "Stitching",
    PriceRef!$C$2:$C154, $F136
  ),
  SUMIFS(
    PriceRef!$D$2:$D154,
    PriceRef!$A$2:$A154, "Suede",
    PriceRef!$C$2:$C154, $E136
  ),
  SUMIFS(
    PriceRef!$D$2:$D154,
    PriceRef!$A$2:$A154, "TwoTone",
    PriceRef!$C$2:$C154, $G136
  )
)</f>
        <v>500</v>
      </c>
      <c r="K136" s="65" t="s">
        <v>942</v>
      </c>
      <c r="L136" s="66" t="str">
        <f t="shared" si="1"/>
        <v>3LT AE4 AE4</v>
      </c>
    </row>
    <row r="137">
      <c r="A137" s="60" t="s">
        <v>578</v>
      </c>
      <c r="B137" s="61" t="s">
        <v>813</v>
      </c>
      <c r="C137" s="61" t="s">
        <v>753</v>
      </c>
      <c r="D137" s="61" t="s">
        <v>753</v>
      </c>
      <c r="E137" s="61"/>
      <c r="F137" s="61"/>
      <c r="G137" s="62"/>
      <c r="H137" s="62" t="s">
        <v>810</v>
      </c>
      <c r="I137" s="63" t="s">
        <v>811</v>
      </c>
      <c r="J137" s="64">
        <f>SUM(
  SUMIFS(
    PriceRef!$D$2:$D154,
    PriceRef!$A$2:$A154, "Seat",
    PriceRef!$B$2:$B154, $B137,
    PriceRef!$C$2:$C154, $C137
  ),
  SUMIFS(
    PriceRef!$D$2:$D154,
    PriceRef!$A$2:$A154, "Stitching",
    PriceRef!$C$2:$C154, $F137
  ),
  SUMIFS(
    PriceRef!$D$2:$D154,
    PriceRef!$A$2:$A154, "Suede",
    PriceRef!$C$2:$C154, $E137
  ),
  SUMIFS(
    PriceRef!$D$2:$D154,
    PriceRef!$A$2:$A154, "TwoTone",
    PriceRef!$C$2:$C154, $G137
  )
)</f>
        <v>0</v>
      </c>
      <c r="K137" s="65" t="s">
        <v>942</v>
      </c>
      <c r="L137" s="66" t="str">
        <f t="shared" si="1"/>
        <v>3LT AH2 AH2</v>
      </c>
    </row>
    <row r="138">
      <c r="A138" s="60" t="s">
        <v>578</v>
      </c>
      <c r="B138" s="61" t="s">
        <v>813</v>
      </c>
      <c r="C138" s="61" t="s">
        <v>822</v>
      </c>
      <c r="D138" s="61" t="s">
        <v>822</v>
      </c>
      <c r="E138" s="61"/>
      <c r="F138" s="61"/>
      <c r="G138" s="62"/>
      <c r="H138" s="62" t="s">
        <v>943</v>
      </c>
      <c r="I138" s="63" t="s">
        <v>944</v>
      </c>
      <c r="J138" s="64">
        <f>SUM(
  SUMIFS(
    PriceRef!$D$2:$D154,
    PriceRef!$A$2:$A154, "Seat",
    PriceRef!$B$2:$B154, $B138,
    PriceRef!$C$2:$C154, $C138
  ),
  SUMIFS(
    PriceRef!$D$2:$D154,
    PriceRef!$A$2:$A154, "Stitching",
    PriceRef!$C$2:$C154, $F138
  ),
  SUMIFS(
    PriceRef!$D$2:$D154,
    PriceRef!$A$2:$A154, "Suede",
    PriceRef!$C$2:$C154, $E138
  ),
  SUMIFS(
    PriceRef!$D$2:$D154,
    PriceRef!$A$2:$A154, "TwoTone",
    PriceRef!$C$2:$C154, $G138
  )
)</f>
        <v>250</v>
      </c>
      <c r="K138" s="65" t="s">
        <v>942</v>
      </c>
      <c r="L138" s="66" t="str">
        <f t="shared" si="1"/>
        <v>3LT AUP AUP</v>
      </c>
    </row>
    <row r="139">
      <c r="A139" s="60" t="s">
        <v>945</v>
      </c>
      <c r="B139" s="61"/>
      <c r="C139" s="61"/>
      <c r="D139" s="61" t="s">
        <v>946</v>
      </c>
      <c r="E139" s="61"/>
      <c r="F139" s="61"/>
      <c r="G139" s="62"/>
      <c r="H139" s="62" t="s">
        <v>947</v>
      </c>
      <c r="I139" s="63" t="s">
        <v>948</v>
      </c>
      <c r="J139" s="64">
        <v>695.0</v>
      </c>
      <c r="K139" s="65" t="s">
        <v>949</v>
      </c>
      <c r="L139" s="66" t="str">
        <f t="shared" si="1"/>
        <v>D30</v>
      </c>
    </row>
    <row r="140">
      <c r="A140" s="60" t="s">
        <v>945</v>
      </c>
      <c r="B140" s="61" t="s">
        <v>907</v>
      </c>
      <c r="C140" s="61"/>
      <c r="D140" s="61" t="s">
        <v>946</v>
      </c>
      <c r="E140" s="61"/>
      <c r="F140" s="61"/>
      <c r="G140" s="62"/>
      <c r="H140" s="62" t="s">
        <v>947</v>
      </c>
      <c r="I140" s="63" t="s">
        <v>950</v>
      </c>
      <c r="J140" s="64">
        <v>0.0</v>
      </c>
      <c r="K140" s="65" t="s">
        <v>949</v>
      </c>
      <c r="L140" s="66" t="str">
        <f t="shared" si="1"/>
        <v>3LT R6X D30</v>
      </c>
    </row>
    <row r="141">
      <c r="A141" s="60" t="s">
        <v>602</v>
      </c>
      <c r="B141" s="61" t="s">
        <v>742</v>
      </c>
      <c r="C141" s="61"/>
      <c r="D141" s="61" t="s">
        <v>9</v>
      </c>
      <c r="E141" s="61"/>
      <c r="F141" s="61"/>
      <c r="G141" s="62"/>
      <c r="H141" s="62" t="s">
        <v>951</v>
      </c>
      <c r="I141" s="63" t="s">
        <v>952</v>
      </c>
      <c r="J141" s="64">
        <v>595.0</v>
      </c>
      <c r="K141" s="65" t="s">
        <v>949</v>
      </c>
      <c r="L141" s="66" t="str">
        <f t="shared" si="1"/>
        <v>2LT BAZ</v>
      </c>
    </row>
    <row r="142">
      <c r="A142" s="60" t="s">
        <v>602</v>
      </c>
      <c r="B142" s="61" t="s">
        <v>813</v>
      </c>
      <c r="C142" s="61"/>
      <c r="D142" s="61" t="s">
        <v>9</v>
      </c>
      <c r="E142" s="61"/>
      <c r="F142" s="61"/>
      <c r="G142" s="62"/>
      <c r="H142" s="62" t="s">
        <v>951</v>
      </c>
      <c r="I142" s="63" t="s">
        <v>952</v>
      </c>
      <c r="J142" s="64">
        <v>595.0</v>
      </c>
      <c r="K142" s="65" t="s">
        <v>949</v>
      </c>
      <c r="L142" s="66" t="str">
        <f t="shared" si="1"/>
        <v>3LT BAZ</v>
      </c>
    </row>
    <row r="143">
      <c r="A143" s="60" t="s">
        <v>602</v>
      </c>
      <c r="B143" s="61" t="s">
        <v>742</v>
      </c>
      <c r="C143" s="61"/>
      <c r="D143" s="61" t="s">
        <v>953</v>
      </c>
      <c r="E143" s="61"/>
      <c r="F143" s="61"/>
      <c r="G143" s="62"/>
      <c r="H143" s="62" t="s">
        <v>954</v>
      </c>
      <c r="I143" s="63" t="s">
        <v>955</v>
      </c>
      <c r="J143" s="64">
        <v>1500.0</v>
      </c>
      <c r="K143" s="65" t="s">
        <v>949</v>
      </c>
      <c r="L143" s="66" t="str">
        <f t="shared" si="1"/>
        <v>2LT FA5</v>
      </c>
    </row>
    <row r="144">
      <c r="A144" s="60" t="s">
        <v>602</v>
      </c>
      <c r="B144" s="61" t="s">
        <v>813</v>
      </c>
      <c r="C144" s="61"/>
      <c r="D144" s="61" t="s">
        <v>953</v>
      </c>
      <c r="E144" s="61"/>
      <c r="F144" s="61"/>
      <c r="G144" s="62"/>
      <c r="H144" s="62" t="s">
        <v>954</v>
      </c>
      <c r="I144" s="63" t="s">
        <v>955</v>
      </c>
      <c r="J144" s="64">
        <v>1500.0</v>
      </c>
      <c r="K144" s="65" t="s">
        <v>949</v>
      </c>
      <c r="L144" s="66" t="str">
        <f t="shared" si="1"/>
        <v>3LT FA5</v>
      </c>
    </row>
    <row r="145">
      <c r="A145" s="60" t="s">
        <v>602</v>
      </c>
      <c r="B145" s="61"/>
      <c r="C145" s="61"/>
      <c r="D145" s="61" t="s">
        <v>728</v>
      </c>
      <c r="E145" s="61"/>
      <c r="F145" s="61"/>
      <c r="G145" s="62"/>
      <c r="H145" s="62" t="s">
        <v>956</v>
      </c>
      <c r="I145" s="63" t="s">
        <v>957</v>
      </c>
      <c r="J145" s="64">
        <v>695.0</v>
      </c>
      <c r="K145" s="65" t="s">
        <v>949</v>
      </c>
      <c r="L145" s="66" t="str">
        <f t="shared" si="1"/>
        <v>N26</v>
      </c>
    </row>
    <row r="146">
      <c r="A146" s="60" t="s">
        <v>602</v>
      </c>
      <c r="B146" s="61" t="s">
        <v>742</v>
      </c>
      <c r="C146" s="61" t="s">
        <v>753</v>
      </c>
      <c r="D146" s="61" t="s">
        <v>767</v>
      </c>
      <c r="E146" s="61"/>
      <c r="F146" s="61"/>
      <c r="G146" s="62"/>
      <c r="H146" s="62" t="s">
        <v>572</v>
      </c>
      <c r="I146" s="63" t="s">
        <v>958</v>
      </c>
      <c r="J146" s="64">
        <v>595.0</v>
      </c>
      <c r="K146" s="65" t="s">
        <v>949</v>
      </c>
      <c r="L146" s="66" t="str">
        <f t="shared" si="1"/>
        <v>2LT AH2 TU7</v>
      </c>
    </row>
    <row r="147">
      <c r="A147" s="60" t="s">
        <v>602</v>
      </c>
      <c r="B147" s="61" t="s">
        <v>813</v>
      </c>
      <c r="C147" s="61" t="s">
        <v>753</v>
      </c>
      <c r="D147" s="61" t="s">
        <v>767</v>
      </c>
      <c r="E147" s="61"/>
      <c r="F147" s="61"/>
      <c r="G147" s="62"/>
      <c r="H147" s="62" t="s">
        <v>572</v>
      </c>
      <c r="I147" s="63" t="s">
        <v>959</v>
      </c>
      <c r="J147" s="64">
        <v>595.0</v>
      </c>
      <c r="K147" s="65" t="s">
        <v>949</v>
      </c>
      <c r="L147" s="66" t="str">
        <f t="shared" si="1"/>
        <v>3LT AH2 TU7</v>
      </c>
    </row>
    <row r="148">
      <c r="A148" s="60" t="s">
        <v>602</v>
      </c>
      <c r="B148" s="61" t="s">
        <v>720</v>
      </c>
      <c r="C148" s="61"/>
      <c r="D148" s="61" t="s">
        <v>960</v>
      </c>
      <c r="E148" s="61"/>
      <c r="F148" s="61"/>
      <c r="G148" s="62"/>
      <c r="H148" s="62" t="s">
        <v>606</v>
      </c>
      <c r="I148" s="63" t="s">
        <v>961</v>
      </c>
      <c r="J148" s="64">
        <v>1300.0</v>
      </c>
      <c r="K148" s="65" t="s">
        <v>949</v>
      </c>
      <c r="L148" s="66" t="str">
        <f t="shared" si="1"/>
        <v>1LT UQT</v>
      </c>
    </row>
    <row r="149">
      <c r="A149" s="60" t="s">
        <v>962</v>
      </c>
      <c r="B149" s="61"/>
      <c r="C149" s="61"/>
      <c r="D149" s="61">
        <v>379.0</v>
      </c>
      <c r="E149" s="61"/>
      <c r="F149" s="61"/>
      <c r="G149" s="62"/>
      <c r="H149" s="62" t="s">
        <v>963</v>
      </c>
      <c r="I149" s="63" t="s">
        <v>964</v>
      </c>
      <c r="J149" s="64">
        <v>495.0</v>
      </c>
      <c r="K149" s="67" t="s">
        <v>965</v>
      </c>
      <c r="L149" s="66" t="str">
        <f t="shared" si="1"/>
        <v>379</v>
      </c>
    </row>
    <row r="150">
      <c r="A150" s="60" t="s">
        <v>962</v>
      </c>
      <c r="B150" s="61"/>
      <c r="C150" s="61"/>
      <c r="D150" s="61">
        <v>719.0</v>
      </c>
      <c r="E150" s="61"/>
      <c r="F150" s="61"/>
      <c r="G150" s="62"/>
      <c r="H150" s="62" t="s">
        <v>966</v>
      </c>
      <c r="I150" s="63" t="s">
        <v>166</v>
      </c>
      <c r="J150" s="64">
        <v>495.0</v>
      </c>
      <c r="K150" s="67" t="s">
        <v>965</v>
      </c>
      <c r="L150" s="66" t="str">
        <f t="shared" si="1"/>
        <v>719</v>
      </c>
    </row>
    <row r="151">
      <c r="A151" s="60" t="s">
        <v>962</v>
      </c>
      <c r="B151" s="61"/>
      <c r="C151" s="61"/>
      <c r="D151" s="61" t="s">
        <v>967</v>
      </c>
      <c r="E151" s="61"/>
      <c r="F151" s="61"/>
      <c r="G151" s="62"/>
      <c r="H151" s="62" t="s">
        <v>968</v>
      </c>
      <c r="I151" s="63" t="s">
        <v>969</v>
      </c>
      <c r="J151" s="64">
        <v>495.0</v>
      </c>
      <c r="K151" s="67" t="s">
        <v>965</v>
      </c>
      <c r="L151" s="66" t="str">
        <f t="shared" si="1"/>
        <v>3A9</v>
      </c>
    </row>
    <row r="152">
      <c r="A152" s="60" t="s">
        <v>962</v>
      </c>
      <c r="B152" s="61"/>
      <c r="C152" s="61"/>
      <c r="D152" s="61" t="s">
        <v>5</v>
      </c>
      <c r="E152" s="61"/>
      <c r="F152" s="61"/>
      <c r="G152" s="62"/>
      <c r="H152" s="62" t="s">
        <v>970</v>
      </c>
      <c r="I152" s="63" t="s">
        <v>971</v>
      </c>
      <c r="J152" s="64">
        <v>495.0</v>
      </c>
      <c r="K152" s="67" t="s">
        <v>965</v>
      </c>
      <c r="L152" s="66" t="str">
        <f t="shared" si="1"/>
        <v>3F9</v>
      </c>
    </row>
    <row r="153">
      <c r="A153" s="60" t="s">
        <v>962</v>
      </c>
      <c r="B153" s="61"/>
      <c r="C153" s="61"/>
      <c r="D153" s="61" t="s">
        <v>972</v>
      </c>
      <c r="E153" s="61"/>
      <c r="F153" s="61"/>
      <c r="G153" s="62"/>
      <c r="H153" s="62" t="s">
        <v>973</v>
      </c>
      <c r="I153" s="63" t="s">
        <v>964</v>
      </c>
      <c r="J153" s="64">
        <v>495.0</v>
      </c>
      <c r="K153" s="67" t="s">
        <v>965</v>
      </c>
      <c r="L153" s="66" t="str">
        <f t="shared" si="1"/>
        <v>3M9</v>
      </c>
    </row>
    <row r="154">
      <c r="A154" s="60" t="s">
        <v>962</v>
      </c>
      <c r="B154" s="61"/>
      <c r="C154" s="61"/>
      <c r="D154" s="61" t="s">
        <v>974</v>
      </c>
      <c r="E154" s="61"/>
      <c r="F154" s="61"/>
      <c r="G154" s="62"/>
      <c r="H154" s="62" t="s">
        <v>975</v>
      </c>
      <c r="I154" s="63" t="s">
        <v>976</v>
      </c>
      <c r="J154" s="64">
        <v>495.0</v>
      </c>
      <c r="K154" s="67" t="s">
        <v>965</v>
      </c>
      <c r="L154" s="66" t="str">
        <f t="shared" si="1"/>
        <v>3N9</v>
      </c>
    </row>
  </sheetData>
  <customSheetViews>
    <customSheetView guid="{B85D8ECB-49C0-4569-B578-25F16D8E67D6}" filter="1" showAutoFilter="1">
      <autoFilter ref="$A$1:$L$154"/>
    </customSheetView>
    <customSheetView guid="{394DB86B-E24D-45B0-AA91-1500FAE92EF1}" filter="1" showAutoFilter="1">
      <autoFilter ref="$A$1:$L$154"/>
    </customSheetView>
    <customSheetView guid="{7334F225-E228-4992-B1DA-18CE0E932279}" filter="1" showAutoFilter="1">
      <autoFilter ref="$A$1:$L$154"/>
    </customSheetView>
  </customSheetView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8.14"/>
    <col customWidth="1" min="2" max="2" width="66.43"/>
    <col customWidth="1" min="3" max="3" width="11.29"/>
    <col customWidth="1" min="4" max="4" width="53.57"/>
    <col customWidth="1" min="5" max="6" width="9.14"/>
    <col customWidth="1" min="7" max="26" width="8.71"/>
  </cols>
  <sheetData>
    <row r="1">
      <c r="A1" s="68" t="s">
        <v>1</v>
      </c>
      <c r="B1" s="69" t="s">
        <v>977</v>
      </c>
      <c r="C1" s="70" t="s">
        <v>978</v>
      </c>
      <c r="D1" s="71"/>
      <c r="E1" s="72" t="s">
        <v>720</v>
      </c>
      <c r="F1" s="72" t="s">
        <v>742</v>
      </c>
      <c r="G1" s="72" t="s">
        <v>813</v>
      </c>
      <c r="H1" s="72" t="s">
        <v>979</v>
      </c>
      <c r="I1" s="73"/>
      <c r="J1" s="73"/>
      <c r="K1" s="73"/>
      <c r="L1" s="73"/>
      <c r="M1" s="73"/>
      <c r="N1" s="73"/>
      <c r="O1" s="73"/>
      <c r="P1" s="73"/>
      <c r="Q1" s="73"/>
      <c r="R1" s="73"/>
      <c r="S1" s="73"/>
      <c r="T1" s="73"/>
      <c r="U1" s="73"/>
      <c r="V1" s="73"/>
      <c r="W1" s="73"/>
      <c r="X1" s="73"/>
      <c r="Y1" s="73"/>
      <c r="Z1" s="73"/>
    </row>
    <row r="2">
      <c r="A2" s="74" t="s">
        <v>749</v>
      </c>
      <c r="B2" s="75" t="s">
        <v>980</v>
      </c>
      <c r="C2" s="76" t="str">
        <f>IFERROR(__xludf.DUMMYFUNCTION("IFERROR(
  FILTER(
    A2:B235,
    ( COUNTIF(STINGRAY!$A$2:$A$133, A2:A235)
    + COUNTIF(STINGRAY_INT!$D$2:$G$154, A2:A235)
    ) = 0
  ),
  ""All codes accounted for""
)"),"A2X")</f>
        <v>A2X</v>
      </c>
      <c r="D2" s="73" t="str">
        <f>IFERROR(__xludf.DUMMYFUNCTION("""COMPUTED_VALUE"""),"Seat adjuster, driver 8-way power")</f>
        <v>Seat adjuster, driver 8-way power</v>
      </c>
      <c r="E2" s="73" t="s">
        <v>720</v>
      </c>
      <c r="F2" s="73" t="s">
        <v>742</v>
      </c>
      <c r="G2" s="73" t="s">
        <v>813</v>
      </c>
      <c r="H2" s="73"/>
      <c r="I2" s="73"/>
      <c r="J2" s="73"/>
      <c r="K2" s="73"/>
      <c r="L2" s="73"/>
      <c r="M2" s="73"/>
      <c r="N2" s="73"/>
      <c r="O2" s="73"/>
      <c r="P2" s="73"/>
      <c r="Q2" s="73"/>
      <c r="R2" s="73"/>
      <c r="S2" s="73"/>
      <c r="T2" s="73"/>
      <c r="U2" s="73"/>
      <c r="V2" s="73"/>
      <c r="W2" s="73"/>
      <c r="X2" s="73"/>
      <c r="Y2" s="73"/>
      <c r="Z2" s="73"/>
    </row>
    <row r="3">
      <c r="A3" s="74" t="s">
        <v>981</v>
      </c>
      <c r="B3" s="77" t="s">
        <v>982</v>
      </c>
      <c r="C3" s="76" t="str">
        <f>IFERROR(__xludf.DUMMYFUNCTION("""COMPUTED_VALUE"""),"A7K")</f>
        <v>A7K</v>
      </c>
      <c r="D3" s="73" t="str">
        <f>IFERROR(__xludf.DUMMYFUNCTION("""COMPUTED_VALUE"""),"Seat adjuster, passenger 8-way power")</f>
        <v>Seat adjuster, passenger 8-way power</v>
      </c>
      <c r="E3" s="73" t="s">
        <v>720</v>
      </c>
      <c r="F3" s="73" t="s">
        <v>742</v>
      </c>
      <c r="G3" s="73" t="s">
        <v>813</v>
      </c>
      <c r="H3" s="73"/>
      <c r="I3" s="73"/>
      <c r="J3" s="73"/>
      <c r="K3" s="73"/>
      <c r="L3" s="73"/>
      <c r="M3" s="73"/>
      <c r="N3" s="73"/>
      <c r="O3" s="73"/>
      <c r="P3" s="73"/>
      <c r="Q3" s="73"/>
      <c r="R3" s="73"/>
      <c r="S3" s="73"/>
      <c r="T3" s="73"/>
      <c r="U3" s="73"/>
      <c r="V3" s="73"/>
      <c r="W3" s="73"/>
      <c r="X3" s="73"/>
      <c r="Y3" s="73"/>
      <c r="Z3" s="73"/>
    </row>
    <row r="4">
      <c r="A4" s="74" t="s">
        <v>751</v>
      </c>
      <c r="B4" s="77" t="s">
        <v>983</v>
      </c>
      <c r="C4" s="76" t="str">
        <f>IFERROR(__xludf.DUMMYFUNCTION("""COMPUTED_VALUE"""),"AHE")</f>
        <v>AHE</v>
      </c>
      <c r="D4" s="73" t="str">
        <f>IFERROR(__xludf.DUMMYFUNCTION("""COMPUTED_VALUE"""),"Seat adjuster, driver power bolster")</f>
        <v>Seat adjuster, driver power bolster</v>
      </c>
      <c r="E4" s="73"/>
      <c r="F4" s="72" t="s">
        <v>742</v>
      </c>
      <c r="G4" s="72" t="s">
        <v>813</v>
      </c>
      <c r="H4" s="73"/>
      <c r="I4" s="73"/>
      <c r="J4" s="73"/>
      <c r="K4" s="73"/>
      <c r="L4" s="73"/>
      <c r="M4" s="73"/>
      <c r="N4" s="73"/>
      <c r="O4" s="73"/>
      <c r="P4" s="73"/>
      <c r="Q4" s="73"/>
      <c r="R4" s="73"/>
      <c r="S4" s="73"/>
      <c r="T4" s="73"/>
      <c r="U4" s="73"/>
      <c r="V4" s="73"/>
      <c r="W4" s="73"/>
      <c r="X4" s="73"/>
      <c r="Y4" s="73"/>
      <c r="Z4" s="73"/>
    </row>
    <row r="5">
      <c r="A5" s="74" t="s">
        <v>746</v>
      </c>
      <c r="B5" s="77" t="s">
        <v>984</v>
      </c>
      <c r="C5" s="76" t="str">
        <f>IFERROR(__xludf.DUMMYFUNCTION("""COMPUTED_VALUE"""),"AHH")</f>
        <v>AHH</v>
      </c>
      <c r="D5" s="73" t="str">
        <f>IFERROR(__xludf.DUMMYFUNCTION("""COMPUTED_VALUE"""),"Seat adjuster, passenger power bolster")</f>
        <v>Seat adjuster, passenger power bolster</v>
      </c>
      <c r="E5" s="73"/>
      <c r="F5" s="73"/>
      <c r="G5" s="72" t="s">
        <v>813</v>
      </c>
      <c r="H5" s="73"/>
      <c r="I5" s="73"/>
      <c r="J5" s="73"/>
      <c r="K5" s="73"/>
      <c r="L5" s="73"/>
      <c r="M5" s="73"/>
      <c r="N5" s="73"/>
      <c r="O5" s="73"/>
      <c r="P5" s="73"/>
      <c r="Q5" s="73"/>
      <c r="R5" s="73"/>
      <c r="S5" s="73"/>
      <c r="T5" s="73"/>
      <c r="U5" s="73"/>
      <c r="V5" s="73"/>
      <c r="W5" s="73"/>
      <c r="X5" s="73"/>
      <c r="Y5" s="73"/>
      <c r="Z5" s="73"/>
    </row>
    <row r="6">
      <c r="A6" s="74" t="s">
        <v>967</v>
      </c>
      <c r="B6" s="77" t="s">
        <v>985</v>
      </c>
      <c r="C6" s="76" t="str">
        <f>IFERROR(__xludf.DUMMYFUNCTION("""COMPUTED_VALUE"""),"AJ7")</f>
        <v>AJ7</v>
      </c>
      <c r="D6" s="73" t="str">
        <f>IFERROR(__xludf.DUMMYFUNCTION("""COMPUTED_VALUE"""),"Airbags, frontal and side-impact, driver and passenger")</f>
        <v>Airbags, frontal and side-impact, driver and passenger</v>
      </c>
      <c r="E6" s="73" t="s">
        <v>720</v>
      </c>
      <c r="F6" s="73" t="s">
        <v>742</v>
      </c>
      <c r="G6" s="72" t="s">
        <v>813</v>
      </c>
      <c r="H6" s="73"/>
      <c r="I6" s="73"/>
      <c r="J6" s="73"/>
      <c r="K6" s="73"/>
      <c r="L6" s="73"/>
      <c r="M6" s="73"/>
      <c r="N6" s="73"/>
      <c r="O6" s="73"/>
      <c r="P6" s="73"/>
      <c r="Q6" s="73"/>
      <c r="R6" s="73"/>
      <c r="S6" s="73"/>
      <c r="T6" s="73"/>
      <c r="U6" s="73"/>
      <c r="V6" s="73"/>
      <c r="W6" s="73"/>
      <c r="X6" s="73"/>
      <c r="Y6" s="73"/>
      <c r="Z6" s="73"/>
    </row>
    <row r="7">
      <c r="A7" s="74" t="s">
        <v>5</v>
      </c>
      <c r="B7" s="77" t="s">
        <v>986</v>
      </c>
      <c r="C7" s="76" t="str">
        <f>IFERROR(__xludf.DUMMYFUNCTION("""COMPUTED_VALUE"""),"AL9")</f>
        <v>AL9</v>
      </c>
      <c r="D7" s="73" t="str">
        <f>IFERROR(__xludf.DUMMYFUNCTION("""COMPUTED_VALUE"""),"Seat adjuster, power driver lumbar control")</f>
        <v>Seat adjuster, power driver lumbar control</v>
      </c>
      <c r="E7" s="73"/>
      <c r="F7" s="72" t="s">
        <v>742</v>
      </c>
      <c r="G7" s="72" t="s">
        <v>813</v>
      </c>
      <c r="H7" s="73"/>
      <c r="I7" s="73"/>
      <c r="J7" s="73"/>
      <c r="K7" s="73"/>
      <c r="L7" s="73"/>
      <c r="M7" s="73"/>
      <c r="N7" s="73"/>
      <c r="O7" s="73"/>
      <c r="P7" s="73"/>
      <c r="Q7" s="73"/>
      <c r="R7" s="73"/>
      <c r="S7" s="73"/>
      <c r="T7" s="73"/>
      <c r="U7" s="73"/>
      <c r="V7" s="73"/>
      <c r="W7" s="73"/>
      <c r="X7" s="73"/>
      <c r="Y7" s="73"/>
      <c r="Z7" s="73"/>
    </row>
    <row r="8">
      <c r="A8" s="74" t="s">
        <v>972</v>
      </c>
      <c r="B8" s="77" t="s">
        <v>987</v>
      </c>
      <c r="C8" s="76" t="str">
        <f>IFERROR(__xludf.DUMMYFUNCTION("""COMPUTED_VALUE"""),"AP9")</f>
        <v>AP9</v>
      </c>
      <c r="D8" s="73" t="str">
        <f>IFERROR(__xludf.DUMMYFUNCTION("""COMPUTED_VALUE"""),"Cargo nets")</f>
        <v>Cargo nets</v>
      </c>
      <c r="E8" s="73"/>
      <c r="F8" s="72" t="s">
        <v>742</v>
      </c>
      <c r="G8" s="72" t="s">
        <v>813</v>
      </c>
      <c r="H8" s="73"/>
      <c r="I8" s="73"/>
      <c r="J8" s="73"/>
      <c r="K8" s="73"/>
      <c r="L8" s="73"/>
      <c r="M8" s="73"/>
      <c r="N8" s="73"/>
      <c r="O8" s="73"/>
      <c r="P8" s="73"/>
      <c r="Q8" s="73"/>
      <c r="R8" s="73"/>
      <c r="S8" s="73"/>
      <c r="T8" s="73"/>
      <c r="U8" s="73"/>
      <c r="V8" s="73"/>
      <c r="W8" s="73"/>
      <c r="X8" s="73"/>
      <c r="Y8" s="73"/>
      <c r="Z8" s="73"/>
    </row>
    <row r="9">
      <c r="A9" s="74" t="s">
        <v>974</v>
      </c>
      <c r="B9" s="77" t="s">
        <v>988</v>
      </c>
      <c r="C9" s="76" t="str">
        <f>IFERROR(__xludf.DUMMYFUNCTION("""COMPUTED_VALUE"""),"AQA")</f>
        <v>AQA</v>
      </c>
      <c r="D9" s="73" t="str">
        <f>IFERROR(__xludf.DUMMYFUNCTION("""COMPUTED_VALUE"""),"Memory Driver and Passenger Convenience Package")</f>
        <v>Memory Driver and Passenger Convenience Package</v>
      </c>
      <c r="E9" s="73"/>
      <c r="F9" s="72" t="s">
        <v>742</v>
      </c>
      <c r="G9" s="72" t="s">
        <v>813</v>
      </c>
      <c r="H9" s="73"/>
      <c r="I9" s="73"/>
      <c r="J9" s="73"/>
      <c r="K9" s="73"/>
      <c r="L9" s="73"/>
      <c r="M9" s="73"/>
      <c r="N9" s="73"/>
      <c r="O9" s="73"/>
      <c r="P9" s="73"/>
      <c r="Q9" s="73"/>
      <c r="R9" s="73"/>
      <c r="S9" s="73"/>
      <c r="T9" s="73"/>
      <c r="U9" s="73"/>
      <c r="V9" s="73"/>
      <c r="W9" s="73"/>
      <c r="X9" s="73"/>
      <c r="Y9" s="73"/>
      <c r="Z9" s="73"/>
    </row>
    <row r="10">
      <c r="A10" s="74" t="s">
        <v>74</v>
      </c>
      <c r="B10" s="77" t="s">
        <v>989</v>
      </c>
      <c r="C10" s="76" t="str">
        <f>IFERROR(__xludf.DUMMYFUNCTION("""COMPUTED_VALUE"""),"AT9")</f>
        <v>AT9</v>
      </c>
      <c r="D10" s="73" t="str">
        <f>IFERROR(__xludf.DUMMYFUNCTION("""COMPUTED_VALUE"""),"Seat adjuster, power passenger lumbar control")</f>
        <v>Seat adjuster, power passenger lumbar control</v>
      </c>
      <c r="E10" s="73"/>
      <c r="F10" s="72" t="s">
        <v>742</v>
      </c>
      <c r="G10" s="72" t="s">
        <v>813</v>
      </c>
      <c r="H10" s="73"/>
      <c r="I10" s="73"/>
      <c r="J10" s="73"/>
      <c r="K10" s="73"/>
      <c r="L10" s="73"/>
      <c r="M10" s="73"/>
      <c r="N10" s="73"/>
      <c r="O10" s="73"/>
      <c r="P10" s="73"/>
      <c r="Q10" s="73"/>
      <c r="R10" s="73"/>
      <c r="S10" s="73"/>
      <c r="T10" s="73"/>
      <c r="U10" s="73"/>
      <c r="V10" s="73"/>
      <c r="W10" s="73"/>
      <c r="X10" s="73"/>
      <c r="Y10" s="73"/>
      <c r="Z10" s="73"/>
    </row>
    <row r="11">
      <c r="A11" s="74" t="s">
        <v>80</v>
      </c>
      <c r="B11" s="77" t="s">
        <v>990</v>
      </c>
      <c r="C11" s="76" t="str">
        <f>IFERROR(__xludf.DUMMYFUNCTION("""COMPUTED_VALUE"""),"B4Z")</f>
        <v>B4Z</v>
      </c>
      <c r="D11" s="73" t="str">
        <f>IFERROR(__xludf.DUMMYFUNCTION("""COMPUTED_VALUE"""),"Performance Traction Management")</f>
        <v>Performance Traction Management</v>
      </c>
      <c r="E11" s="73"/>
      <c r="F11" s="73"/>
      <c r="G11" s="73"/>
      <c r="H11" s="72" t="s">
        <v>242</v>
      </c>
      <c r="I11" s="73"/>
      <c r="J11" s="73"/>
      <c r="K11" s="73"/>
      <c r="L11" s="73"/>
      <c r="M11" s="73"/>
      <c r="N11" s="73"/>
      <c r="O11" s="73"/>
      <c r="P11" s="73"/>
      <c r="Q11" s="73"/>
      <c r="R11" s="73"/>
      <c r="S11" s="73"/>
      <c r="T11" s="73"/>
      <c r="U11" s="73"/>
      <c r="V11" s="73"/>
      <c r="W11" s="73"/>
      <c r="X11" s="73"/>
      <c r="Y11" s="73"/>
      <c r="Z11" s="73"/>
    </row>
    <row r="12">
      <c r="A12" s="74" t="s">
        <v>84</v>
      </c>
      <c r="B12" s="77" t="s">
        <v>991</v>
      </c>
      <c r="C12" s="76" t="str">
        <f>IFERROR(__xludf.DUMMYFUNCTION("""COMPUTED_VALUE"""),"CFX")</f>
        <v>CFX</v>
      </c>
      <c r="D12" s="73" t="str">
        <f>IFERROR(__xludf.DUMMYFUNCTION("""COMPUTED_VALUE"""),"Plaque, personalized with Corvette Museum logo")</f>
        <v>Plaque, personalized with Corvette Museum logo</v>
      </c>
      <c r="E12" s="73"/>
      <c r="F12" s="73"/>
      <c r="G12" s="73"/>
      <c r="H12" s="72" t="s">
        <v>331</v>
      </c>
      <c r="I12" s="73"/>
      <c r="J12" s="73"/>
      <c r="K12" s="73"/>
      <c r="L12" s="73"/>
      <c r="M12" s="73"/>
      <c r="N12" s="73"/>
      <c r="O12" s="73"/>
      <c r="P12" s="73"/>
      <c r="Q12" s="73"/>
      <c r="R12" s="73"/>
      <c r="S12" s="73"/>
      <c r="T12" s="73"/>
      <c r="U12" s="73"/>
      <c r="V12" s="73"/>
      <c r="W12" s="73"/>
      <c r="X12" s="73"/>
      <c r="Y12" s="73"/>
      <c r="Z12" s="73"/>
    </row>
    <row r="13">
      <c r="A13" s="74" t="s">
        <v>95</v>
      </c>
      <c r="B13" s="77" t="s">
        <v>992</v>
      </c>
      <c r="C13" s="76" t="str">
        <f>IFERROR(__xludf.DUMMYFUNCTION("""COMPUTED_VALUE"""),"CJ2")</f>
        <v>CJ2</v>
      </c>
      <c r="D13" s="73" t="str">
        <f>IFERROR(__xludf.DUMMYFUNCTION("""COMPUTED_VALUE"""),"Air conditioning, dual-zone automatic climate control")</f>
        <v>Air conditioning, dual-zone automatic climate control</v>
      </c>
      <c r="E13" s="73" t="s">
        <v>720</v>
      </c>
      <c r="F13" s="73" t="s">
        <v>742</v>
      </c>
      <c r="G13" s="73" t="s">
        <v>813</v>
      </c>
      <c r="H13" s="73"/>
      <c r="I13" s="73"/>
      <c r="J13" s="73"/>
      <c r="K13" s="73"/>
      <c r="L13" s="73"/>
      <c r="M13" s="73"/>
      <c r="N13" s="73"/>
      <c r="O13" s="73"/>
      <c r="P13" s="73"/>
      <c r="Q13" s="73"/>
      <c r="R13" s="73"/>
      <c r="S13" s="73"/>
      <c r="T13" s="73"/>
      <c r="U13" s="73"/>
      <c r="V13" s="73"/>
      <c r="W13" s="73"/>
      <c r="X13" s="73"/>
      <c r="Y13" s="73"/>
      <c r="Z13" s="73"/>
    </row>
    <row r="14">
      <c r="A14" s="74" t="s">
        <v>101</v>
      </c>
      <c r="B14" s="77" t="s">
        <v>993</v>
      </c>
      <c r="C14" s="76" t="str">
        <f>IFERROR(__xludf.DUMMYFUNCTION("""COMPUTED_VALUE"""),"DRG")</f>
        <v>DRG</v>
      </c>
      <c r="D14" s="73" t="str">
        <f>IFERROR(__xludf.DUMMYFUNCTION("""COMPUTED_VALUE"""),"Mirrors, outside, Carbon Flash Metallic-painted")</f>
        <v>Mirrors, outside, Carbon Flash Metallic-painted</v>
      </c>
      <c r="E14" s="73"/>
      <c r="F14" s="73"/>
      <c r="G14" s="73"/>
      <c r="H14" s="72" t="s">
        <v>994</v>
      </c>
      <c r="I14" s="73"/>
      <c r="J14" s="73"/>
      <c r="K14" s="73"/>
      <c r="L14" s="73"/>
      <c r="M14" s="73"/>
      <c r="N14" s="73"/>
      <c r="O14" s="73"/>
      <c r="P14" s="73"/>
      <c r="Q14" s="73"/>
      <c r="R14" s="73"/>
      <c r="S14" s="73"/>
      <c r="T14" s="73"/>
      <c r="U14" s="73"/>
      <c r="V14" s="73"/>
      <c r="W14" s="73"/>
      <c r="X14" s="73"/>
      <c r="Y14" s="73"/>
      <c r="Z14" s="73"/>
    </row>
    <row r="15">
      <c r="A15" s="74" t="s">
        <v>104</v>
      </c>
      <c r="B15" s="77" t="s">
        <v>995</v>
      </c>
      <c r="C15" s="76" t="str">
        <f>IFERROR(__xludf.DUMMYFUNCTION("""COMPUTED_VALUE"""),"DRZ")</f>
        <v>DRZ</v>
      </c>
      <c r="D15" s="73" t="str">
        <f>IFERROR(__xludf.DUMMYFUNCTION("""COMPUTED_VALUE"""),"Rear Camera Mirror")</f>
        <v>Rear Camera Mirror</v>
      </c>
      <c r="E15" s="72">
        <v>1.0</v>
      </c>
      <c r="F15" s="72">
        <v>2.0</v>
      </c>
      <c r="G15" s="72">
        <v>3.0</v>
      </c>
      <c r="H15" s="73"/>
      <c r="I15" s="73"/>
      <c r="J15" s="73"/>
      <c r="K15" s="73"/>
      <c r="L15" s="73"/>
      <c r="M15" s="73"/>
      <c r="N15" s="73"/>
      <c r="O15" s="73"/>
      <c r="P15" s="73"/>
      <c r="Q15" s="73"/>
      <c r="R15" s="73"/>
      <c r="S15" s="73"/>
      <c r="T15" s="73"/>
      <c r="U15" s="73"/>
      <c r="V15" s="73"/>
      <c r="W15" s="73"/>
      <c r="X15" s="73"/>
      <c r="Y15" s="73"/>
      <c r="Z15" s="73"/>
    </row>
    <row r="16">
      <c r="A16" s="74" t="s">
        <v>107</v>
      </c>
      <c r="B16" s="77" t="s">
        <v>996</v>
      </c>
      <c r="C16" s="76" t="str">
        <f>IFERROR(__xludf.DUMMYFUNCTION("""COMPUTED_VALUE"""),"DWK")</f>
        <v>DWK</v>
      </c>
      <c r="D16" s="73" t="str">
        <f>IFERROR(__xludf.DUMMYFUNCTION("""COMPUTED_VALUE"""),"Mirrors, outside heated, power-adjustable")</f>
        <v>Mirrors, outside heated, power-adjustable</v>
      </c>
      <c r="E16" s="72">
        <v>1.0</v>
      </c>
      <c r="F16" s="72"/>
      <c r="G16" s="72"/>
      <c r="H16" s="73"/>
      <c r="I16" s="73"/>
      <c r="J16" s="73"/>
      <c r="K16" s="73"/>
      <c r="L16" s="73"/>
      <c r="M16" s="73"/>
      <c r="N16" s="73"/>
      <c r="O16" s="73"/>
      <c r="P16" s="73"/>
      <c r="Q16" s="73"/>
      <c r="R16" s="73"/>
      <c r="S16" s="73"/>
      <c r="T16" s="73"/>
      <c r="U16" s="73"/>
      <c r="V16" s="73"/>
      <c r="W16" s="73"/>
      <c r="X16" s="73"/>
      <c r="Y16" s="73"/>
      <c r="Z16" s="73"/>
    </row>
    <row r="17">
      <c r="A17" s="74" t="s">
        <v>113</v>
      </c>
      <c r="B17" s="77" t="s">
        <v>997</v>
      </c>
      <c r="C17" s="76" t="str">
        <f>IFERROR(__xludf.DUMMYFUNCTION("""COMPUTED_VALUE"""),"DYX")</f>
        <v>DYX</v>
      </c>
      <c r="D17" s="73" t="str">
        <f>IFERROR(__xludf.DUMMYFUNCTION("""COMPUTED_VALUE"""),"Mirrors, outside heated, power-adjustable")</f>
        <v>Mirrors, outside heated, power-adjustable</v>
      </c>
      <c r="E17" s="73"/>
      <c r="F17" s="72">
        <v>2.0</v>
      </c>
      <c r="G17" s="72">
        <v>3.0</v>
      </c>
      <c r="H17" s="73"/>
      <c r="I17" s="73"/>
      <c r="J17" s="73"/>
      <c r="K17" s="73"/>
      <c r="L17" s="73"/>
      <c r="M17" s="73"/>
      <c r="N17" s="73"/>
      <c r="O17" s="73"/>
      <c r="P17" s="73"/>
      <c r="Q17" s="73"/>
      <c r="R17" s="73"/>
      <c r="S17" s="73"/>
      <c r="T17" s="73"/>
      <c r="U17" s="73"/>
      <c r="V17" s="73"/>
      <c r="W17" s="73"/>
      <c r="X17" s="73"/>
      <c r="Y17" s="73"/>
      <c r="Z17" s="73"/>
    </row>
    <row r="18">
      <c r="A18" s="74" t="s">
        <v>118</v>
      </c>
      <c r="B18" s="77" t="s">
        <v>998</v>
      </c>
      <c r="C18" s="76" t="str">
        <f>IFERROR(__xludf.DUMMYFUNCTION("""COMPUTED_VALUE"""),"FE1")</f>
        <v>FE1</v>
      </c>
      <c r="D18" s="73" t="str">
        <f>IFERROR(__xludf.DUMMYFUNCTION("""COMPUTED_VALUE"""),"Suspension, Corvette standard")</f>
        <v>Suspension, Corvette standard</v>
      </c>
      <c r="E18" s="73"/>
      <c r="F18" s="73"/>
      <c r="G18" s="73"/>
      <c r="H18" s="73"/>
      <c r="I18" s="73"/>
      <c r="J18" s="73"/>
      <c r="K18" s="73"/>
      <c r="L18" s="73"/>
      <c r="M18" s="73"/>
      <c r="N18" s="73"/>
      <c r="O18" s="73"/>
      <c r="P18" s="73"/>
      <c r="Q18" s="73"/>
      <c r="R18" s="73"/>
      <c r="S18" s="73"/>
      <c r="T18" s="73"/>
      <c r="U18" s="73"/>
      <c r="V18" s="73"/>
      <c r="W18" s="73"/>
      <c r="X18" s="73"/>
      <c r="Y18" s="73"/>
      <c r="Z18" s="73"/>
    </row>
    <row r="19">
      <c r="A19" s="74" t="s">
        <v>999</v>
      </c>
      <c r="B19" s="77" t="s">
        <v>1000</v>
      </c>
      <c r="C19" s="76" t="str">
        <f>IFERROR(__xludf.DUMMYFUNCTION("""COMPUTED_VALUE"""),"FE3")</f>
        <v>FE3</v>
      </c>
      <c r="D19" s="73" t="str">
        <f>IFERROR(__xludf.DUMMYFUNCTION("""COMPUTED_VALUE"""),"Suspension, Z51 performance")</f>
        <v>Suspension, Z51 performance</v>
      </c>
      <c r="E19" s="73"/>
      <c r="F19" s="73"/>
      <c r="G19" s="73"/>
      <c r="H19" s="73"/>
      <c r="I19" s="73"/>
      <c r="J19" s="73"/>
      <c r="K19" s="73"/>
      <c r="L19" s="73"/>
      <c r="M19" s="73"/>
      <c r="N19" s="73"/>
      <c r="O19" s="73"/>
      <c r="P19" s="73"/>
      <c r="Q19" s="73"/>
      <c r="R19" s="73"/>
      <c r="S19" s="73"/>
      <c r="T19" s="73"/>
      <c r="U19" s="73"/>
      <c r="V19" s="73"/>
      <c r="W19" s="73"/>
      <c r="X19" s="73"/>
      <c r="Y19" s="73"/>
      <c r="Z19" s="73"/>
    </row>
    <row r="20">
      <c r="A20" s="74" t="s">
        <v>1001</v>
      </c>
      <c r="B20" s="77" t="s">
        <v>1002</v>
      </c>
      <c r="C20" s="76" t="str">
        <f>IFERROR(__xludf.DUMMYFUNCTION("""COMPUTED_VALUE"""),"FE9")</f>
        <v>FE9</v>
      </c>
      <c r="D20" s="73" t="str">
        <f>IFERROR(__xludf.DUMMYFUNCTION("""COMPUTED_VALUE"""),"Emissions, Federal requirements")</f>
        <v>Emissions, Federal requirements</v>
      </c>
      <c r="E20" s="73"/>
      <c r="F20" s="73"/>
      <c r="G20" s="73"/>
      <c r="H20" s="73"/>
      <c r="I20" s="73"/>
      <c r="J20" s="73"/>
      <c r="K20" s="73"/>
      <c r="L20" s="73"/>
      <c r="M20" s="73"/>
      <c r="N20" s="73"/>
      <c r="O20" s="73"/>
      <c r="P20" s="73"/>
      <c r="Q20" s="73"/>
      <c r="R20" s="73"/>
      <c r="S20" s="73"/>
      <c r="T20" s="73"/>
      <c r="U20" s="73"/>
      <c r="V20" s="73"/>
      <c r="W20" s="73"/>
      <c r="X20" s="73"/>
      <c r="Y20" s="73"/>
      <c r="Z20" s="73"/>
    </row>
    <row r="21">
      <c r="A21" s="74" t="s">
        <v>1003</v>
      </c>
      <c r="B21" s="77" t="s">
        <v>1004</v>
      </c>
      <c r="C21" s="76" t="str">
        <f>IFERROR(__xludf.DUMMYFUNCTION("""COMPUTED_VALUE"""),"G0J")</f>
        <v>G0J</v>
      </c>
      <c r="D21" s="73" t="str">
        <f>IFERROR(__xludf.DUMMYFUNCTION("""COMPUTED_VALUE"""),"Differential, mechanical limited-slip")</f>
        <v>Differential, mechanical limited-slip</v>
      </c>
      <c r="E21" s="73"/>
      <c r="F21" s="73"/>
      <c r="G21" s="73"/>
      <c r="H21" s="73"/>
      <c r="I21" s="73"/>
      <c r="J21" s="73"/>
      <c r="K21" s="73"/>
      <c r="L21" s="73"/>
      <c r="M21" s="73"/>
      <c r="N21" s="73"/>
      <c r="O21" s="73"/>
      <c r="P21" s="73"/>
      <c r="Q21" s="73"/>
      <c r="R21" s="73"/>
      <c r="S21" s="73"/>
      <c r="T21" s="73"/>
      <c r="U21" s="73"/>
      <c r="V21" s="73"/>
      <c r="W21" s="73"/>
      <c r="X21" s="73"/>
      <c r="Y21" s="73"/>
      <c r="Z21" s="73"/>
    </row>
    <row r="22">
      <c r="A22" s="74" t="s">
        <v>726</v>
      </c>
      <c r="B22" s="77" t="s">
        <v>1005</v>
      </c>
      <c r="C22" s="76" t="str">
        <f>IFERROR(__xludf.DUMMYFUNCTION("""COMPUTED_VALUE"""),"G96")</f>
        <v>G96</v>
      </c>
      <c r="D22" s="73" t="str">
        <f>IFERROR(__xludf.DUMMYFUNCTION("""COMPUTED_VALUE"""),"Differential, electronic limited-slip")</f>
        <v>Differential, electronic limited-slip</v>
      </c>
      <c r="E22" s="73"/>
      <c r="F22" s="73"/>
      <c r="G22" s="73"/>
      <c r="H22" s="73"/>
      <c r="I22" s="73"/>
      <c r="J22" s="73"/>
      <c r="K22" s="73"/>
      <c r="L22" s="73"/>
      <c r="M22" s="73"/>
      <c r="N22" s="73"/>
      <c r="O22" s="73"/>
      <c r="P22" s="73"/>
      <c r="Q22" s="73"/>
      <c r="R22" s="73"/>
      <c r="S22" s="73"/>
      <c r="T22" s="73"/>
      <c r="U22" s="73"/>
      <c r="V22" s="73"/>
      <c r="W22" s="73"/>
      <c r="X22" s="73"/>
      <c r="Y22" s="73"/>
      <c r="Z22" s="73"/>
    </row>
    <row r="23">
      <c r="A23" s="74" t="s">
        <v>753</v>
      </c>
      <c r="B23" s="77" t="s">
        <v>1006</v>
      </c>
      <c r="C23" s="76" t="str">
        <f>IFERROR(__xludf.DUMMYFUNCTION("""COMPUTED_VALUE"""),"GM7")</f>
        <v>GM7</v>
      </c>
      <c r="D23" s="73" t="str">
        <f>IFERROR(__xludf.DUMMYFUNCTION("""COMPUTED_VALUE"""),"Rear axle, performance ratio")</f>
        <v>Rear axle, performance ratio</v>
      </c>
      <c r="E23" s="73"/>
      <c r="F23" s="73"/>
      <c r="G23" s="73"/>
      <c r="H23" s="73"/>
      <c r="I23" s="73"/>
      <c r="J23" s="73"/>
      <c r="K23" s="73"/>
      <c r="L23" s="73"/>
      <c r="M23" s="73"/>
      <c r="N23" s="73"/>
      <c r="O23" s="73"/>
      <c r="P23" s="73"/>
      <c r="Q23" s="73"/>
      <c r="R23" s="73"/>
      <c r="S23" s="73"/>
      <c r="T23" s="73"/>
      <c r="U23" s="73"/>
      <c r="V23" s="73"/>
      <c r="W23" s="73"/>
      <c r="X23" s="73"/>
      <c r="Y23" s="73"/>
      <c r="Z23" s="73"/>
    </row>
    <row r="24">
      <c r="A24" s="74" t="s">
        <v>1007</v>
      </c>
      <c r="B24" s="77" t="s">
        <v>1008</v>
      </c>
      <c r="C24" s="76" t="str">
        <f>IFERROR(__xludf.DUMMYFUNCTION("""COMPUTED_VALUE"""),"IVE")</f>
        <v>IVE</v>
      </c>
      <c r="D24" s="73" t="str">
        <f>IFERROR(__xludf.DUMMYFUNCTION("""COMPUTED_VALUE"""),"NEW!  Infotainment system with Google Built-In")</f>
        <v>NEW!  Infotainment system with Google Built-In</v>
      </c>
      <c r="E24" s="73"/>
      <c r="F24" s="73"/>
      <c r="G24" s="73"/>
      <c r="H24" s="73"/>
      <c r="I24" s="73"/>
      <c r="J24" s="73"/>
      <c r="K24" s="73"/>
      <c r="L24" s="73"/>
      <c r="M24" s="73"/>
      <c r="N24" s="73"/>
      <c r="O24" s="73"/>
      <c r="P24" s="73"/>
      <c r="Q24" s="73"/>
      <c r="R24" s="73"/>
      <c r="S24" s="73"/>
      <c r="T24" s="73"/>
      <c r="U24" s="73"/>
      <c r="V24" s="73"/>
      <c r="W24" s="73"/>
      <c r="X24" s="73"/>
      <c r="Y24" s="73"/>
      <c r="Z24" s="73"/>
    </row>
    <row r="25">
      <c r="A25" s="74" t="s">
        <v>1009</v>
      </c>
      <c r="B25" s="77" t="s">
        <v>1010</v>
      </c>
      <c r="C25" s="76" t="str">
        <f>IFERROR(__xludf.DUMMYFUNCTION("""COMPUTED_VALUE"""),"IWE")</f>
        <v>IWE</v>
      </c>
      <c r="D25" s="73" t="str">
        <f>IFERROR(__xludf.DUMMYFUNCTION("""COMPUTED_VALUE"""),"Sueded Microfiber-Wrapped Upper Interior Trim Package")</f>
        <v>Sueded Microfiber-Wrapped Upper Interior Trim Package</v>
      </c>
      <c r="E25" s="73"/>
      <c r="F25" s="73"/>
      <c r="G25" s="73"/>
      <c r="H25" s="73"/>
      <c r="I25" s="73"/>
      <c r="J25" s="73"/>
      <c r="K25" s="73"/>
      <c r="L25" s="73"/>
      <c r="M25" s="73"/>
      <c r="N25" s="73"/>
      <c r="O25" s="73"/>
      <c r="P25" s="73"/>
      <c r="Q25" s="73"/>
      <c r="R25" s="73"/>
      <c r="S25" s="73"/>
      <c r="T25" s="73"/>
      <c r="U25" s="73"/>
      <c r="V25" s="73"/>
      <c r="W25" s="73"/>
      <c r="X25" s="73"/>
      <c r="Y25" s="73"/>
      <c r="Z25" s="73"/>
    </row>
    <row r="26">
      <c r="A26" s="74" t="s">
        <v>1011</v>
      </c>
      <c r="B26" s="77" t="s">
        <v>1012</v>
      </c>
      <c r="C26" s="76" t="str">
        <f>IFERROR(__xludf.DUMMYFUNCTION("""COMPUTED_VALUE"""),"J55")</f>
        <v>J55</v>
      </c>
      <c r="D26" s="73" t="str">
        <f>IFERROR(__xludf.DUMMYFUNCTION("""COMPUTED_VALUE"""),"Brakes, Z51 performance")</f>
        <v>Brakes, Z51 performance</v>
      </c>
      <c r="E26" s="73"/>
      <c r="F26" s="73"/>
      <c r="G26" s="73"/>
      <c r="H26" s="73"/>
      <c r="I26" s="73"/>
      <c r="J26" s="73"/>
      <c r="K26" s="73"/>
      <c r="L26" s="73"/>
      <c r="M26" s="73"/>
      <c r="N26" s="73"/>
      <c r="O26" s="73"/>
      <c r="P26" s="73"/>
      <c r="Q26" s="73"/>
      <c r="R26" s="73"/>
      <c r="S26" s="73"/>
      <c r="T26" s="73"/>
      <c r="U26" s="73"/>
      <c r="V26" s="73"/>
      <c r="W26" s="73"/>
      <c r="X26" s="73"/>
      <c r="Y26" s="73"/>
      <c r="Z26" s="73"/>
    </row>
    <row r="27">
      <c r="A27" s="74" t="s">
        <v>1013</v>
      </c>
      <c r="B27" s="77" t="s">
        <v>1014</v>
      </c>
      <c r="C27" s="76" t="str">
        <f>IFERROR(__xludf.DUMMYFUNCTION("""COMPUTED_VALUE"""),"JL9")</f>
        <v>JL9</v>
      </c>
      <c r="D27" s="73" t="str">
        <f>IFERROR(__xludf.DUMMYFUNCTION("""COMPUTED_VALUE"""),"Brakes, 4-wheel antilock, 4-wheel disc")</f>
        <v>Brakes, 4-wheel antilock, 4-wheel disc</v>
      </c>
      <c r="E27" s="73"/>
      <c r="F27" s="73"/>
      <c r="G27" s="73"/>
      <c r="H27" s="73"/>
      <c r="I27" s="73"/>
      <c r="J27" s="73"/>
      <c r="K27" s="73"/>
      <c r="L27" s="73"/>
      <c r="M27" s="73"/>
      <c r="N27" s="73"/>
      <c r="O27" s="73"/>
      <c r="P27" s="73"/>
      <c r="Q27" s="73"/>
      <c r="R27" s="73"/>
      <c r="S27" s="73"/>
      <c r="T27" s="73"/>
      <c r="U27" s="73"/>
      <c r="V27" s="73"/>
      <c r="W27" s="73"/>
      <c r="X27" s="73"/>
      <c r="Y27" s="73"/>
      <c r="Z27" s="73"/>
    </row>
    <row r="28">
      <c r="A28" s="74" t="s">
        <v>1015</v>
      </c>
      <c r="B28" s="77" t="s">
        <v>1016</v>
      </c>
      <c r="C28" s="76" t="str">
        <f>IFERROR(__xludf.DUMMYFUNCTION("""COMPUTED_VALUE"""),"K7A")</f>
        <v>K7A</v>
      </c>
      <c r="D28" s="73" t="str">
        <f>IFERROR(__xludf.DUMMYFUNCTION("""COMPUTED_VALUE"""),"NEW!  Wireless Phone Charging")</f>
        <v>NEW!  Wireless Phone Charging</v>
      </c>
      <c r="E28" s="73"/>
      <c r="F28" s="73"/>
      <c r="G28" s="73"/>
      <c r="H28" s="73"/>
      <c r="I28" s="73"/>
      <c r="J28" s="73"/>
      <c r="K28" s="73"/>
      <c r="L28" s="73"/>
      <c r="M28" s="73"/>
      <c r="N28" s="73"/>
      <c r="O28" s="73"/>
      <c r="P28" s="73"/>
      <c r="Q28" s="73"/>
      <c r="R28" s="73"/>
      <c r="S28" s="73"/>
      <c r="T28" s="73"/>
      <c r="U28" s="73"/>
      <c r="V28" s="73"/>
      <c r="W28" s="73"/>
      <c r="X28" s="73"/>
      <c r="Y28" s="73"/>
      <c r="Z28" s="73"/>
    </row>
    <row r="29">
      <c r="A29" s="74" t="s">
        <v>721</v>
      </c>
      <c r="B29" s="77" t="s">
        <v>1017</v>
      </c>
      <c r="C29" s="76" t="str">
        <f>IFERROR(__xludf.DUMMYFUNCTION("""COMPUTED_VALUE"""),"K7B")</f>
        <v>K7B</v>
      </c>
      <c r="D29" s="73" t="str">
        <f>IFERROR(__xludf.DUMMYFUNCTION("""COMPUTED_VALUE"""),"NEW!  Wireless Phone Charging")</f>
        <v>NEW!  Wireless Phone Charging</v>
      </c>
      <c r="E29" s="73"/>
      <c r="F29" s="73"/>
      <c r="G29" s="73"/>
      <c r="H29" s="73"/>
      <c r="I29" s="73"/>
      <c r="J29" s="73"/>
      <c r="K29" s="73"/>
      <c r="L29" s="73"/>
      <c r="M29" s="73"/>
      <c r="N29" s="73"/>
      <c r="O29" s="73"/>
      <c r="P29" s="73"/>
      <c r="Q29" s="73"/>
      <c r="R29" s="73"/>
      <c r="S29" s="73"/>
      <c r="T29" s="73"/>
      <c r="U29" s="73"/>
      <c r="V29" s="73"/>
      <c r="W29" s="73"/>
      <c r="X29" s="73"/>
      <c r="Y29" s="73"/>
      <c r="Z29" s="73"/>
    </row>
    <row r="30">
      <c r="A30" s="74" t="s">
        <v>1018</v>
      </c>
      <c r="B30" s="77" t="s">
        <v>1019</v>
      </c>
      <c r="C30" s="76" t="str">
        <f>IFERROR(__xludf.DUMMYFUNCTION("""COMPUTED_VALUE"""),"KI3")</f>
        <v>KI3</v>
      </c>
      <c r="D30" s="73" t="str">
        <f>IFERROR(__xludf.DUMMYFUNCTION("""COMPUTED_VALUE"""),"Steering wheel, heated")</f>
        <v>Steering wheel, heated</v>
      </c>
      <c r="E30" s="73"/>
      <c r="F30" s="73"/>
      <c r="G30" s="73"/>
      <c r="H30" s="73"/>
      <c r="I30" s="73"/>
      <c r="J30" s="73"/>
      <c r="K30" s="73"/>
      <c r="L30" s="73"/>
      <c r="M30" s="73"/>
      <c r="N30" s="73"/>
      <c r="O30" s="73"/>
      <c r="P30" s="73"/>
      <c r="Q30" s="73"/>
      <c r="R30" s="73"/>
      <c r="S30" s="73"/>
      <c r="T30" s="73"/>
      <c r="U30" s="73"/>
      <c r="V30" s="73"/>
      <c r="W30" s="73"/>
      <c r="X30" s="73"/>
      <c r="Y30" s="73"/>
      <c r="Z30" s="73"/>
    </row>
    <row r="31">
      <c r="A31" s="74" t="s">
        <v>1020</v>
      </c>
      <c r="B31" s="77" t="s">
        <v>1021</v>
      </c>
      <c r="C31" s="76" t="str">
        <f>IFERROR(__xludf.DUMMYFUNCTION("""COMPUTED_VALUE"""),"KQV")</f>
        <v>KQV</v>
      </c>
      <c r="D31" s="73" t="str">
        <f>IFERROR(__xludf.DUMMYFUNCTION("""COMPUTED_VALUE"""),"Seats, heated and vented driver and passenger")</f>
        <v>Seats, heated and vented driver and passenger</v>
      </c>
      <c r="E31" s="73"/>
      <c r="F31" s="73"/>
      <c r="G31" s="73"/>
      <c r="H31" s="73"/>
      <c r="I31" s="73"/>
      <c r="J31" s="73"/>
      <c r="K31" s="73"/>
      <c r="L31" s="73"/>
      <c r="M31" s="73"/>
      <c r="N31" s="73"/>
      <c r="O31" s="73"/>
      <c r="P31" s="73"/>
      <c r="Q31" s="73"/>
      <c r="R31" s="73"/>
      <c r="S31" s="73"/>
      <c r="T31" s="73"/>
      <c r="U31" s="73"/>
      <c r="V31" s="73"/>
      <c r="W31" s="73"/>
      <c r="X31" s="73"/>
      <c r="Y31" s="73"/>
      <c r="Z31" s="73"/>
    </row>
    <row r="32">
      <c r="A32" s="74" t="s">
        <v>822</v>
      </c>
      <c r="B32" s="77" t="s">
        <v>1022</v>
      </c>
      <c r="C32" s="76" t="str">
        <f>IFERROR(__xludf.DUMMYFUNCTION("""COMPUTED_VALUE"""),"LT2")</f>
        <v>LT2</v>
      </c>
      <c r="D32" s="73" t="str">
        <f>IFERROR(__xludf.DUMMYFUNCTION("""COMPUTED_VALUE"""),"Engine, 6.2L V8 DI")</f>
        <v>Engine, 6.2L V8 DI</v>
      </c>
      <c r="E32" s="73"/>
      <c r="F32" s="73"/>
      <c r="G32" s="73"/>
      <c r="H32" s="73"/>
      <c r="I32" s="73"/>
      <c r="J32" s="73"/>
      <c r="K32" s="73"/>
      <c r="L32" s="73"/>
      <c r="M32" s="73"/>
      <c r="N32" s="73"/>
      <c r="O32" s="73"/>
      <c r="P32" s="73"/>
      <c r="Q32" s="73"/>
      <c r="R32" s="73"/>
      <c r="S32" s="73"/>
      <c r="T32" s="73"/>
      <c r="U32" s="73"/>
      <c r="V32" s="73"/>
      <c r="W32" s="73"/>
      <c r="X32" s="73"/>
      <c r="Y32" s="73"/>
      <c r="Z32" s="73"/>
    </row>
    <row r="33">
      <c r="A33" s="74" t="s">
        <v>1023</v>
      </c>
      <c r="B33" s="77" t="s">
        <v>1024</v>
      </c>
      <c r="C33" s="76" t="str">
        <f>IFERROR(__xludf.DUMMYFUNCTION("""COMPUTED_VALUE"""),"M1L")</f>
        <v>M1L</v>
      </c>
      <c r="D33" s="73" t="str">
        <f>IFERROR(__xludf.DUMMYFUNCTION("""COMPUTED_VALUE"""),"Transmission, 8-speed dual clutch")</f>
        <v>Transmission, 8-speed dual clutch</v>
      </c>
      <c r="E33" s="73"/>
      <c r="F33" s="73"/>
      <c r="G33" s="73"/>
      <c r="H33" s="73"/>
      <c r="I33" s="73"/>
      <c r="J33" s="73"/>
      <c r="K33" s="73"/>
      <c r="L33" s="73"/>
      <c r="M33" s="73"/>
      <c r="N33" s="73"/>
      <c r="O33" s="73"/>
      <c r="P33" s="73"/>
      <c r="Q33" s="73"/>
      <c r="R33" s="73"/>
      <c r="S33" s="73"/>
      <c r="T33" s="73"/>
      <c r="U33" s="73"/>
      <c r="V33" s="73"/>
      <c r="W33" s="73"/>
      <c r="X33" s="73"/>
      <c r="Y33" s="73"/>
      <c r="Z33" s="73"/>
    </row>
    <row r="34">
      <c r="A34" s="74" t="s">
        <v>123</v>
      </c>
      <c r="B34" s="77" t="s">
        <v>1025</v>
      </c>
      <c r="C34" s="76" t="str">
        <f>IFERROR(__xludf.DUMMYFUNCTION("""COMPUTED_VALUE"""),"N38")</f>
        <v>N38</v>
      </c>
      <c r="D34" s="73" t="str">
        <f>IFERROR(__xludf.DUMMYFUNCTION("""COMPUTED_VALUE"""),"Steering column, power tilt and telescopic")</f>
        <v>Steering column, power tilt and telescopic</v>
      </c>
      <c r="E34" s="73"/>
      <c r="F34" s="73"/>
      <c r="G34" s="73"/>
      <c r="H34" s="73"/>
      <c r="I34" s="73"/>
      <c r="J34" s="73"/>
      <c r="K34" s="73"/>
      <c r="L34" s="73"/>
      <c r="M34" s="73"/>
      <c r="N34" s="73"/>
      <c r="O34" s="73"/>
      <c r="P34" s="73"/>
      <c r="Q34" s="73"/>
      <c r="R34" s="73"/>
      <c r="S34" s="73"/>
      <c r="T34" s="73"/>
      <c r="U34" s="73"/>
      <c r="V34" s="73"/>
      <c r="W34" s="73"/>
      <c r="X34" s="73"/>
      <c r="Y34" s="73"/>
      <c r="Z34" s="73"/>
    </row>
    <row r="35">
      <c r="A35" s="74" t="s">
        <v>9</v>
      </c>
      <c r="B35" s="77" t="s">
        <v>1026</v>
      </c>
      <c r="C35" s="76" t="str">
        <f>IFERROR(__xludf.DUMMYFUNCTION("""COMPUTED_VALUE"""),"NB8")</f>
        <v>NB8</v>
      </c>
      <c r="D35" s="73" t="str">
        <f>IFERROR(__xludf.DUMMYFUNCTION("""COMPUTED_VALUE"""),"Emissions override, California ")</f>
        <v>Emissions override, California </v>
      </c>
      <c r="E35" s="73"/>
      <c r="F35" s="73"/>
      <c r="G35" s="73"/>
      <c r="H35" s="73"/>
      <c r="I35" s="73"/>
      <c r="J35" s="73"/>
      <c r="K35" s="73"/>
      <c r="L35" s="73"/>
      <c r="M35" s="73"/>
      <c r="N35" s="73"/>
      <c r="O35" s="73"/>
      <c r="P35" s="73"/>
      <c r="Q35" s="73"/>
      <c r="R35" s="73"/>
      <c r="S35" s="73"/>
      <c r="T35" s="73"/>
      <c r="U35" s="73"/>
      <c r="V35" s="73"/>
      <c r="W35" s="73"/>
      <c r="X35" s="73"/>
      <c r="Y35" s="73"/>
      <c r="Z35" s="73"/>
    </row>
    <row r="36">
      <c r="A36" s="74" t="s">
        <v>128</v>
      </c>
      <c r="B36" s="77" t="s">
        <v>1027</v>
      </c>
      <c r="C36" s="76" t="str">
        <f>IFERROR(__xludf.DUMMYFUNCTION("""COMPUTED_VALUE"""),"NB9")</f>
        <v>NB9</v>
      </c>
      <c r="D36" s="73" t="str">
        <f>IFERROR(__xludf.DUMMYFUNCTION("""COMPUTED_VALUE"""),"Emissions override, state-specific")</f>
        <v>Emissions override, state-specific</v>
      </c>
      <c r="E36" s="73"/>
      <c r="F36" s="73"/>
      <c r="G36" s="73"/>
      <c r="H36" s="73"/>
      <c r="I36" s="73"/>
      <c r="J36" s="73"/>
      <c r="K36" s="73"/>
      <c r="L36" s="73"/>
      <c r="M36" s="73"/>
      <c r="N36" s="73"/>
      <c r="O36" s="73"/>
      <c r="P36" s="73"/>
      <c r="Q36" s="73"/>
      <c r="R36" s="73"/>
      <c r="S36" s="73"/>
      <c r="T36" s="73"/>
      <c r="U36" s="73"/>
      <c r="V36" s="73"/>
      <c r="W36" s="73"/>
      <c r="X36" s="73"/>
      <c r="Y36" s="73"/>
      <c r="Z36" s="73"/>
    </row>
    <row r="37">
      <c r="A37" s="74" t="s">
        <v>134</v>
      </c>
      <c r="B37" s="77" t="s">
        <v>1028</v>
      </c>
      <c r="C37" s="76" t="str">
        <f>IFERROR(__xludf.DUMMYFUNCTION("""COMPUTED_VALUE"""),"NC7")</f>
        <v>NC7</v>
      </c>
      <c r="D37" s="73" t="str">
        <f>IFERROR(__xludf.DUMMYFUNCTION("""COMPUTED_VALUE"""),"Emissions override, Federal")</f>
        <v>Emissions override, Federal</v>
      </c>
      <c r="E37" s="73"/>
      <c r="F37" s="73"/>
      <c r="G37" s="73"/>
      <c r="H37" s="73"/>
      <c r="I37" s="73"/>
      <c r="J37" s="73"/>
      <c r="K37" s="73"/>
      <c r="L37" s="73"/>
      <c r="M37" s="73"/>
      <c r="N37" s="73"/>
      <c r="O37" s="73"/>
      <c r="P37" s="73"/>
      <c r="Q37" s="73"/>
      <c r="R37" s="73"/>
      <c r="S37" s="73"/>
      <c r="T37" s="73"/>
      <c r="U37" s="73"/>
      <c r="V37" s="73"/>
      <c r="W37" s="73"/>
      <c r="X37" s="73"/>
      <c r="Y37" s="73"/>
      <c r="Z37" s="73"/>
    </row>
    <row r="38">
      <c r="A38" s="74" t="s">
        <v>143</v>
      </c>
      <c r="B38" s="77" t="s">
        <v>1029</v>
      </c>
      <c r="C38" s="76" t="str">
        <f>IFERROR(__xludf.DUMMYFUNCTION("""COMPUTED_VALUE"""),"NE1")</f>
        <v>NE1</v>
      </c>
      <c r="D38" s="73" t="str">
        <f>IFERROR(__xludf.DUMMYFUNCTION("""COMPUTED_VALUE"""),"Emissions")</f>
        <v>Emissions</v>
      </c>
      <c r="E38" s="73"/>
      <c r="F38" s="73"/>
      <c r="G38" s="73"/>
      <c r="H38" s="73"/>
      <c r="I38" s="73"/>
      <c r="J38" s="73"/>
      <c r="K38" s="73"/>
      <c r="L38" s="73"/>
      <c r="M38" s="73"/>
      <c r="N38" s="73"/>
      <c r="O38" s="73"/>
      <c r="P38" s="73"/>
      <c r="Q38" s="73"/>
      <c r="R38" s="73"/>
      <c r="S38" s="73"/>
      <c r="T38" s="73"/>
      <c r="U38" s="73"/>
      <c r="V38" s="73"/>
      <c r="W38" s="73"/>
      <c r="X38" s="73"/>
      <c r="Y38" s="73"/>
      <c r="Z38" s="73"/>
    </row>
    <row r="39">
      <c r="A39" s="74" t="s">
        <v>149</v>
      </c>
      <c r="B39" s="77" t="s">
        <v>1030</v>
      </c>
      <c r="C39" s="76" t="str">
        <f>IFERROR(__xludf.DUMMYFUNCTION("""COMPUTED_VALUE"""),"NK4")</f>
        <v>NK4</v>
      </c>
      <c r="D39" s="73" t="str">
        <f>IFERROR(__xludf.DUMMYFUNCTION("""COMPUTED_VALUE"""),"Steering wheel, leather-wrapped")</f>
        <v>Steering wheel, leather-wrapped</v>
      </c>
      <c r="E39" s="73"/>
      <c r="F39" s="73"/>
      <c r="G39" s="73"/>
      <c r="H39" s="73"/>
      <c r="I39" s="73"/>
      <c r="J39" s="73"/>
      <c r="K39" s="73"/>
      <c r="L39" s="73"/>
      <c r="M39" s="73"/>
      <c r="N39" s="73"/>
      <c r="O39" s="73"/>
      <c r="P39" s="73"/>
      <c r="Q39" s="73"/>
      <c r="R39" s="73"/>
      <c r="S39" s="73"/>
      <c r="T39" s="73"/>
      <c r="U39" s="73"/>
      <c r="V39" s="73"/>
      <c r="W39" s="73"/>
      <c r="X39" s="73"/>
      <c r="Y39" s="73"/>
      <c r="Z39" s="73"/>
    </row>
    <row r="40">
      <c r="A40" s="74" t="s">
        <v>154</v>
      </c>
      <c r="B40" s="77" t="s">
        <v>1031</v>
      </c>
      <c r="C40" s="76" t="str">
        <f>IFERROR(__xludf.DUMMYFUNCTION("""COMPUTED_VALUE"""),"P0H")</f>
        <v>P0H</v>
      </c>
      <c r="D40" s="73" t="str">
        <f>IFERROR(__xludf.DUMMYFUNCTION("""COMPUTED_VALUE"""),"12 Months OnStar Connect Plus")</f>
        <v>12 Months OnStar Connect Plus</v>
      </c>
      <c r="E40" s="73"/>
      <c r="F40" s="73"/>
      <c r="G40" s="73"/>
      <c r="H40" s="73"/>
      <c r="I40" s="73"/>
      <c r="J40" s="73"/>
      <c r="K40" s="73"/>
      <c r="L40" s="73"/>
      <c r="M40" s="73"/>
      <c r="N40" s="73"/>
      <c r="O40" s="73"/>
      <c r="P40" s="73"/>
      <c r="Q40" s="73"/>
      <c r="R40" s="73"/>
      <c r="S40" s="73"/>
      <c r="T40" s="73"/>
      <c r="U40" s="73"/>
      <c r="V40" s="73"/>
      <c r="W40" s="73"/>
      <c r="X40" s="73"/>
      <c r="Y40" s="73"/>
      <c r="Z40" s="73"/>
    </row>
    <row r="41">
      <c r="A41" s="74" t="s">
        <v>158</v>
      </c>
      <c r="B41" s="77" t="s">
        <v>1032</v>
      </c>
      <c r="C41" s="76" t="str">
        <f>IFERROR(__xludf.DUMMYFUNCTION("""COMPUTED_VALUE"""),"P0I")</f>
        <v>P0I</v>
      </c>
      <c r="D41" s="73" t="str">
        <f>IFERROR(__xludf.DUMMYFUNCTION("""COMPUTED_VALUE"""),"24 Months OnStar Connect Plus")</f>
        <v>24 Months OnStar Connect Plus</v>
      </c>
      <c r="E41" s="73"/>
      <c r="F41" s="73"/>
      <c r="G41" s="73"/>
      <c r="H41" s="73"/>
      <c r="I41" s="73"/>
      <c r="J41" s="73"/>
      <c r="K41" s="73"/>
      <c r="L41" s="73"/>
      <c r="M41" s="73"/>
      <c r="N41" s="73"/>
      <c r="O41" s="73"/>
      <c r="P41" s="73"/>
      <c r="Q41" s="73"/>
      <c r="R41" s="73"/>
      <c r="S41" s="73"/>
      <c r="T41" s="73"/>
      <c r="U41" s="73"/>
      <c r="V41" s="73"/>
      <c r="W41" s="73"/>
      <c r="X41" s="73"/>
      <c r="Y41" s="73"/>
      <c r="Z41" s="73"/>
    </row>
    <row r="42">
      <c r="A42" s="74" t="s">
        <v>161</v>
      </c>
      <c r="B42" s="77" t="s">
        <v>1033</v>
      </c>
      <c r="C42" s="76" t="str">
        <f>IFERROR(__xludf.DUMMYFUNCTION("""COMPUTED_VALUE"""),"P0J")</f>
        <v>P0J</v>
      </c>
      <c r="D42" s="73" t="str">
        <f>IFERROR(__xludf.DUMMYFUNCTION("""COMPUTED_VALUE"""),"24 Months OnStar Protect")</f>
        <v>24 Months OnStar Protect</v>
      </c>
      <c r="E42" s="73"/>
      <c r="F42" s="73"/>
      <c r="G42" s="73"/>
      <c r="H42" s="73"/>
      <c r="I42" s="73"/>
      <c r="J42" s="73"/>
      <c r="K42" s="73"/>
      <c r="L42" s="73"/>
      <c r="M42" s="73"/>
      <c r="N42" s="73"/>
      <c r="O42" s="73"/>
      <c r="P42" s="73"/>
      <c r="Q42" s="73"/>
      <c r="R42" s="73"/>
      <c r="S42" s="73"/>
      <c r="T42" s="73"/>
      <c r="U42" s="73"/>
      <c r="V42" s="73"/>
      <c r="W42" s="73"/>
      <c r="X42" s="73"/>
      <c r="Y42" s="73"/>
      <c r="Z42" s="73"/>
    </row>
    <row r="43">
      <c r="A43" s="74" t="s">
        <v>164</v>
      </c>
      <c r="B43" s="77" t="s">
        <v>1034</v>
      </c>
      <c r="C43" s="76" t="str">
        <f>IFERROR(__xludf.DUMMYFUNCTION("""COMPUTED_VALUE"""),"P0K")</f>
        <v>P0K</v>
      </c>
      <c r="D43" s="73" t="str">
        <f>IFERROR(__xludf.DUMMYFUNCTION("""COMPUTED_VALUE"""),"36 Months OnStar Protect")</f>
        <v>36 Months OnStar Protect</v>
      </c>
      <c r="E43" s="73"/>
      <c r="F43" s="73"/>
      <c r="G43" s="73"/>
      <c r="H43" s="73"/>
      <c r="I43" s="73"/>
      <c r="J43" s="73"/>
      <c r="K43" s="73"/>
      <c r="L43" s="73"/>
      <c r="M43" s="73"/>
      <c r="N43" s="73"/>
      <c r="O43" s="73"/>
      <c r="P43" s="73"/>
      <c r="Q43" s="73"/>
      <c r="R43" s="73"/>
      <c r="S43" s="73"/>
      <c r="T43" s="73"/>
      <c r="U43" s="73"/>
      <c r="V43" s="73"/>
      <c r="W43" s="73"/>
      <c r="X43" s="73"/>
      <c r="Y43" s="73"/>
      <c r="Z43" s="73"/>
    </row>
    <row r="44">
      <c r="A44" s="74" t="s">
        <v>167</v>
      </c>
      <c r="B44" s="77" t="s">
        <v>1035</v>
      </c>
      <c r="C44" s="76" t="str">
        <f>IFERROR(__xludf.DUMMYFUNCTION("""COMPUTED_VALUE"""),"P0L")</f>
        <v>P0L</v>
      </c>
      <c r="D44" s="73" t="str">
        <f>IFERROR(__xludf.DUMMYFUNCTION("""COMPUTED_VALUE"""),"48 Months OnStar Protect")</f>
        <v>48 Months OnStar Protect</v>
      </c>
      <c r="E44" s="73"/>
      <c r="F44" s="73"/>
      <c r="G44" s="73"/>
      <c r="H44" s="73"/>
      <c r="I44" s="73"/>
      <c r="J44" s="73"/>
      <c r="K44" s="73"/>
      <c r="L44" s="73"/>
      <c r="M44" s="73"/>
      <c r="N44" s="73"/>
      <c r="O44" s="73"/>
      <c r="P44" s="73"/>
      <c r="Q44" s="73"/>
      <c r="R44" s="73"/>
      <c r="S44" s="73"/>
      <c r="T44" s="73"/>
      <c r="U44" s="73"/>
      <c r="V44" s="73"/>
      <c r="W44" s="73"/>
      <c r="X44" s="73"/>
      <c r="Y44" s="73"/>
      <c r="Z44" s="73"/>
    </row>
    <row r="45">
      <c r="A45" s="74" t="s">
        <v>1036</v>
      </c>
      <c r="B45" s="77" t="s">
        <v>1037</v>
      </c>
      <c r="C45" s="76" t="str">
        <f>IFERROR(__xludf.DUMMYFUNCTION("""COMPUTED_VALUE"""),"P0Q")</f>
        <v>P0Q</v>
      </c>
      <c r="D45" s="73" t="str">
        <f>IFERROR(__xludf.DUMMYFUNCTION("""COMPUTED_VALUE"""),"60 Months OnStar Protect")</f>
        <v>60 Months OnStar Protect</v>
      </c>
      <c r="E45" s="73"/>
      <c r="F45" s="73"/>
      <c r="G45" s="73"/>
      <c r="H45" s="73"/>
      <c r="I45" s="73"/>
      <c r="J45" s="73"/>
      <c r="K45" s="73"/>
      <c r="L45" s="73"/>
      <c r="M45" s="73"/>
      <c r="N45" s="73"/>
      <c r="O45" s="73"/>
      <c r="P45" s="73"/>
      <c r="Q45" s="73"/>
      <c r="R45" s="73"/>
      <c r="S45" s="73"/>
      <c r="T45" s="73"/>
      <c r="U45" s="73"/>
      <c r="V45" s="73"/>
      <c r="W45" s="73"/>
      <c r="X45" s="73"/>
      <c r="Y45" s="73"/>
      <c r="Z45" s="73"/>
    </row>
    <row r="46">
      <c r="A46" s="74" t="s">
        <v>1038</v>
      </c>
      <c r="B46" s="77" t="s">
        <v>1039</v>
      </c>
      <c r="C46" s="76" t="str">
        <f>IFERROR(__xludf.DUMMYFUNCTION("""COMPUTED_VALUE"""),"P0U")</f>
        <v>P0U</v>
      </c>
      <c r="D46" s="73" t="str">
        <f>IFERROR(__xludf.DUMMYFUNCTION("""COMPUTED_VALUE"""),"12 Months OnStar Protect")</f>
        <v>12 Months OnStar Protect</v>
      </c>
      <c r="E46" s="73"/>
      <c r="F46" s="73"/>
      <c r="G46" s="73"/>
      <c r="H46" s="73"/>
      <c r="I46" s="73"/>
      <c r="J46" s="73"/>
      <c r="K46" s="73"/>
      <c r="L46" s="73"/>
      <c r="M46" s="73"/>
      <c r="N46" s="73"/>
      <c r="O46" s="73"/>
      <c r="P46" s="73"/>
      <c r="Q46" s="73"/>
      <c r="R46" s="73"/>
      <c r="S46" s="73"/>
      <c r="T46" s="73"/>
      <c r="U46" s="73"/>
      <c r="V46" s="73"/>
      <c r="W46" s="73"/>
      <c r="X46" s="73"/>
      <c r="Y46" s="73"/>
      <c r="Z46" s="73"/>
    </row>
    <row r="47">
      <c r="A47" s="74" t="s">
        <v>171</v>
      </c>
      <c r="B47" s="77" t="s">
        <v>1040</v>
      </c>
      <c r="C47" s="76" t="str">
        <f>IFERROR(__xludf.DUMMYFUNCTION("""COMPUTED_VALUE"""),"P0V")</f>
        <v>P0V</v>
      </c>
      <c r="D47" s="73" t="str">
        <f>IFERROR(__xludf.DUMMYFUNCTION("""COMPUTED_VALUE"""),"12 Months OnStar Telematics")</f>
        <v>12 Months OnStar Telematics</v>
      </c>
      <c r="E47" s="73"/>
      <c r="F47" s="73"/>
      <c r="G47" s="73"/>
      <c r="H47" s="73"/>
      <c r="I47" s="73"/>
      <c r="J47" s="73"/>
      <c r="K47" s="73"/>
      <c r="L47" s="73"/>
      <c r="M47" s="73"/>
      <c r="N47" s="73"/>
      <c r="O47" s="73"/>
      <c r="P47" s="73"/>
      <c r="Q47" s="73"/>
      <c r="R47" s="73"/>
      <c r="S47" s="73"/>
      <c r="T47" s="73"/>
      <c r="U47" s="73"/>
      <c r="V47" s="73"/>
      <c r="W47" s="73"/>
      <c r="X47" s="73"/>
      <c r="Y47" s="73"/>
      <c r="Z47" s="73"/>
    </row>
    <row r="48">
      <c r="A48" s="74" t="s">
        <v>946</v>
      </c>
      <c r="B48" s="77" t="s">
        <v>1041</v>
      </c>
      <c r="C48" s="76" t="str">
        <f>IFERROR(__xludf.DUMMYFUNCTION("""COMPUTED_VALUE"""),"P0W")</f>
        <v>P0W</v>
      </c>
      <c r="D48" s="73" t="str">
        <f>IFERROR(__xludf.DUMMYFUNCTION("""COMPUTED_VALUE"""),"24 Months OnStar Telematics ")</f>
        <v>24 Months OnStar Telematics </v>
      </c>
      <c r="E48" s="73"/>
      <c r="F48" s="73"/>
      <c r="G48" s="73"/>
      <c r="H48" s="73"/>
      <c r="I48" s="73"/>
      <c r="J48" s="73"/>
      <c r="K48" s="73"/>
      <c r="L48" s="73"/>
      <c r="M48" s="73"/>
      <c r="N48" s="73"/>
      <c r="O48" s="73"/>
      <c r="P48" s="73"/>
      <c r="Q48" s="73"/>
      <c r="R48" s="73"/>
      <c r="S48" s="73"/>
      <c r="T48" s="73"/>
      <c r="U48" s="73"/>
      <c r="V48" s="73"/>
      <c r="W48" s="73"/>
      <c r="X48" s="73"/>
      <c r="Y48" s="73"/>
      <c r="Z48" s="73"/>
    </row>
    <row r="49">
      <c r="A49" s="74" t="s">
        <v>173</v>
      </c>
      <c r="B49" s="77" t="s">
        <v>1042</v>
      </c>
      <c r="C49" s="76" t="str">
        <f>IFERROR(__xludf.DUMMYFUNCTION("""COMPUTED_VALUE"""),"P0X")</f>
        <v>P0X</v>
      </c>
      <c r="D49" s="73" t="str">
        <f>IFERROR(__xludf.DUMMYFUNCTION("""COMPUTED_VALUE"""),"36 Months OnStar Telematics")</f>
        <v>36 Months OnStar Telematics</v>
      </c>
      <c r="E49" s="73"/>
      <c r="F49" s="73"/>
      <c r="G49" s="73"/>
      <c r="H49" s="73"/>
      <c r="I49" s="73"/>
      <c r="J49" s="73"/>
      <c r="K49" s="73"/>
      <c r="L49" s="73"/>
      <c r="M49" s="73"/>
      <c r="N49" s="73"/>
      <c r="O49" s="73"/>
      <c r="P49" s="73"/>
      <c r="Q49" s="73"/>
      <c r="R49" s="73"/>
      <c r="S49" s="73"/>
      <c r="T49" s="73"/>
      <c r="U49" s="73"/>
      <c r="V49" s="73"/>
      <c r="W49" s="73"/>
      <c r="X49" s="73"/>
      <c r="Y49" s="73"/>
      <c r="Z49" s="73"/>
    </row>
    <row r="50">
      <c r="A50" s="74" t="s">
        <v>176</v>
      </c>
      <c r="B50" s="77" t="s">
        <v>1043</v>
      </c>
      <c r="C50" s="76" t="str">
        <f>IFERROR(__xludf.DUMMYFUNCTION("""COMPUTED_VALUE"""),"P0Y")</f>
        <v>P0Y</v>
      </c>
      <c r="D50" s="73" t="str">
        <f>IFERROR(__xludf.DUMMYFUNCTION("""COMPUTED_VALUE"""),"48 Months OnStar Telematics")</f>
        <v>48 Months OnStar Telematics</v>
      </c>
      <c r="E50" s="73"/>
      <c r="F50" s="73"/>
      <c r="G50" s="73"/>
      <c r="H50" s="73"/>
      <c r="I50" s="73"/>
      <c r="J50" s="73"/>
      <c r="K50" s="73"/>
      <c r="L50" s="73"/>
      <c r="M50" s="73"/>
      <c r="N50" s="73"/>
      <c r="O50" s="73"/>
      <c r="P50" s="73"/>
      <c r="Q50" s="73"/>
      <c r="R50" s="73"/>
      <c r="S50" s="73"/>
      <c r="T50" s="73"/>
      <c r="U50" s="73"/>
      <c r="V50" s="73"/>
      <c r="W50" s="73"/>
      <c r="X50" s="73"/>
      <c r="Y50" s="73"/>
      <c r="Z50" s="73"/>
    </row>
    <row r="51">
      <c r="A51" s="74" t="s">
        <v>179</v>
      </c>
      <c r="B51" s="77" t="s">
        <v>1044</v>
      </c>
      <c r="C51" s="76" t="str">
        <f>IFERROR(__xludf.DUMMYFUNCTION("""COMPUTED_VALUE"""),"P0Z")</f>
        <v>P0Z</v>
      </c>
      <c r="D51" s="73" t="str">
        <f>IFERROR(__xludf.DUMMYFUNCTION("""COMPUTED_VALUE"""),"60 Months OnStar Telematics")</f>
        <v>60 Months OnStar Telematics</v>
      </c>
      <c r="E51" s="73"/>
      <c r="F51" s="73"/>
      <c r="G51" s="73"/>
      <c r="H51" s="73"/>
      <c r="I51" s="73"/>
      <c r="J51" s="73"/>
      <c r="K51" s="73"/>
      <c r="L51" s="73"/>
      <c r="M51" s="73"/>
      <c r="N51" s="73"/>
      <c r="O51" s="73"/>
      <c r="P51" s="73"/>
      <c r="Q51" s="73"/>
      <c r="R51" s="73"/>
      <c r="S51" s="73"/>
      <c r="T51" s="73"/>
      <c r="U51" s="73"/>
      <c r="V51" s="73"/>
      <c r="W51" s="73"/>
      <c r="X51" s="73"/>
      <c r="Y51" s="73"/>
      <c r="Z51" s="73"/>
    </row>
    <row r="52">
      <c r="A52" s="74" t="s">
        <v>181</v>
      </c>
      <c r="B52" s="77" t="s">
        <v>1045</v>
      </c>
      <c r="C52" s="76" t="str">
        <f>IFERROR(__xludf.DUMMYFUNCTION("""COMPUTED_VALUE"""),"PPW")</f>
        <v>PPW</v>
      </c>
      <c r="D52" s="73" t="str">
        <f>IFERROR(__xludf.DUMMYFUNCTION("""COMPUTED_VALUE"""),"Wireless Apple CarPlay/Wireless Android Auto")</f>
        <v>Wireless Apple CarPlay/Wireless Android Auto</v>
      </c>
      <c r="E52" s="73"/>
      <c r="F52" s="73"/>
      <c r="G52" s="73"/>
      <c r="H52" s="73"/>
      <c r="I52" s="73"/>
      <c r="J52" s="73"/>
      <c r="K52" s="73"/>
      <c r="L52" s="73"/>
      <c r="M52" s="73"/>
      <c r="N52" s="73"/>
      <c r="O52" s="73"/>
      <c r="P52" s="73"/>
      <c r="Q52" s="73"/>
      <c r="R52" s="73"/>
      <c r="S52" s="73"/>
      <c r="T52" s="73"/>
      <c r="U52" s="73"/>
      <c r="V52" s="73"/>
      <c r="W52" s="73"/>
      <c r="X52" s="73"/>
      <c r="Y52" s="73"/>
      <c r="Z52" s="73"/>
    </row>
    <row r="53">
      <c r="A53" s="74" t="s">
        <v>185</v>
      </c>
      <c r="B53" s="77" t="s">
        <v>1046</v>
      </c>
      <c r="C53" s="76" t="str">
        <f>IFERROR(__xludf.DUMMYFUNCTION("""COMPUTED_VALUE"""),"PQG")</f>
        <v>PQG</v>
      </c>
      <c r="D53" s="73" t="str">
        <f>IFERROR(__xludf.DUMMYFUNCTION("""COMPUTED_VALUE"""),"36 Months OnStar Connect Plus")</f>
        <v>36 Months OnStar Connect Plus</v>
      </c>
      <c r="E53" s="73"/>
      <c r="F53" s="73"/>
      <c r="G53" s="73"/>
      <c r="H53" s="73"/>
      <c r="I53" s="73"/>
      <c r="J53" s="73"/>
      <c r="K53" s="73"/>
      <c r="L53" s="73"/>
      <c r="M53" s="73"/>
      <c r="N53" s="73"/>
      <c r="O53" s="73"/>
      <c r="P53" s="73"/>
      <c r="Q53" s="73"/>
      <c r="R53" s="73"/>
      <c r="S53" s="73"/>
      <c r="T53" s="73"/>
      <c r="U53" s="73"/>
      <c r="V53" s="73"/>
      <c r="W53" s="73"/>
      <c r="X53" s="73"/>
      <c r="Y53" s="73"/>
      <c r="Z53" s="73"/>
    </row>
    <row r="54">
      <c r="A54" s="74" t="s">
        <v>188</v>
      </c>
      <c r="B54" s="77" t="s">
        <v>1047</v>
      </c>
      <c r="C54" s="76" t="str">
        <f>IFERROR(__xludf.DUMMYFUNCTION("""COMPUTED_VALUE"""),"PQH")</f>
        <v>PQH</v>
      </c>
      <c r="D54" s="73" t="str">
        <f>IFERROR(__xludf.DUMMYFUNCTION("""COMPUTED_VALUE"""),"48 Months OnStar Connect Plus")</f>
        <v>48 Months OnStar Connect Plus</v>
      </c>
      <c r="E54" s="73"/>
      <c r="F54" s="73"/>
      <c r="G54" s="73"/>
      <c r="H54" s="73"/>
      <c r="I54" s="73"/>
      <c r="J54" s="73"/>
      <c r="K54" s="73"/>
      <c r="L54" s="73"/>
      <c r="M54" s="73"/>
      <c r="N54" s="73"/>
      <c r="O54" s="73"/>
      <c r="P54" s="73"/>
      <c r="Q54" s="73"/>
      <c r="R54" s="73"/>
      <c r="S54" s="73"/>
      <c r="T54" s="73"/>
      <c r="U54" s="73"/>
      <c r="V54" s="73"/>
      <c r="W54" s="73"/>
      <c r="X54" s="73"/>
      <c r="Y54" s="73"/>
      <c r="Z54" s="73"/>
    </row>
    <row r="55">
      <c r="A55" s="74" t="s">
        <v>191</v>
      </c>
      <c r="B55" s="77" t="s">
        <v>1048</v>
      </c>
      <c r="C55" s="76" t="str">
        <f>IFERROR(__xludf.DUMMYFUNCTION("""COMPUTED_VALUE"""),"PQI")</f>
        <v>PQI</v>
      </c>
      <c r="D55" s="73" t="str">
        <f>IFERROR(__xludf.DUMMYFUNCTION("""COMPUTED_VALUE"""),"60 Months OnStar Connect Plus")</f>
        <v>60 Months OnStar Connect Plus</v>
      </c>
      <c r="E55" s="73"/>
      <c r="F55" s="73"/>
      <c r="G55" s="73"/>
      <c r="H55" s="73"/>
      <c r="I55" s="73"/>
      <c r="J55" s="73"/>
      <c r="K55" s="73"/>
      <c r="L55" s="73"/>
      <c r="M55" s="73"/>
      <c r="N55" s="73"/>
      <c r="O55" s="73"/>
      <c r="P55" s="73"/>
      <c r="Q55" s="73"/>
      <c r="R55" s="73"/>
      <c r="S55" s="73"/>
      <c r="T55" s="73"/>
      <c r="U55" s="73"/>
      <c r="V55" s="73"/>
      <c r="W55" s="73"/>
      <c r="X55" s="73"/>
      <c r="Y55" s="73"/>
      <c r="Z55" s="73"/>
    </row>
    <row r="56">
      <c r="A56" s="74" t="s">
        <v>194</v>
      </c>
      <c r="B56" s="77" t="s">
        <v>1049</v>
      </c>
      <c r="C56" s="76" t="str">
        <f>IFERROR(__xludf.DUMMYFUNCTION("""COMPUTED_VALUE"""),"PRB")</f>
        <v>PRB</v>
      </c>
      <c r="D56" s="73" t="str">
        <f>IFERROR(__xludf.DUMMYFUNCTION("""COMPUTED_VALUE"""),"3 Years OnStar One")</f>
        <v>3 Years OnStar One</v>
      </c>
      <c r="E56" s="73"/>
      <c r="F56" s="73"/>
      <c r="G56" s="73"/>
      <c r="H56" s="73"/>
      <c r="I56" s="73"/>
      <c r="J56" s="73"/>
      <c r="K56" s="73"/>
      <c r="L56" s="73"/>
      <c r="M56" s="73"/>
      <c r="N56" s="73"/>
      <c r="O56" s="73"/>
      <c r="P56" s="73"/>
      <c r="Q56" s="73"/>
      <c r="R56" s="73"/>
      <c r="S56" s="73"/>
      <c r="T56" s="73"/>
      <c r="U56" s="73"/>
      <c r="V56" s="73"/>
      <c r="W56" s="73"/>
      <c r="X56" s="73"/>
      <c r="Y56" s="73"/>
      <c r="Z56" s="73"/>
    </row>
    <row r="57">
      <c r="A57" s="74" t="s">
        <v>1050</v>
      </c>
      <c r="B57" s="77" t="s">
        <v>1051</v>
      </c>
      <c r="C57" s="76" t="str">
        <f>IFERROR(__xludf.DUMMYFUNCTION("""COMPUTED_VALUE"""),"QUD")</f>
        <v>QUD</v>
      </c>
      <c r="D57" s="73" t="str">
        <f>IFERROR(__xludf.DUMMYFUNCTION("""COMPUTED_VALUE"""),"Tires, 245/35ZR19 front and 305/30ZR20 rear, blackwall, high performance")</f>
        <v>Tires, 245/35ZR19 front and 305/30ZR20 rear, blackwall, high performance</v>
      </c>
      <c r="E57" s="73"/>
      <c r="F57" s="73"/>
      <c r="G57" s="73"/>
      <c r="H57" s="73"/>
      <c r="I57" s="73"/>
      <c r="J57" s="73"/>
      <c r="K57" s="73"/>
      <c r="L57" s="73"/>
      <c r="M57" s="73"/>
      <c r="N57" s="73"/>
      <c r="O57" s="73"/>
      <c r="P57" s="73"/>
      <c r="Q57" s="73"/>
      <c r="R57" s="73"/>
      <c r="S57" s="73"/>
      <c r="T57" s="73"/>
      <c r="U57" s="73"/>
      <c r="V57" s="73"/>
      <c r="W57" s="73"/>
      <c r="X57" s="73"/>
      <c r="Y57" s="73"/>
      <c r="Z57" s="73"/>
    </row>
    <row r="58">
      <c r="A58" s="74" t="s">
        <v>1052</v>
      </c>
      <c r="B58" s="77" t="s">
        <v>1053</v>
      </c>
      <c r="C58" s="76" t="str">
        <f>IFERROR(__xludf.DUMMYFUNCTION("""COMPUTED_VALUE"""),"R6P")</f>
        <v>R6P</v>
      </c>
      <c r="D58" s="73" t="str">
        <f>IFERROR(__xludf.DUMMYFUNCTION("""COMPUTED_VALUE"""),"3 Years SiriusXM")</f>
        <v>3 Years SiriusXM</v>
      </c>
      <c r="E58" s="73"/>
      <c r="F58" s="73"/>
      <c r="G58" s="73"/>
      <c r="H58" s="73"/>
      <c r="I58" s="73"/>
      <c r="J58" s="73"/>
      <c r="K58" s="73"/>
      <c r="L58" s="73"/>
      <c r="M58" s="73"/>
      <c r="N58" s="73"/>
      <c r="O58" s="73"/>
      <c r="P58" s="73"/>
      <c r="Q58" s="73"/>
      <c r="R58" s="73"/>
      <c r="S58" s="73"/>
      <c r="T58" s="73"/>
      <c r="U58" s="73"/>
      <c r="V58" s="73"/>
      <c r="W58" s="73"/>
      <c r="X58" s="73"/>
      <c r="Y58" s="73"/>
      <c r="Z58" s="73"/>
    </row>
    <row r="59">
      <c r="A59" s="74" t="s">
        <v>196</v>
      </c>
      <c r="B59" s="77" t="s">
        <v>1054</v>
      </c>
      <c r="C59" s="76" t="str">
        <f>IFERROR(__xludf.DUMMYFUNCTION("""COMPUTED_VALUE"""),"R6X")</f>
        <v>R6X</v>
      </c>
      <c r="D59" s="73" t="str">
        <f>IFERROR(__xludf.DUMMYFUNCTION("""COMPUTED_VALUE"""),"Custom Interior Trim and Seat Combination")</f>
        <v>Custom Interior Trim and Seat Combination</v>
      </c>
      <c r="E59" s="73"/>
      <c r="F59" s="73"/>
      <c r="G59" s="73"/>
      <c r="H59" s="73"/>
      <c r="I59" s="73"/>
      <c r="J59" s="73"/>
      <c r="K59" s="73"/>
      <c r="L59" s="73"/>
      <c r="M59" s="73"/>
      <c r="N59" s="73"/>
      <c r="O59" s="73"/>
      <c r="P59" s="73"/>
      <c r="Q59" s="73"/>
      <c r="R59" s="73"/>
      <c r="S59" s="73"/>
      <c r="T59" s="73"/>
      <c r="U59" s="73"/>
      <c r="V59" s="73"/>
      <c r="W59" s="73"/>
      <c r="X59" s="73"/>
      <c r="Y59" s="73"/>
      <c r="Z59" s="73"/>
    </row>
    <row r="60">
      <c r="A60" s="74" t="s">
        <v>198</v>
      </c>
      <c r="B60" s="77" t="s">
        <v>1055</v>
      </c>
      <c r="C60" s="76" t="str">
        <f>IFERROR(__xludf.DUMMYFUNCTION("""COMPUTED_VALUE"""),"R8G")</f>
        <v>R8G</v>
      </c>
      <c r="D60" s="73" t="str">
        <f>IFERROR(__xludf.DUMMYFUNCTION("""COMPUTED_VALUE"""),"12 Months OnStar One Fleet")</f>
        <v>12 Months OnStar One Fleet</v>
      </c>
      <c r="E60" s="73"/>
      <c r="F60" s="73"/>
      <c r="G60" s="73"/>
      <c r="H60" s="73"/>
      <c r="I60" s="73"/>
      <c r="J60" s="73"/>
      <c r="K60" s="73"/>
      <c r="L60" s="73"/>
      <c r="M60" s="73"/>
      <c r="N60" s="73"/>
      <c r="O60" s="73"/>
      <c r="P60" s="73"/>
      <c r="Q60" s="73"/>
      <c r="R60" s="73"/>
      <c r="S60" s="73"/>
      <c r="T60" s="73"/>
      <c r="U60" s="73"/>
      <c r="V60" s="73"/>
      <c r="W60" s="73"/>
      <c r="X60" s="73"/>
      <c r="Y60" s="73"/>
      <c r="Z60" s="73"/>
    </row>
    <row r="61">
      <c r="A61" s="74" t="s">
        <v>200</v>
      </c>
      <c r="B61" s="77" t="s">
        <v>1056</v>
      </c>
      <c r="C61" s="76" t="str">
        <f>IFERROR(__xludf.DUMMYFUNCTION("""COMPUTED_VALUE"""),"R8P")</f>
        <v>R8P</v>
      </c>
      <c r="D61" s="73" t="str">
        <f>IFERROR(__xludf.DUMMYFUNCTION("""COMPUTED_VALUE"""),"36 Months OnStar One Fleet")</f>
        <v>36 Months OnStar One Fleet</v>
      </c>
      <c r="E61" s="73"/>
      <c r="F61" s="73"/>
      <c r="G61" s="73"/>
      <c r="H61" s="73"/>
      <c r="I61" s="73"/>
      <c r="J61" s="73"/>
      <c r="K61" s="73"/>
      <c r="L61" s="73"/>
      <c r="M61" s="73"/>
      <c r="N61" s="73"/>
      <c r="O61" s="73"/>
      <c r="P61" s="73"/>
      <c r="Q61" s="73"/>
      <c r="R61" s="73"/>
      <c r="S61" s="73"/>
      <c r="T61" s="73"/>
      <c r="U61" s="73"/>
      <c r="V61" s="73"/>
      <c r="W61" s="73"/>
      <c r="X61" s="73"/>
      <c r="Y61" s="73"/>
      <c r="Z61" s="73"/>
    </row>
    <row r="62">
      <c r="A62" s="74" t="s">
        <v>202</v>
      </c>
      <c r="B62" s="77" t="s">
        <v>1057</v>
      </c>
      <c r="C62" s="76" t="str">
        <f>IFERROR(__xludf.DUMMYFUNCTION("""COMPUTED_VALUE"""),"R8W")</f>
        <v>R8W</v>
      </c>
      <c r="D62" s="73" t="str">
        <f>IFERROR(__xludf.DUMMYFUNCTION("""COMPUTED_VALUE"""),"60 Months OnStar One Fleet")</f>
        <v>60 Months OnStar One Fleet</v>
      </c>
      <c r="E62" s="73"/>
      <c r="F62" s="73"/>
      <c r="G62" s="73"/>
      <c r="H62" s="73"/>
      <c r="I62" s="73"/>
      <c r="J62" s="73"/>
      <c r="K62" s="73"/>
      <c r="L62" s="73"/>
      <c r="M62" s="73"/>
      <c r="N62" s="73"/>
      <c r="O62" s="73"/>
      <c r="P62" s="73"/>
      <c r="Q62" s="73"/>
      <c r="R62" s="73"/>
      <c r="S62" s="73"/>
      <c r="T62" s="73"/>
      <c r="U62" s="73"/>
      <c r="V62" s="73"/>
      <c r="W62" s="73"/>
      <c r="X62" s="73"/>
      <c r="Y62" s="73"/>
      <c r="Z62" s="73"/>
    </row>
    <row r="63">
      <c r="A63" s="74" t="s">
        <v>204</v>
      </c>
      <c r="B63" s="77" t="s">
        <v>1058</v>
      </c>
      <c r="C63" s="76" t="str">
        <f>IFERROR(__xludf.DUMMYFUNCTION("""COMPUTED_VALUE"""),"R8Z")</f>
        <v>R8Z</v>
      </c>
      <c r="D63" s="73" t="str">
        <f>IFERROR(__xludf.DUMMYFUNCTION("""COMPUTED_VALUE"""),"48 Months OnStar One Fleet")</f>
        <v>48 Months OnStar One Fleet</v>
      </c>
      <c r="E63" s="73"/>
      <c r="F63" s="73"/>
      <c r="G63" s="73"/>
      <c r="H63" s="73"/>
      <c r="I63" s="73"/>
      <c r="J63" s="73"/>
      <c r="K63" s="73"/>
      <c r="L63" s="73"/>
      <c r="M63" s="73"/>
      <c r="N63" s="73"/>
      <c r="O63" s="73"/>
      <c r="P63" s="73"/>
      <c r="Q63" s="73"/>
      <c r="R63" s="73"/>
      <c r="S63" s="73"/>
      <c r="T63" s="73"/>
      <c r="U63" s="73"/>
      <c r="V63" s="73"/>
      <c r="W63" s="73"/>
      <c r="X63" s="73"/>
      <c r="Y63" s="73"/>
      <c r="Z63" s="73"/>
    </row>
    <row r="64">
      <c r="A64" s="74" t="s">
        <v>206</v>
      </c>
      <c r="B64" s="77" t="s">
        <v>1059</v>
      </c>
      <c r="C64" s="76" t="str">
        <f>IFERROR(__xludf.DUMMYFUNCTION("""COMPUTED_VALUE"""),"R9L")</f>
        <v>R9L</v>
      </c>
      <c r="D64" s="73" t="str">
        <f>IFERROR(__xludf.DUMMYFUNCTION("""COMPUTED_VALUE"""),"Removes OnStar Basics (OnStar Fleet Basics for Fleet)")</f>
        <v>Removes OnStar Basics (OnStar Fleet Basics for Fleet)</v>
      </c>
      <c r="E64" s="73"/>
      <c r="F64" s="73"/>
      <c r="G64" s="73"/>
      <c r="H64" s="73"/>
      <c r="I64" s="73"/>
      <c r="J64" s="73"/>
      <c r="K64" s="73"/>
      <c r="L64" s="73"/>
      <c r="M64" s="73"/>
      <c r="N64" s="73"/>
      <c r="O64" s="73"/>
      <c r="P64" s="73"/>
      <c r="Q64" s="73"/>
      <c r="R64" s="73"/>
      <c r="S64" s="73"/>
      <c r="T64" s="73"/>
      <c r="U64" s="73"/>
      <c r="V64" s="73"/>
      <c r="W64" s="73"/>
      <c r="X64" s="73"/>
      <c r="Y64" s="73"/>
      <c r="Z64" s="73"/>
    </row>
    <row r="65">
      <c r="A65" s="74" t="s">
        <v>209</v>
      </c>
      <c r="B65" s="77" t="s">
        <v>1060</v>
      </c>
      <c r="C65" s="76" t="str">
        <f>IFERROR(__xludf.DUMMYFUNCTION("""COMPUTED_VALUE"""),"R9V")</f>
        <v>R9V</v>
      </c>
      <c r="D65" s="73" t="str">
        <f>IFERROR(__xludf.DUMMYFUNCTION("""COMPUTED_VALUE"""),"Mobile Service Plus")</f>
        <v>Mobile Service Plus</v>
      </c>
      <c r="E65" s="73"/>
      <c r="F65" s="73"/>
      <c r="G65" s="73"/>
      <c r="H65" s="73"/>
      <c r="I65" s="73"/>
      <c r="J65" s="73"/>
      <c r="K65" s="73"/>
      <c r="L65" s="73"/>
      <c r="M65" s="73"/>
      <c r="N65" s="73"/>
      <c r="O65" s="73"/>
      <c r="P65" s="73"/>
      <c r="Q65" s="73"/>
      <c r="R65" s="73"/>
      <c r="S65" s="73"/>
      <c r="T65" s="73"/>
      <c r="U65" s="73"/>
      <c r="V65" s="73"/>
      <c r="W65" s="73"/>
      <c r="X65" s="73"/>
      <c r="Y65" s="73"/>
      <c r="Z65" s="73"/>
    </row>
    <row r="66">
      <c r="A66" s="74" t="s">
        <v>1061</v>
      </c>
      <c r="B66" s="77" t="s">
        <v>1062</v>
      </c>
      <c r="C66" s="76" t="str">
        <f>IFERROR(__xludf.DUMMYFUNCTION("""COMPUTED_VALUE"""),"R9W")</f>
        <v>R9W</v>
      </c>
      <c r="D66" s="73" t="str">
        <f>IFERROR(__xludf.DUMMYFUNCTION("""COMPUTED_VALUE"""),"Deleted Mobile Service Plus")</f>
        <v>Deleted Mobile Service Plus</v>
      </c>
      <c r="E66" s="73"/>
      <c r="F66" s="73"/>
      <c r="G66" s="73"/>
      <c r="H66" s="73"/>
      <c r="I66" s="73"/>
      <c r="J66" s="73"/>
      <c r="K66" s="73"/>
      <c r="L66" s="73"/>
      <c r="M66" s="73"/>
      <c r="N66" s="73"/>
      <c r="O66" s="73"/>
      <c r="P66" s="73"/>
      <c r="Q66" s="73"/>
      <c r="R66" s="73"/>
      <c r="S66" s="73"/>
      <c r="T66" s="73"/>
      <c r="U66" s="73"/>
      <c r="V66" s="73"/>
      <c r="W66" s="73"/>
      <c r="X66" s="73"/>
      <c r="Y66" s="73"/>
      <c r="Z66" s="73"/>
    </row>
    <row r="67">
      <c r="A67" s="74" t="s">
        <v>1063</v>
      </c>
      <c r="B67" s="77" t="s">
        <v>1064</v>
      </c>
      <c r="C67" s="76" t="str">
        <f>IFERROR(__xludf.DUMMYFUNCTION("""COMPUTED_VALUE"""),"R9Y")</f>
        <v>R9Y</v>
      </c>
      <c r="D67" s="73" t="str">
        <f>IFERROR(__xludf.DUMMYFUNCTION("""COMPUTED_VALUE"""),"Mobile Service Plus")</f>
        <v>Mobile Service Plus</v>
      </c>
      <c r="E67" s="73"/>
      <c r="F67" s="73"/>
      <c r="G67" s="73"/>
      <c r="H67" s="73"/>
      <c r="I67" s="73"/>
      <c r="J67" s="73"/>
      <c r="K67" s="73"/>
      <c r="L67" s="73"/>
      <c r="M67" s="73"/>
      <c r="N67" s="73"/>
      <c r="O67" s="73"/>
      <c r="P67" s="73"/>
      <c r="Q67" s="73"/>
      <c r="R67" s="73"/>
      <c r="S67" s="73"/>
      <c r="T67" s="73"/>
      <c r="U67" s="73"/>
      <c r="V67" s="73"/>
      <c r="W67" s="73"/>
      <c r="X67" s="73"/>
      <c r="Y67" s="73"/>
      <c r="Z67" s="73"/>
    </row>
    <row r="68">
      <c r="A68" s="74" t="s">
        <v>211</v>
      </c>
      <c r="B68" s="77" t="s">
        <v>1065</v>
      </c>
      <c r="C68" s="76" t="str">
        <f>IFERROR(__xludf.DUMMYFUNCTION("""COMPUTED_VALUE"""),"RFH")</f>
        <v>RFH</v>
      </c>
      <c r="D68" s="73" t="str">
        <f>IFERROR(__xludf.DUMMYFUNCTION("""COMPUTED_VALUE"""),"24 Months OnStar One Fleet")</f>
        <v>24 Months OnStar One Fleet</v>
      </c>
      <c r="E68" s="73"/>
      <c r="F68" s="73"/>
      <c r="G68" s="73"/>
      <c r="H68" s="73"/>
      <c r="I68" s="73"/>
      <c r="J68" s="73"/>
      <c r="K68" s="73"/>
      <c r="L68" s="73"/>
      <c r="M68" s="73"/>
      <c r="N68" s="73"/>
      <c r="O68" s="73"/>
      <c r="P68" s="73"/>
      <c r="Q68" s="73"/>
      <c r="R68" s="73"/>
      <c r="S68" s="73"/>
      <c r="T68" s="73"/>
      <c r="U68" s="73"/>
      <c r="V68" s="73"/>
      <c r="W68" s="73"/>
      <c r="X68" s="73"/>
      <c r="Y68" s="73"/>
      <c r="Z68" s="73"/>
    </row>
    <row r="69">
      <c r="A69" s="74" t="s">
        <v>213</v>
      </c>
      <c r="B69" s="77" t="s">
        <v>1066</v>
      </c>
      <c r="C69" s="76" t="str">
        <f>IFERROR(__xludf.DUMMYFUNCTION("""COMPUTED_VALUE"""),"T4L")</f>
        <v>T4L</v>
      </c>
      <c r="D69" s="73" t="str">
        <f>IFERROR(__xludf.DUMMYFUNCTION("""COMPUTED_VALUE"""),"Headlamps, LED")</f>
        <v>Headlamps, LED</v>
      </c>
      <c r="E69" s="73"/>
      <c r="F69" s="73"/>
      <c r="G69" s="73"/>
      <c r="H69" s="73"/>
      <c r="I69" s="73"/>
      <c r="J69" s="73"/>
      <c r="K69" s="73"/>
      <c r="L69" s="73"/>
      <c r="M69" s="73"/>
      <c r="N69" s="73"/>
      <c r="O69" s="73"/>
      <c r="P69" s="73"/>
      <c r="Q69" s="73"/>
      <c r="R69" s="73"/>
      <c r="S69" s="73"/>
      <c r="T69" s="73"/>
      <c r="U69" s="73"/>
      <c r="V69" s="73"/>
      <c r="W69" s="73"/>
      <c r="X69" s="73"/>
      <c r="Y69" s="73"/>
      <c r="Z69" s="73"/>
    </row>
    <row r="70">
      <c r="A70" s="74" t="s">
        <v>215</v>
      </c>
      <c r="B70" s="77" t="s">
        <v>1067</v>
      </c>
      <c r="C70" s="76" t="str">
        <f>IFERROR(__xludf.DUMMYFUNCTION("""COMPUTED_VALUE"""),"TDM")</f>
        <v>TDM</v>
      </c>
      <c r="D70" s="73" t="str">
        <f>IFERROR(__xludf.DUMMYFUNCTION("""COMPUTED_VALUE"""),"Teen Driver")</f>
        <v>Teen Driver</v>
      </c>
      <c r="E70" s="73"/>
      <c r="F70" s="73"/>
      <c r="G70" s="73"/>
      <c r="H70" s="73"/>
      <c r="I70" s="73"/>
      <c r="J70" s="73"/>
      <c r="K70" s="73"/>
      <c r="L70" s="73"/>
      <c r="M70" s="73"/>
      <c r="N70" s="73"/>
      <c r="O70" s="73"/>
      <c r="P70" s="73"/>
      <c r="Q70" s="73"/>
      <c r="R70" s="73"/>
      <c r="S70" s="73"/>
      <c r="T70" s="73"/>
      <c r="U70" s="73"/>
      <c r="V70" s="73"/>
      <c r="W70" s="73"/>
      <c r="X70" s="73"/>
      <c r="Y70" s="73"/>
      <c r="Z70" s="73"/>
    </row>
    <row r="71">
      <c r="A71" s="74" t="s">
        <v>10</v>
      </c>
      <c r="B71" s="77" t="s">
        <v>1068</v>
      </c>
      <c r="C71" s="76" t="str">
        <f>IFERROR(__xludf.DUMMYFUNCTION("""COMPUTED_VALUE"""),"TQ5")</f>
        <v>TQ5</v>
      </c>
      <c r="D71" s="73" t="str">
        <f>IFERROR(__xludf.DUMMYFUNCTION("""COMPUTED_VALUE"""),"IntelliBeam")</f>
        <v>IntelliBeam</v>
      </c>
      <c r="E71" s="73"/>
      <c r="F71" s="73"/>
      <c r="G71" s="73"/>
      <c r="H71" s="73"/>
      <c r="I71" s="73"/>
      <c r="J71" s="73"/>
      <c r="K71" s="73"/>
      <c r="L71" s="73"/>
      <c r="M71" s="73"/>
      <c r="N71" s="73"/>
      <c r="O71" s="73"/>
      <c r="P71" s="73"/>
      <c r="Q71" s="73"/>
      <c r="R71" s="73"/>
      <c r="S71" s="73"/>
      <c r="T71" s="73"/>
      <c r="U71" s="73"/>
      <c r="V71" s="73"/>
      <c r="W71" s="73"/>
      <c r="X71" s="73"/>
      <c r="Y71" s="73"/>
      <c r="Z71" s="73"/>
    </row>
    <row r="72">
      <c r="A72" s="74" t="s">
        <v>220</v>
      </c>
      <c r="B72" s="77" t="s">
        <v>1069</v>
      </c>
      <c r="C72" s="76" t="str">
        <f>IFERROR(__xludf.DUMMYFUNCTION("""COMPUTED_VALUE"""),"TR7")</f>
        <v>TR7</v>
      </c>
      <c r="D72" s="73" t="str">
        <f>IFERROR(__xludf.DUMMYFUNCTION("""COMPUTED_VALUE"""),"Headlamp control, automatic leveling system")</f>
        <v>Headlamp control, automatic leveling system</v>
      </c>
      <c r="E72" s="73"/>
      <c r="F72" s="73"/>
      <c r="G72" s="73"/>
      <c r="H72" s="73"/>
      <c r="I72" s="73"/>
      <c r="J72" s="73"/>
      <c r="K72" s="73"/>
      <c r="L72" s="73"/>
      <c r="M72" s="73"/>
      <c r="N72" s="73"/>
      <c r="O72" s="73"/>
      <c r="P72" s="73"/>
      <c r="Q72" s="73"/>
      <c r="R72" s="73"/>
      <c r="S72" s="73"/>
      <c r="T72" s="73"/>
      <c r="U72" s="73"/>
      <c r="V72" s="73"/>
      <c r="W72" s="73"/>
      <c r="X72" s="73"/>
      <c r="Y72" s="73"/>
      <c r="Z72" s="73"/>
    </row>
    <row r="73">
      <c r="A73" s="74" t="s">
        <v>224</v>
      </c>
      <c r="B73" s="77" t="s">
        <v>1070</v>
      </c>
      <c r="C73" s="76" t="str">
        <f>IFERROR(__xludf.DUMMYFUNCTION("""COMPUTED_VALUE"""),"U2K")</f>
        <v>U2K</v>
      </c>
      <c r="D73" s="73" t="str">
        <f>IFERROR(__xludf.DUMMYFUNCTION("""COMPUTED_VALUE"""),"SiriusXM with 360L")</f>
        <v>SiriusXM with 360L</v>
      </c>
      <c r="E73" s="73"/>
      <c r="F73" s="73"/>
      <c r="G73" s="73"/>
      <c r="H73" s="73"/>
      <c r="I73" s="73"/>
      <c r="J73" s="73"/>
      <c r="K73" s="73"/>
      <c r="L73" s="73"/>
      <c r="M73" s="73"/>
      <c r="N73" s="73"/>
      <c r="O73" s="73"/>
      <c r="P73" s="73"/>
      <c r="Q73" s="73"/>
      <c r="R73" s="73"/>
      <c r="S73" s="73"/>
      <c r="T73" s="73"/>
      <c r="U73" s="73"/>
      <c r="V73" s="73"/>
      <c r="W73" s="73"/>
      <c r="X73" s="73"/>
      <c r="Y73" s="73"/>
      <c r="Z73" s="73"/>
    </row>
    <row r="74">
      <c r="A74" s="74" t="s">
        <v>228</v>
      </c>
      <c r="B74" s="77" t="s">
        <v>1071</v>
      </c>
      <c r="C74" s="76" t="str">
        <f>IFERROR(__xludf.DUMMYFUNCTION("""COMPUTED_VALUE"""),"U5G")</f>
        <v>U5G</v>
      </c>
      <c r="D74" s="73" t="str">
        <f>IFERROR(__xludf.DUMMYFUNCTION("""COMPUTED_VALUE"""),"NEW!  5G vehicle connectivity")</f>
        <v>NEW!  5G vehicle connectivity</v>
      </c>
      <c r="E74" s="73"/>
      <c r="F74" s="73"/>
      <c r="G74" s="73"/>
      <c r="H74" s="73"/>
      <c r="I74" s="73"/>
      <c r="J74" s="73"/>
      <c r="K74" s="73"/>
      <c r="L74" s="73"/>
      <c r="M74" s="73"/>
      <c r="N74" s="73"/>
      <c r="O74" s="73"/>
      <c r="P74" s="73"/>
      <c r="Q74" s="73"/>
      <c r="R74" s="73"/>
      <c r="S74" s="73"/>
      <c r="T74" s="73"/>
      <c r="U74" s="73"/>
      <c r="V74" s="73"/>
      <c r="W74" s="73"/>
      <c r="X74" s="73"/>
      <c r="Y74" s="73"/>
      <c r="Z74" s="73"/>
    </row>
    <row r="75">
      <c r="A75" s="74" t="s">
        <v>231</v>
      </c>
      <c r="B75" s="77" t="s">
        <v>1072</v>
      </c>
      <c r="C75" s="76" t="str">
        <f>IFERROR(__xludf.DUMMYFUNCTION("""COMPUTED_VALUE"""),"U80")</f>
        <v>U80</v>
      </c>
      <c r="D75" s="73" t="str">
        <f>IFERROR(__xludf.DUMMYFUNCTION("""COMPUTED_VALUE"""),"Compass, digital")</f>
        <v>Compass, digital</v>
      </c>
      <c r="E75" s="73"/>
      <c r="F75" s="73"/>
      <c r="G75" s="73"/>
      <c r="H75" s="73"/>
      <c r="I75" s="73"/>
      <c r="J75" s="73"/>
      <c r="K75" s="73"/>
      <c r="L75" s="73"/>
      <c r="M75" s="73"/>
      <c r="N75" s="73"/>
      <c r="O75" s="73"/>
      <c r="P75" s="73"/>
      <c r="Q75" s="73"/>
      <c r="R75" s="73"/>
      <c r="S75" s="73"/>
      <c r="T75" s="73"/>
      <c r="U75" s="73"/>
      <c r="V75" s="73"/>
      <c r="W75" s="73"/>
      <c r="X75" s="73"/>
      <c r="Y75" s="73"/>
      <c r="Z75" s="73"/>
    </row>
    <row r="76">
      <c r="A76" s="74" t="s">
        <v>235</v>
      </c>
      <c r="B76" s="77" t="s">
        <v>1073</v>
      </c>
      <c r="C76" s="76" t="str">
        <f>IFERROR(__xludf.DUMMYFUNCTION("""COMPUTED_VALUE"""),"UD7")</f>
        <v>UD7</v>
      </c>
      <c r="D76" s="73" t="str">
        <f>IFERROR(__xludf.DUMMYFUNCTION("""COMPUTED_VALUE"""),"Rear Park Assist")</f>
        <v>Rear Park Assist</v>
      </c>
      <c r="E76" s="73"/>
      <c r="F76" s="73"/>
      <c r="G76" s="73"/>
      <c r="H76" s="73"/>
      <c r="I76" s="73"/>
      <c r="J76" s="73"/>
      <c r="K76" s="73"/>
      <c r="L76" s="73"/>
      <c r="M76" s="73"/>
      <c r="N76" s="73"/>
      <c r="O76" s="73"/>
      <c r="P76" s="73"/>
      <c r="Q76" s="73"/>
      <c r="R76" s="73"/>
      <c r="S76" s="73"/>
      <c r="T76" s="73"/>
      <c r="U76" s="73"/>
      <c r="V76" s="73"/>
      <c r="W76" s="73"/>
      <c r="X76" s="73"/>
      <c r="Y76" s="73"/>
      <c r="Z76" s="73"/>
    </row>
    <row r="77">
      <c r="A77" s="74" t="s">
        <v>953</v>
      </c>
      <c r="B77" s="77" t="s">
        <v>1074</v>
      </c>
      <c r="C77" s="76" t="str">
        <f>IFERROR(__xludf.DUMMYFUNCTION("""COMPUTED_VALUE"""),"UE1")</f>
        <v>UE1</v>
      </c>
      <c r="D77" s="73" t="str">
        <f>IFERROR(__xludf.DUMMYFUNCTION("""COMPUTED_VALUE"""),"OnStar services capable")</f>
        <v>OnStar services capable</v>
      </c>
      <c r="E77" s="73"/>
      <c r="F77" s="73"/>
      <c r="G77" s="73"/>
      <c r="H77" s="73"/>
      <c r="I77" s="73"/>
      <c r="J77" s="73"/>
      <c r="K77" s="73"/>
      <c r="L77" s="73"/>
      <c r="M77" s="73"/>
      <c r="N77" s="73"/>
      <c r="O77" s="73"/>
      <c r="P77" s="73"/>
      <c r="Q77" s="73"/>
      <c r="R77" s="73"/>
      <c r="S77" s="73"/>
      <c r="T77" s="73"/>
      <c r="U77" s="73"/>
      <c r="V77" s="73"/>
      <c r="W77" s="73"/>
      <c r="X77" s="73"/>
      <c r="Y77" s="73"/>
      <c r="Z77" s="73"/>
    </row>
    <row r="78">
      <c r="A78" s="74" t="s">
        <v>1075</v>
      </c>
      <c r="B78" s="77" t="s">
        <v>1076</v>
      </c>
      <c r="C78" s="76" t="str">
        <f>IFERROR(__xludf.DUMMYFUNCTION("""COMPUTED_VALUE"""),"UEU")</f>
        <v>UEU</v>
      </c>
      <c r="D78" s="73" t="str">
        <f>IFERROR(__xludf.DUMMYFUNCTION("""COMPUTED_VALUE"""),"Forward Collision Alert")</f>
        <v>Forward Collision Alert</v>
      </c>
      <c r="E78" s="73"/>
      <c r="F78" s="73"/>
      <c r="G78" s="73"/>
      <c r="H78" s="73"/>
      <c r="I78" s="73"/>
      <c r="J78" s="73"/>
      <c r="K78" s="73"/>
      <c r="L78" s="73"/>
      <c r="M78" s="73"/>
      <c r="N78" s="73"/>
      <c r="O78" s="73"/>
      <c r="P78" s="73"/>
      <c r="Q78" s="73"/>
      <c r="R78" s="73"/>
      <c r="S78" s="73"/>
      <c r="T78" s="73"/>
      <c r="U78" s="73"/>
      <c r="V78" s="73"/>
      <c r="W78" s="73"/>
      <c r="X78" s="73"/>
      <c r="Y78" s="73"/>
      <c r="Z78" s="73"/>
    </row>
    <row r="79">
      <c r="A79" s="74" t="s">
        <v>238</v>
      </c>
      <c r="B79" s="77" t="s">
        <v>1077</v>
      </c>
      <c r="C79" s="76" t="str">
        <f>IFERROR(__xludf.DUMMYFUNCTION("""COMPUTED_VALUE"""),"UFG")</f>
        <v>UFG</v>
      </c>
      <c r="D79" s="73" t="str">
        <f>IFERROR(__xludf.DUMMYFUNCTION("""COMPUTED_VALUE"""),"Rear Cross Traffic Alert")</f>
        <v>Rear Cross Traffic Alert</v>
      </c>
      <c r="E79" s="73"/>
      <c r="F79" s="73"/>
      <c r="G79" s="73"/>
      <c r="H79" s="73"/>
      <c r="I79" s="73"/>
      <c r="J79" s="73"/>
      <c r="K79" s="73"/>
      <c r="L79" s="73"/>
      <c r="M79" s="73"/>
      <c r="N79" s="73"/>
      <c r="O79" s="73"/>
      <c r="P79" s="73"/>
      <c r="Q79" s="73"/>
      <c r="R79" s="73"/>
      <c r="S79" s="73"/>
      <c r="T79" s="73"/>
      <c r="U79" s="73"/>
      <c r="V79" s="73"/>
      <c r="W79" s="73"/>
      <c r="X79" s="73"/>
      <c r="Y79" s="73"/>
      <c r="Z79" s="73"/>
    </row>
    <row r="80">
      <c r="A80" s="74" t="s">
        <v>1078</v>
      </c>
      <c r="B80" s="77" t="s">
        <v>1079</v>
      </c>
      <c r="C80" s="76" t="str">
        <f>IFERROR(__xludf.DUMMYFUNCTION("""COMPUTED_VALUE"""),"UFT")</f>
        <v>UFT</v>
      </c>
      <c r="D80" s="73" t="str">
        <f>IFERROR(__xludf.DUMMYFUNCTION("""COMPUTED_VALUE"""),"Side Blind Zone Alert")</f>
        <v>Side Blind Zone Alert</v>
      </c>
      <c r="E80" s="73"/>
      <c r="F80" s="73"/>
      <c r="G80" s="73"/>
      <c r="H80" s="73"/>
      <c r="I80" s="73"/>
      <c r="J80" s="73"/>
      <c r="K80" s="73"/>
      <c r="L80" s="73"/>
      <c r="M80" s="73"/>
      <c r="N80" s="73"/>
      <c r="O80" s="73"/>
      <c r="P80" s="73"/>
      <c r="Q80" s="73"/>
      <c r="R80" s="73"/>
      <c r="S80" s="73"/>
      <c r="T80" s="73"/>
      <c r="U80" s="73"/>
      <c r="V80" s="73"/>
      <c r="W80" s="73"/>
      <c r="X80" s="73"/>
      <c r="Y80" s="73"/>
      <c r="Z80" s="73"/>
    </row>
    <row r="81">
      <c r="A81" s="74" t="s">
        <v>242</v>
      </c>
      <c r="B81" s="77" t="s">
        <v>1080</v>
      </c>
      <c r="C81" s="76" t="str">
        <f>IFERROR(__xludf.DUMMYFUNCTION("""COMPUTED_VALUE"""),"UG1")</f>
        <v>UG1</v>
      </c>
      <c r="D81" s="73" t="str">
        <f>IFERROR(__xludf.DUMMYFUNCTION("""COMPUTED_VALUE"""),"Universal Home Remote")</f>
        <v>Universal Home Remote</v>
      </c>
      <c r="E81" s="73"/>
      <c r="F81" s="73"/>
      <c r="G81" s="73"/>
      <c r="H81" s="73"/>
      <c r="I81" s="73"/>
      <c r="J81" s="73"/>
      <c r="K81" s="73"/>
      <c r="L81" s="73"/>
      <c r="M81" s="73"/>
      <c r="N81" s="73"/>
      <c r="O81" s="73"/>
      <c r="P81" s="73"/>
      <c r="Q81" s="73"/>
      <c r="R81" s="73"/>
      <c r="S81" s="73"/>
      <c r="T81" s="73"/>
      <c r="U81" s="73"/>
      <c r="V81" s="73"/>
      <c r="W81" s="73"/>
      <c r="X81" s="73"/>
      <c r="Y81" s="73"/>
      <c r="Z81" s="73"/>
    </row>
    <row r="82">
      <c r="A82" s="74" t="s">
        <v>1081</v>
      </c>
      <c r="B82" s="77" t="s">
        <v>1082</v>
      </c>
      <c r="C82" s="76" t="str">
        <f>IFERROR(__xludf.DUMMYFUNCTION("""COMPUTED_VALUE"""),"UHX")</f>
        <v>UHX</v>
      </c>
      <c r="D82" s="73" t="str">
        <f>IFERROR(__xludf.DUMMYFUNCTION("""COMPUTED_VALUE"""),"Lane Keep Assist with Lane Departure Warning")</f>
        <v>Lane Keep Assist with Lane Departure Warning</v>
      </c>
      <c r="E82" s="73"/>
      <c r="F82" s="73"/>
      <c r="G82" s="73"/>
      <c r="H82" s="73"/>
      <c r="I82" s="73"/>
      <c r="J82" s="73"/>
      <c r="K82" s="73"/>
      <c r="L82" s="73"/>
      <c r="M82" s="73"/>
      <c r="N82" s="73"/>
      <c r="O82" s="73"/>
      <c r="P82" s="73"/>
      <c r="Q82" s="73"/>
      <c r="R82" s="73"/>
      <c r="S82" s="73"/>
      <c r="T82" s="73"/>
      <c r="U82" s="73"/>
      <c r="V82" s="73"/>
      <c r="W82" s="73"/>
      <c r="X82" s="73"/>
      <c r="Y82" s="73"/>
      <c r="Z82" s="73"/>
    </row>
    <row r="83">
      <c r="A83" s="74" t="s">
        <v>1083</v>
      </c>
      <c r="B83" s="77" t="s">
        <v>1084</v>
      </c>
      <c r="C83" s="76" t="str">
        <f>IFERROR(__xludf.DUMMYFUNCTION("""COMPUTED_VALUE"""),"UHY")</f>
        <v>UHY</v>
      </c>
      <c r="D83" s="73" t="str">
        <f>IFERROR(__xludf.DUMMYFUNCTION("""COMPUTED_VALUE"""),"Automatic Emergency Braking")</f>
        <v>Automatic Emergency Braking</v>
      </c>
      <c r="E83" s="73"/>
      <c r="F83" s="73"/>
      <c r="G83" s="73"/>
      <c r="H83" s="73"/>
      <c r="I83" s="73"/>
      <c r="J83" s="73"/>
      <c r="K83" s="73"/>
      <c r="L83" s="73"/>
      <c r="M83" s="73"/>
      <c r="N83" s="73"/>
      <c r="O83" s="73"/>
      <c r="P83" s="73"/>
      <c r="Q83" s="73"/>
      <c r="R83" s="73"/>
      <c r="S83" s="73"/>
      <c r="T83" s="73"/>
      <c r="U83" s="73"/>
      <c r="V83" s="73"/>
      <c r="W83" s="73"/>
      <c r="X83" s="73"/>
      <c r="Y83" s="73"/>
      <c r="Z83" s="73"/>
    </row>
    <row r="84">
      <c r="A84" s="74" t="s">
        <v>1085</v>
      </c>
      <c r="B84" s="77" t="s">
        <v>1086</v>
      </c>
      <c r="C84" s="76" t="str">
        <f>IFERROR(__xludf.DUMMYFUNCTION("""COMPUTED_VALUE"""),"UKT")</f>
        <v>UKT</v>
      </c>
      <c r="D84" s="73" t="str">
        <f>IFERROR(__xludf.DUMMYFUNCTION("""COMPUTED_VALUE"""),"Front Pedestrian and Bicyclist Braking")</f>
        <v>Front Pedestrian and Bicyclist Braking</v>
      </c>
      <c r="E84" s="73"/>
      <c r="F84" s="73"/>
      <c r="G84" s="73"/>
      <c r="H84" s="73"/>
      <c r="I84" s="73"/>
      <c r="J84" s="73"/>
      <c r="K84" s="73"/>
      <c r="L84" s="73"/>
      <c r="M84" s="73"/>
      <c r="N84" s="73"/>
      <c r="O84" s="73"/>
      <c r="P84" s="73"/>
      <c r="Q84" s="73"/>
      <c r="R84" s="73"/>
      <c r="S84" s="73"/>
      <c r="T84" s="73"/>
      <c r="U84" s="73"/>
      <c r="V84" s="73"/>
      <c r="W84" s="73"/>
      <c r="X84" s="73"/>
      <c r="Y84" s="73"/>
      <c r="Z84" s="73"/>
    </row>
    <row r="85">
      <c r="A85" s="74" t="s">
        <v>1087</v>
      </c>
      <c r="B85" s="77" t="s">
        <v>1088</v>
      </c>
      <c r="C85" s="76" t="str">
        <f>IFERROR(__xludf.DUMMYFUNCTION("""COMPUTED_VALUE"""),"UQH")</f>
        <v>UQH</v>
      </c>
      <c r="D85" s="73" t="str">
        <f>IFERROR(__xludf.DUMMYFUNCTION("""COMPUTED_VALUE"""),"Audio system feature, Bose Performance Series Sound System")</f>
        <v>Audio system feature, Bose Performance Series Sound System</v>
      </c>
      <c r="E85" s="73"/>
      <c r="F85" s="73"/>
      <c r="G85" s="73"/>
      <c r="H85" s="73"/>
      <c r="I85" s="73"/>
      <c r="J85" s="73"/>
      <c r="K85" s="73"/>
      <c r="L85" s="73"/>
      <c r="M85" s="73"/>
      <c r="N85" s="73"/>
      <c r="O85" s="73"/>
      <c r="P85" s="73"/>
      <c r="Q85" s="73"/>
      <c r="R85" s="73"/>
      <c r="S85" s="73"/>
      <c r="T85" s="73"/>
      <c r="U85" s="73"/>
      <c r="V85" s="73"/>
      <c r="W85" s="73"/>
      <c r="X85" s="73"/>
      <c r="Y85" s="73"/>
      <c r="Z85" s="73"/>
    </row>
    <row r="86">
      <c r="A86" s="74" t="s">
        <v>1089</v>
      </c>
      <c r="B86" s="77" t="s">
        <v>1090</v>
      </c>
      <c r="C86" s="76" t="str">
        <f>IFERROR(__xludf.DUMMYFUNCTION("""COMPUTED_VALUE"""),"UQS")</f>
        <v>UQS</v>
      </c>
      <c r="D86" s="73" t="str">
        <f>IFERROR(__xludf.DUMMYFUNCTION("""COMPUTED_VALUE"""),"Audio system feature, Bose Premium 10-speaker system")</f>
        <v>Audio system feature, Bose Premium 10-speaker system</v>
      </c>
      <c r="E86" s="73"/>
      <c r="F86" s="73"/>
      <c r="G86" s="73"/>
      <c r="H86" s="73"/>
      <c r="I86" s="73"/>
      <c r="J86" s="73"/>
      <c r="K86" s="73"/>
      <c r="L86" s="73"/>
      <c r="M86" s="73"/>
      <c r="N86" s="73"/>
      <c r="O86" s="73"/>
      <c r="P86" s="73"/>
      <c r="Q86" s="73"/>
      <c r="R86" s="73"/>
      <c r="S86" s="73"/>
      <c r="T86" s="73"/>
      <c r="U86" s="73"/>
      <c r="V86" s="73"/>
      <c r="W86" s="73"/>
      <c r="X86" s="73"/>
      <c r="Y86" s="73"/>
      <c r="Z86" s="73"/>
    </row>
    <row r="87">
      <c r="A87" s="74" t="s">
        <v>1091</v>
      </c>
      <c r="B87" s="77" t="s">
        <v>1092</v>
      </c>
      <c r="C87" s="76" t="str">
        <f>IFERROR(__xludf.DUMMYFUNCTION("""COMPUTED_VALUE"""),"UTJ")</f>
        <v>UTJ</v>
      </c>
      <c r="D87" s="73" t="str">
        <f>IFERROR(__xludf.DUMMYFUNCTION("""COMPUTED_VALUE"""),"Theft-deterrent system")</f>
        <v>Theft-deterrent system</v>
      </c>
      <c r="E87" s="73"/>
      <c r="F87" s="73"/>
      <c r="G87" s="73"/>
      <c r="H87" s="73"/>
      <c r="I87" s="73"/>
      <c r="J87" s="73"/>
      <c r="K87" s="73"/>
      <c r="L87" s="73"/>
      <c r="M87" s="73"/>
      <c r="N87" s="73"/>
      <c r="O87" s="73"/>
      <c r="P87" s="73"/>
      <c r="Q87" s="73"/>
      <c r="R87" s="73"/>
      <c r="S87" s="73"/>
      <c r="T87" s="73"/>
      <c r="U87" s="73"/>
      <c r="V87" s="73"/>
      <c r="W87" s="73"/>
      <c r="X87" s="73"/>
      <c r="Y87" s="73"/>
      <c r="Z87" s="73"/>
    </row>
    <row r="88">
      <c r="A88" s="74" t="s">
        <v>1093</v>
      </c>
      <c r="B88" s="77" t="s">
        <v>1094</v>
      </c>
      <c r="C88" s="76" t="str">
        <f>IFERROR(__xludf.DUMMYFUNCTION("""COMPUTED_VALUE"""),"UTU")</f>
        <v>UTU</v>
      </c>
      <c r="D88" s="73" t="str">
        <f>IFERROR(__xludf.DUMMYFUNCTION("""COMPUTED_VALUE"""),"Theft deterrent sensor, vehicle inclination")</f>
        <v>Theft deterrent sensor, vehicle inclination</v>
      </c>
      <c r="E88" s="73"/>
      <c r="F88" s="73"/>
      <c r="G88" s="73"/>
      <c r="H88" s="73"/>
      <c r="I88" s="73"/>
      <c r="J88" s="73"/>
      <c r="K88" s="73"/>
      <c r="L88" s="73"/>
      <c r="M88" s="73"/>
      <c r="N88" s="73"/>
      <c r="O88" s="73"/>
      <c r="P88" s="73"/>
      <c r="Q88" s="73"/>
      <c r="R88" s="73"/>
      <c r="S88" s="73"/>
      <c r="T88" s="73"/>
      <c r="U88" s="73"/>
      <c r="V88" s="73"/>
      <c r="W88" s="73"/>
      <c r="X88" s="73"/>
      <c r="Y88" s="73"/>
      <c r="Z88" s="73"/>
    </row>
    <row r="89">
      <c r="A89" s="74" t="s">
        <v>271</v>
      </c>
      <c r="B89" s="77" t="s">
        <v>1095</v>
      </c>
      <c r="C89" s="76" t="str">
        <f>IFERROR(__xludf.DUMMYFUNCTION("""COMPUTED_VALUE"""),"UTV")</f>
        <v>UTV</v>
      </c>
      <c r="D89" s="73" t="str">
        <f>IFERROR(__xludf.DUMMYFUNCTION("""COMPUTED_VALUE"""),"Theft deterrent sensor, vehicle interior movement")</f>
        <v>Theft deterrent sensor, vehicle interior movement</v>
      </c>
      <c r="E89" s="73"/>
      <c r="F89" s="73"/>
      <c r="G89" s="73"/>
      <c r="H89" s="73"/>
      <c r="I89" s="73"/>
      <c r="J89" s="73"/>
      <c r="K89" s="73"/>
      <c r="L89" s="73"/>
      <c r="M89" s="73"/>
      <c r="N89" s="73"/>
      <c r="O89" s="73"/>
      <c r="P89" s="73"/>
      <c r="Q89" s="73"/>
      <c r="R89" s="73"/>
      <c r="S89" s="73"/>
      <c r="T89" s="73"/>
      <c r="U89" s="73"/>
      <c r="V89" s="73"/>
      <c r="W89" s="73"/>
      <c r="X89" s="73"/>
      <c r="Y89" s="73"/>
      <c r="Z89" s="73"/>
    </row>
    <row r="90">
      <c r="A90" s="74" t="s">
        <v>13</v>
      </c>
      <c r="B90" s="77" t="s">
        <v>1096</v>
      </c>
      <c r="C90" s="76" t="str">
        <f>IFERROR(__xludf.DUMMYFUNCTION("""COMPUTED_VALUE"""),"UV6")</f>
        <v>UV6</v>
      </c>
      <c r="D90" s="73" t="str">
        <f>IFERROR(__xludf.DUMMYFUNCTION("""COMPUTED_VALUE"""),"Head-Up Display")</f>
        <v>Head-Up Display</v>
      </c>
      <c r="E90" s="73"/>
      <c r="F90" s="73"/>
      <c r="G90" s="73"/>
      <c r="H90" s="73"/>
      <c r="I90" s="73"/>
      <c r="J90" s="73"/>
      <c r="K90" s="73"/>
      <c r="L90" s="73"/>
      <c r="M90" s="73"/>
      <c r="N90" s="73"/>
      <c r="O90" s="73"/>
      <c r="P90" s="73"/>
      <c r="Q90" s="73"/>
      <c r="R90" s="73"/>
      <c r="S90" s="73"/>
      <c r="T90" s="73"/>
      <c r="U90" s="73"/>
      <c r="V90" s="73"/>
      <c r="W90" s="73"/>
      <c r="X90" s="73"/>
      <c r="Y90" s="73"/>
      <c r="Z90" s="73"/>
    </row>
    <row r="91">
      <c r="A91" s="74" t="s">
        <v>278</v>
      </c>
      <c r="B91" s="77" t="s">
        <v>1097</v>
      </c>
      <c r="C91" s="76" t="str">
        <f>IFERROR(__xludf.DUMMYFUNCTION("""COMPUTED_VALUE"""),"UVA")</f>
        <v>UVA</v>
      </c>
      <c r="D91" s="73" t="str">
        <f>IFERROR(__xludf.DUMMYFUNCTION("""COMPUTED_VALUE"""),"HD Front and Rear Vision Cameras")</f>
        <v>HD Front and Rear Vision Cameras</v>
      </c>
      <c r="E91" s="73"/>
      <c r="F91" s="73"/>
      <c r="G91" s="73"/>
      <c r="H91" s="73"/>
      <c r="I91" s="73"/>
      <c r="J91" s="73"/>
      <c r="K91" s="73"/>
      <c r="L91" s="73"/>
      <c r="M91" s="73"/>
      <c r="N91" s="73"/>
      <c r="O91" s="73"/>
      <c r="P91" s="73"/>
      <c r="Q91" s="73"/>
      <c r="R91" s="73"/>
      <c r="S91" s="73"/>
      <c r="T91" s="73"/>
      <c r="U91" s="73"/>
      <c r="V91" s="73"/>
      <c r="W91" s="73"/>
      <c r="X91" s="73"/>
      <c r="Y91" s="73"/>
      <c r="Z91" s="73"/>
    </row>
    <row r="92">
      <c r="A92" s="74" t="s">
        <v>280</v>
      </c>
      <c r="B92" s="77" t="s">
        <v>1098</v>
      </c>
      <c r="C92" s="76" t="str">
        <f>IFERROR(__xludf.DUMMYFUNCTION("""COMPUTED_VALUE"""),"UVB")</f>
        <v>UVB</v>
      </c>
      <c r="D92" s="73" t="str">
        <f>IFERROR(__xludf.DUMMYFUNCTION("""COMPUTED_VALUE"""),"HD Rear Vision Camera")</f>
        <v>HD Rear Vision Camera</v>
      </c>
      <c r="E92" s="73"/>
      <c r="F92" s="73"/>
      <c r="G92" s="73"/>
      <c r="H92" s="73"/>
      <c r="I92" s="73"/>
      <c r="J92" s="73"/>
      <c r="K92" s="73"/>
      <c r="L92" s="73"/>
      <c r="M92" s="73"/>
      <c r="N92" s="73"/>
      <c r="O92" s="73"/>
      <c r="P92" s="73"/>
      <c r="Q92" s="73"/>
      <c r="R92" s="73"/>
      <c r="S92" s="73"/>
      <c r="T92" s="73"/>
      <c r="U92" s="73"/>
      <c r="V92" s="73"/>
      <c r="W92" s="73"/>
      <c r="X92" s="73"/>
      <c r="Y92" s="73"/>
      <c r="Z92" s="73"/>
    </row>
    <row r="93">
      <c r="A93" s="74" t="s">
        <v>1099</v>
      </c>
      <c r="B93" s="77" t="s">
        <v>1100</v>
      </c>
      <c r="C93" s="76" t="str">
        <f>IFERROR(__xludf.DUMMYFUNCTION("""COMPUTED_VALUE"""),"V08")</f>
        <v>V08</v>
      </c>
      <c r="D93" s="73" t="str">
        <f>IFERROR(__xludf.DUMMYFUNCTION("""COMPUTED_VALUE"""),"Cooling system, heavy-duty")</f>
        <v>Cooling system, heavy-duty</v>
      </c>
      <c r="E93" s="73"/>
      <c r="F93" s="73"/>
      <c r="G93" s="73"/>
      <c r="H93" s="73"/>
      <c r="I93" s="73"/>
      <c r="J93" s="73"/>
      <c r="K93" s="73"/>
      <c r="L93" s="73"/>
      <c r="M93" s="73"/>
      <c r="N93" s="73"/>
      <c r="O93" s="73"/>
      <c r="P93" s="73"/>
      <c r="Q93" s="73"/>
      <c r="R93" s="73"/>
      <c r="S93" s="73"/>
      <c r="T93" s="73"/>
      <c r="U93" s="73"/>
      <c r="V93" s="73"/>
      <c r="W93" s="73"/>
      <c r="X93" s="73"/>
      <c r="Y93" s="73"/>
      <c r="Z93" s="73"/>
    </row>
    <row r="94">
      <c r="A94" s="74" t="s">
        <v>1101</v>
      </c>
      <c r="B94" s="77" t="s">
        <v>1102</v>
      </c>
      <c r="C94" s="76" t="str">
        <f>IFERROR(__xludf.DUMMYFUNCTION("""COMPUTED_VALUE"""),"VHM")</f>
        <v>VHM</v>
      </c>
      <c r="D94" s="73" t="str">
        <f>IFERROR(__xludf.DUMMYFUNCTION("""COMPUTED_VALUE"""),"Vehicle health management")</f>
        <v>Vehicle health management</v>
      </c>
      <c r="E94" s="73"/>
      <c r="F94" s="73"/>
      <c r="G94" s="73"/>
      <c r="H94" s="73"/>
      <c r="I94" s="73"/>
      <c r="J94" s="73"/>
      <c r="K94" s="73"/>
      <c r="L94" s="73"/>
      <c r="M94" s="73"/>
      <c r="N94" s="73"/>
      <c r="O94" s="73"/>
      <c r="P94" s="73"/>
      <c r="Q94" s="73"/>
      <c r="R94" s="73"/>
      <c r="S94" s="73"/>
      <c r="T94" s="73"/>
      <c r="U94" s="73"/>
      <c r="V94" s="73"/>
      <c r="W94" s="73"/>
      <c r="X94" s="73"/>
      <c r="Y94" s="73"/>
      <c r="Z94" s="73"/>
    </row>
    <row r="95">
      <c r="A95" s="74" t="s">
        <v>1103</v>
      </c>
      <c r="B95" s="77" t="s">
        <v>1104</v>
      </c>
      <c r="C95" s="76" t="str">
        <f>IFERROR(__xludf.DUMMYFUNCTION("""COMPUTED_VALUE"""),"VV4")</f>
        <v>VV4</v>
      </c>
      <c r="D95" s="73" t="str">
        <f>IFERROR(__xludf.DUMMYFUNCTION("""COMPUTED_VALUE"""),"Wi-Fi Hotspot capable")</f>
        <v>Wi-Fi Hotspot capable</v>
      </c>
      <c r="E95" s="73"/>
      <c r="F95" s="73"/>
      <c r="G95" s="73"/>
      <c r="H95" s="73"/>
      <c r="I95" s="73"/>
      <c r="J95" s="73"/>
      <c r="K95" s="73"/>
      <c r="L95" s="73"/>
      <c r="M95" s="73"/>
      <c r="N95" s="73"/>
      <c r="O95" s="73"/>
      <c r="P95" s="73"/>
      <c r="Q95" s="73"/>
      <c r="R95" s="73"/>
      <c r="S95" s="73"/>
      <c r="T95" s="73"/>
      <c r="U95" s="73"/>
      <c r="V95" s="73"/>
      <c r="W95" s="73"/>
      <c r="X95" s="73"/>
      <c r="Y95" s="73"/>
      <c r="Z95" s="73"/>
    </row>
    <row r="96">
      <c r="A96" s="74" t="s">
        <v>1105</v>
      </c>
      <c r="B96" s="77" t="s">
        <v>1106</v>
      </c>
      <c r="C96" s="76" t="str">
        <f>IFERROR(__xludf.DUMMYFUNCTION("""COMPUTED_VALUE"""),"XFN")</f>
        <v>XFN</v>
      </c>
      <c r="D96" s="73" t="str">
        <f>IFERROR(__xludf.DUMMYFUNCTION("""COMPUTED_VALUE"""),"Tires, 245/35ZR19 front and 305/30ZR20 rear, blackwall, all-season, performance")</f>
        <v>Tires, 245/35ZR19 front and 305/30ZR20 rear, blackwall, all-season, performance</v>
      </c>
      <c r="E96" s="73"/>
      <c r="F96" s="73"/>
      <c r="G96" s="73"/>
      <c r="H96" s="73"/>
      <c r="I96" s="73"/>
      <c r="J96" s="73"/>
      <c r="K96" s="73"/>
      <c r="L96" s="73"/>
      <c r="M96" s="73"/>
      <c r="N96" s="73"/>
      <c r="O96" s="73"/>
      <c r="P96" s="73"/>
      <c r="Q96" s="73"/>
      <c r="R96" s="73"/>
      <c r="S96" s="73"/>
      <c r="T96" s="73"/>
      <c r="U96" s="73"/>
      <c r="V96" s="73"/>
      <c r="W96" s="73"/>
      <c r="X96" s="73"/>
      <c r="Y96" s="73"/>
      <c r="Z96" s="73"/>
    </row>
    <row r="97">
      <c r="A97" s="74" t="s">
        <v>1107</v>
      </c>
      <c r="B97" s="77" t="s">
        <v>1108</v>
      </c>
      <c r="C97" s="76" t="str">
        <f>IFERROR(__xludf.DUMMYFUNCTION("""COMPUTED_VALUE"""),"YF5")</f>
        <v>YF5</v>
      </c>
      <c r="D97" s="73" t="str">
        <f>IFERROR(__xludf.DUMMYFUNCTION("""COMPUTED_VALUE"""),"Emissions, California state requirements")</f>
        <v>Emissions, California state requirements</v>
      </c>
      <c r="E97" s="73"/>
      <c r="F97" s="73"/>
      <c r="G97" s="73"/>
      <c r="H97" s="73"/>
      <c r="I97" s="73"/>
      <c r="J97" s="73"/>
      <c r="K97" s="73"/>
      <c r="L97" s="73"/>
      <c r="M97" s="73"/>
      <c r="N97" s="73"/>
      <c r="O97" s="73"/>
      <c r="P97" s="73"/>
      <c r="Q97" s="73"/>
      <c r="R97" s="73"/>
      <c r="S97" s="73"/>
      <c r="T97" s="73"/>
      <c r="U97" s="73"/>
      <c r="V97" s="73"/>
      <c r="W97" s="73"/>
      <c r="X97" s="73"/>
      <c r="Y97" s="73"/>
      <c r="Z97" s="73"/>
    </row>
    <row r="98">
      <c r="A98" s="74" t="s">
        <v>1109</v>
      </c>
      <c r="B98" s="77" t="s">
        <v>1110</v>
      </c>
      <c r="C98" s="76"/>
      <c r="D98" s="73"/>
      <c r="E98" s="73"/>
      <c r="F98" s="73"/>
      <c r="G98" s="73"/>
      <c r="H98" s="73"/>
      <c r="I98" s="73"/>
      <c r="J98" s="73"/>
      <c r="K98" s="73"/>
      <c r="L98" s="73"/>
      <c r="M98" s="73"/>
      <c r="N98" s="73"/>
      <c r="O98" s="73"/>
      <c r="P98" s="73"/>
      <c r="Q98" s="73"/>
      <c r="R98" s="73"/>
      <c r="S98" s="73"/>
      <c r="T98" s="73"/>
      <c r="U98" s="73"/>
      <c r="V98" s="73"/>
      <c r="W98" s="73"/>
      <c r="X98" s="73"/>
      <c r="Y98" s="73"/>
      <c r="Z98" s="73"/>
    </row>
    <row r="99">
      <c r="A99" s="74" t="s">
        <v>1111</v>
      </c>
      <c r="B99" s="77" t="s">
        <v>1112</v>
      </c>
      <c r="C99" s="76"/>
      <c r="D99" s="73"/>
      <c r="E99" s="73"/>
      <c r="F99" s="73"/>
      <c r="G99" s="73"/>
      <c r="H99" s="73"/>
      <c r="I99" s="73"/>
      <c r="J99" s="73"/>
      <c r="K99" s="73"/>
      <c r="L99" s="73"/>
      <c r="M99" s="73"/>
      <c r="N99" s="73"/>
      <c r="O99" s="73"/>
      <c r="P99" s="73"/>
      <c r="Q99" s="73"/>
      <c r="R99" s="73"/>
      <c r="S99" s="73"/>
      <c r="T99" s="73"/>
      <c r="U99" s="73"/>
      <c r="V99" s="73"/>
      <c r="W99" s="73"/>
      <c r="X99" s="73"/>
      <c r="Y99" s="73"/>
      <c r="Z99" s="73"/>
    </row>
    <row r="100">
      <c r="A100" s="74" t="s">
        <v>728</v>
      </c>
      <c r="B100" s="77" t="s">
        <v>1113</v>
      </c>
      <c r="C100" s="76"/>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4" t="s">
        <v>1114</v>
      </c>
      <c r="B101" s="77" t="s">
        <v>1115</v>
      </c>
      <c r="C101" s="76"/>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4" t="s">
        <v>1116</v>
      </c>
      <c r="B102" s="77" t="s">
        <v>1117</v>
      </c>
      <c r="C102" s="76"/>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4" t="s">
        <v>1118</v>
      </c>
      <c r="B103" s="77" t="s">
        <v>1119</v>
      </c>
      <c r="C103" s="76"/>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4" t="s">
        <v>1120</v>
      </c>
      <c r="B104" s="77" t="s">
        <v>1121</v>
      </c>
      <c r="C104" s="76"/>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4" t="s">
        <v>1122</v>
      </c>
      <c r="B105" s="77" t="s">
        <v>1123</v>
      </c>
      <c r="C105" s="76"/>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4" t="s">
        <v>6</v>
      </c>
      <c r="B106" s="77" t="s">
        <v>1124</v>
      </c>
      <c r="C106" s="76"/>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4" t="s">
        <v>1125</v>
      </c>
      <c r="B107" s="77" t="s">
        <v>1126</v>
      </c>
      <c r="C107" s="76"/>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4" t="s">
        <v>286</v>
      </c>
      <c r="B108" s="77" t="s">
        <v>1127</v>
      </c>
      <c r="C108" s="76"/>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4" t="s">
        <v>1128</v>
      </c>
      <c r="B109" s="77" t="s">
        <v>1129</v>
      </c>
      <c r="C109" s="76"/>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4" t="s">
        <v>1130</v>
      </c>
      <c r="B110" s="77" t="s">
        <v>1131</v>
      </c>
      <c r="C110" s="76"/>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4" t="s">
        <v>1132</v>
      </c>
      <c r="B111" s="77" t="s">
        <v>1133</v>
      </c>
      <c r="C111" s="76"/>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4" t="s">
        <v>1134</v>
      </c>
      <c r="B112" s="77" t="s">
        <v>1135</v>
      </c>
      <c r="C112" s="76"/>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4" t="s">
        <v>1136</v>
      </c>
      <c r="B113" s="77" t="s">
        <v>1137</v>
      </c>
      <c r="C113" s="76"/>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4" t="s">
        <v>1138</v>
      </c>
      <c r="B114" s="77" t="s">
        <v>1139</v>
      </c>
      <c r="C114" s="76"/>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4" t="s">
        <v>1140</v>
      </c>
      <c r="B115" s="77" t="s">
        <v>1141</v>
      </c>
      <c r="C115" s="76"/>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4" t="s">
        <v>1142</v>
      </c>
      <c r="B116" s="77" t="s">
        <v>1143</v>
      </c>
      <c r="C116" s="76"/>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4" t="s">
        <v>1144</v>
      </c>
      <c r="B117" s="77" t="s">
        <v>1145</v>
      </c>
      <c r="C117" s="76"/>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4" t="s">
        <v>1146</v>
      </c>
      <c r="B118" s="77" t="s">
        <v>1147</v>
      </c>
      <c r="C118" s="76"/>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4" t="s">
        <v>1148</v>
      </c>
      <c r="B119" s="77" t="s">
        <v>1149</v>
      </c>
      <c r="C119" s="76"/>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4" t="s">
        <v>1150</v>
      </c>
      <c r="B120" s="77" t="s">
        <v>1151</v>
      </c>
      <c r="C120" s="76"/>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4" t="s">
        <v>289</v>
      </c>
      <c r="B121" s="77" t="s">
        <v>1152</v>
      </c>
      <c r="C121" s="76"/>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4" t="s">
        <v>293</v>
      </c>
      <c r="B122" s="77" t="s">
        <v>1153</v>
      </c>
      <c r="C122" s="76"/>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4" t="s">
        <v>298</v>
      </c>
      <c r="B123" s="77" t="s">
        <v>1154</v>
      </c>
      <c r="C123" s="76"/>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4" t="s">
        <v>302</v>
      </c>
      <c r="B124" s="77" t="s">
        <v>1155</v>
      </c>
      <c r="C124" s="76"/>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4" t="s">
        <v>7</v>
      </c>
      <c r="B125" s="77" t="s">
        <v>1156</v>
      </c>
      <c r="C125" s="76"/>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4" t="s">
        <v>307</v>
      </c>
      <c r="B126" s="77" t="s">
        <v>1157</v>
      </c>
      <c r="C126" s="76"/>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4" t="s">
        <v>1158</v>
      </c>
      <c r="B127" s="77" t="s">
        <v>1159</v>
      </c>
      <c r="C127" s="76"/>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4" t="s">
        <v>1160</v>
      </c>
      <c r="B128" s="77" t="s">
        <v>1161</v>
      </c>
      <c r="C128" s="76"/>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4" t="s">
        <v>1162</v>
      </c>
      <c r="B129" s="77" t="s">
        <v>1163</v>
      </c>
      <c r="C129" s="76"/>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4" t="s">
        <v>1164</v>
      </c>
      <c r="B130" s="77" t="s">
        <v>1165</v>
      </c>
      <c r="C130" s="76"/>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4" t="s">
        <v>1166</v>
      </c>
      <c r="B131" s="77" t="s">
        <v>1167</v>
      </c>
      <c r="C131" s="76"/>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4" t="s">
        <v>310</v>
      </c>
      <c r="B132" s="77" t="s">
        <v>1168</v>
      </c>
      <c r="C132" s="76"/>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4" t="s">
        <v>314</v>
      </c>
      <c r="B133" s="77" t="s">
        <v>1169</v>
      </c>
      <c r="C133" s="76"/>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4" t="s">
        <v>316</v>
      </c>
      <c r="B134" s="77" t="s">
        <v>1170</v>
      </c>
      <c r="C134" s="76"/>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4" t="s">
        <v>318</v>
      </c>
      <c r="B135" s="77" t="s">
        <v>1171</v>
      </c>
      <c r="C135" s="76"/>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4" t="s">
        <v>320</v>
      </c>
      <c r="B136" s="77" t="s">
        <v>1172</v>
      </c>
      <c r="C136" s="76"/>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4" t="s">
        <v>322</v>
      </c>
      <c r="B137" s="77" t="s">
        <v>1173</v>
      </c>
      <c r="C137" s="76"/>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4" t="s">
        <v>324</v>
      </c>
      <c r="B138" s="77" t="s">
        <v>1174</v>
      </c>
      <c r="C138" s="76"/>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4" t="s">
        <v>1175</v>
      </c>
      <c r="B139" s="77" t="s">
        <v>1176</v>
      </c>
      <c r="C139" s="76"/>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4" t="s">
        <v>1177</v>
      </c>
      <c r="B140" s="77" t="s">
        <v>1178</v>
      </c>
      <c r="C140" s="76"/>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4" t="s">
        <v>1179</v>
      </c>
      <c r="B141" s="77" t="s">
        <v>1180</v>
      </c>
      <c r="C141" s="76"/>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4" t="s">
        <v>327</v>
      </c>
      <c r="B142" s="77" t="s">
        <v>1181</v>
      </c>
      <c r="C142" s="76"/>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4" t="s">
        <v>331</v>
      </c>
      <c r="B143" s="77" t="s">
        <v>1182</v>
      </c>
      <c r="C143" s="76"/>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4" t="s">
        <v>1183</v>
      </c>
      <c r="B144" s="77" t="s">
        <v>1184</v>
      </c>
      <c r="C144" s="76"/>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4" t="s">
        <v>1185</v>
      </c>
      <c r="B145" s="77" t="s">
        <v>1186</v>
      </c>
      <c r="C145" s="76"/>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4" t="s">
        <v>1187</v>
      </c>
      <c r="B146" s="77" t="s">
        <v>1188</v>
      </c>
      <c r="C146" s="76"/>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4" t="s">
        <v>1189</v>
      </c>
      <c r="B147" s="77" t="s">
        <v>1190</v>
      </c>
      <c r="C147" s="76"/>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4" t="s">
        <v>1191</v>
      </c>
      <c r="B148" s="77" t="s">
        <v>1192</v>
      </c>
      <c r="C148" s="76"/>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4" t="s">
        <v>1193</v>
      </c>
      <c r="B149" s="77" t="s">
        <v>1194</v>
      </c>
      <c r="C149" s="76"/>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4" t="s">
        <v>1195</v>
      </c>
      <c r="B150" s="77" t="s">
        <v>1196</v>
      </c>
      <c r="C150" s="76"/>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4" t="s">
        <v>1197</v>
      </c>
      <c r="B151" s="77" t="s">
        <v>1198</v>
      </c>
      <c r="C151" s="76"/>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4" t="s">
        <v>1199</v>
      </c>
      <c r="B152" s="77" t="s">
        <v>1200</v>
      </c>
      <c r="C152" s="76"/>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4" t="s">
        <v>334</v>
      </c>
      <c r="B153" s="77" t="s">
        <v>1201</v>
      </c>
      <c r="C153" s="76"/>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4" t="s">
        <v>337</v>
      </c>
      <c r="B154" s="77" t="s">
        <v>1202</v>
      </c>
      <c r="C154" s="76"/>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4" t="s">
        <v>340</v>
      </c>
      <c r="B155" s="77" t="s">
        <v>1203</v>
      </c>
      <c r="C155" s="76"/>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4" t="s">
        <v>343</v>
      </c>
      <c r="B156" s="77" t="s">
        <v>1204</v>
      </c>
      <c r="C156" s="76"/>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4" t="s">
        <v>346</v>
      </c>
      <c r="B157" s="77" t="s">
        <v>1205</v>
      </c>
      <c r="C157" s="76"/>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4" t="s">
        <v>348</v>
      </c>
      <c r="B158" s="77" t="s">
        <v>1206</v>
      </c>
      <c r="C158" s="76"/>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4" t="s">
        <v>350</v>
      </c>
      <c r="B159" s="77" t="s">
        <v>1207</v>
      </c>
      <c r="C159" s="76"/>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4" t="s">
        <v>352</v>
      </c>
      <c r="B160" s="77" t="s">
        <v>1208</v>
      </c>
      <c r="C160" s="76"/>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4" t="s">
        <v>354</v>
      </c>
      <c r="B161" s="77" t="s">
        <v>1209</v>
      </c>
      <c r="C161" s="76"/>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4" t="s">
        <v>356</v>
      </c>
      <c r="B162" s="77" t="s">
        <v>1210</v>
      </c>
      <c r="C162" s="76"/>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4" t="s">
        <v>359</v>
      </c>
      <c r="B163" s="77" t="s">
        <v>1211</v>
      </c>
      <c r="C163" s="76"/>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4" t="s">
        <v>365</v>
      </c>
      <c r="B164" s="77" t="s">
        <v>1212</v>
      </c>
      <c r="C164" s="76"/>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4" t="s">
        <v>367</v>
      </c>
      <c r="B165" s="77" t="s">
        <v>1213</v>
      </c>
      <c r="C165" s="76"/>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4" t="s">
        <v>370</v>
      </c>
      <c r="B166" s="77" t="s">
        <v>1214</v>
      </c>
      <c r="C166" s="76"/>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4" t="s">
        <v>372</v>
      </c>
      <c r="B167" s="77" t="s">
        <v>1215</v>
      </c>
      <c r="C167" s="76"/>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4" t="s">
        <v>375</v>
      </c>
      <c r="B168" s="77" t="s">
        <v>1216</v>
      </c>
      <c r="C168" s="76"/>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4" t="s">
        <v>379</v>
      </c>
      <c r="B169" s="77" t="s">
        <v>1217</v>
      </c>
      <c r="C169" s="76"/>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4" t="s">
        <v>381</v>
      </c>
      <c r="B170" s="77" t="s">
        <v>1218</v>
      </c>
      <c r="C170" s="76"/>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4" t="s">
        <v>383</v>
      </c>
      <c r="B171" s="77" t="s">
        <v>1219</v>
      </c>
      <c r="C171" s="76"/>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4" t="s">
        <v>386</v>
      </c>
      <c r="B172" s="77" t="s">
        <v>1220</v>
      </c>
      <c r="C172" s="76"/>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4" t="s">
        <v>388</v>
      </c>
      <c r="B173" s="77" t="s">
        <v>1221</v>
      </c>
      <c r="C173" s="76"/>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4" t="s">
        <v>390</v>
      </c>
      <c r="B174" s="77" t="s">
        <v>1222</v>
      </c>
      <c r="C174" s="76"/>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4" t="s">
        <v>392</v>
      </c>
      <c r="B175" s="77" t="s">
        <v>1223</v>
      </c>
      <c r="C175" s="76"/>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4" t="s">
        <v>394</v>
      </c>
      <c r="B176" s="77" t="s">
        <v>1224</v>
      </c>
      <c r="C176" s="76"/>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4" t="s">
        <v>397</v>
      </c>
      <c r="B177" s="77" t="s">
        <v>1225</v>
      </c>
      <c r="C177" s="76"/>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4" t="s">
        <v>400</v>
      </c>
      <c r="B178" s="77" t="s">
        <v>1226</v>
      </c>
      <c r="C178" s="76"/>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4" t="s">
        <v>403</v>
      </c>
      <c r="B179" s="77" t="s">
        <v>1227</v>
      </c>
      <c r="C179" s="76"/>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4" t="s">
        <v>407</v>
      </c>
      <c r="B180" s="77" t="s">
        <v>1228</v>
      </c>
      <c r="C180" s="76"/>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4" t="s">
        <v>15</v>
      </c>
      <c r="B181" s="77" t="s">
        <v>1229</v>
      </c>
      <c r="C181" s="76"/>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4" t="s">
        <v>410</v>
      </c>
      <c r="B182" s="77" t="s">
        <v>1230</v>
      </c>
      <c r="C182" s="76"/>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4" t="s">
        <v>413</v>
      </c>
      <c r="B183" s="77" t="s">
        <v>1231</v>
      </c>
      <c r="C183" s="76"/>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4" t="s">
        <v>416</v>
      </c>
      <c r="B184" s="77" t="s">
        <v>1232</v>
      </c>
      <c r="C184" s="76"/>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4" t="s">
        <v>418</v>
      </c>
      <c r="B185" s="77" t="s">
        <v>1233</v>
      </c>
      <c r="C185" s="76"/>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4" t="s">
        <v>420</v>
      </c>
      <c r="B186" s="77" t="s">
        <v>1234</v>
      </c>
      <c r="C186" s="76"/>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4" t="s">
        <v>422</v>
      </c>
      <c r="B187" s="77" t="s">
        <v>1235</v>
      </c>
      <c r="C187" s="76"/>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4" t="s">
        <v>1236</v>
      </c>
      <c r="B188" s="77" t="s">
        <v>1237</v>
      </c>
      <c r="C188" s="76"/>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4" t="s">
        <v>1238</v>
      </c>
      <c r="B189" s="77" t="s">
        <v>1239</v>
      </c>
      <c r="C189" s="76"/>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4" t="s">
        <v>1240</v>
      </c>
      <c r="B190" s="77" t="s">
        <v>1241</v>
      </c>
      <c r="C190" s="76"/>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4" t="s">
        <v>1242</v>
      </c>
      <c r="B191" s="77" t="s">
        <v>1243</v>
      </c>
      <c r="C191" s="76"/>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4" t="s">
        <v>767</v>
      </c>
      <c r="B192" s="77" t="s">
        <v>1244</v>
      </c>
      <c r="C192" s="76"/>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4" t="s">
        <v>426</v>
      </c>
      <c r="B193" s="77" t="s">
        <v>1245</v>
      </c>
      <c r="C193" s="76"/>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4" t="s">
        <v>1246</v>
      </c>
      <c r="B194" s="77" t="s">
        <v>1247</v>
      </c>
      <c r="C194" s="76"/>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4" t="s">
        <v>1248</v>
      </c>
      <c r="B195" s="77" t="s">
        <v>1249</v>
      </c>
      <c r="C195" s="76"/>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4" t="s">
        <v>1250</v>
      </c>
      <c r="B196" s="77" t="s">
        <v>1251</v>
      </c>
      <c r="C196" s="76"/>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4" t="s">
        <v>1252</v>
      </c>
      <c r="B197" s="77" t="s">
        <v>1253</v>
      </c>
      <c r="C197" s="76"/>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4" t="s">
        <v>1254</v>
      </c>
      <c r="B198" s="77" t="s">
        <v>1255</v>
      </c>
      <c r="C198" s="76"/>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4" t="s">
        <v>1256</v>
      </c>
      <c r="B199" s="77" t="s">
        <v>1257</v>
      </c>
      <c r="C199" s="76"/>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4" t="s">
        <v>1258</v>
      </c>
      <c r="B200" s="77" t="s">
        <v>1259</v>
      </c>
      <c r="C200" s="76"/>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4" t="s">
        <v>1260</v>
      </c>
      <c r="B201" s="77" t="s">
        <v>1261</v>
      </c>
      <c r="C201" s="76"/>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4" t="s">
        <v>1262</v>
      </c>
      <c r="B202" s="77" t="s">
        <v>1263</v>
      </c>
      <c r="C202" s="76"/>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4" t="s">
        <v>1264</v>
      </c>
      <c r="B203" s="77" t="s">
        <v>1265</v>
      </c>
      <c r="C203" s="76"/>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4" t="s">
        <v>1266</v>
      </c>
      <c r="B204" s="77" t="s">
        <v>1267</v>
      </c>
      <c r="C204" s="76"/>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4" t="s">
        <v>1268</v>
      </c>
      <c r="B205" s="77" t="s">
        <v>1269</v>
      </c>
      <c r="C205" s="76"/>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4" t="s">
        <v>1270</v>
      </c>
      <c r="B206" s="77" t="s">
        <v>1271</v>
      </c>
      <c r="C206" s="76"/>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4" t="s">
        <v>1272</v>
      </c>
      <c r="B207" s="77" t="s">
        <v>1273</v>
      </c>
      <c r="C207" s="76"/>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4" t="s">
        <v>960</v>
      </c>
      <c r="B208" s="77" t="s">
        <v>1274</v>
      </c>
      <c r="C208" s="76"/>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4" t="s">
        <v>1275</v>
      </c>
      <c r="B209" s="77" t="s">
        <v>1276</v>
      </c>
      <c r="C209" s="76"/>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4" t="s">
        <v>1277</v>
      </c>
      <c r="B210" s="77" t="s">
        <v>1278</v>
      </c>
      <c r="C210" s="76"/>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4" t="s">
        <v>1279</v>
      </c>
      <c r="B211" s="77" t="s">
        <v>1280</v>
      </c>
      <c r="C211" s="76"/>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4" t="s">
        <v>1281</v>
      </c>
      <c r="B212" s="77" t="s">
        <v>1282</v>
      </c>
      <c r="C212" s="76"/>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4" t="s">
        <v>1283</v>
      </c>
      <c r="B213" s="77" t="s">
        <v>1284</v>
      </c>
      <c r="C213" s="76"/>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4" t="s">
        <v>1285</v>
      </c>
      <c r="B214" s="77" t="s">
        <v>1286</v>
      </c>
      <c r="C214" s="76"/>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4" t="s">
        <v>1287</v>
      </c>
      <c r="B215" s="77" t="s">
        <v>1288</v>
      </c>
      <c r="C215" s="76"/>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4" t="s">
        <v>429</v>
      </c>
      <c r="B216" s="77" t="s">
        <v>1289</v>
      </c>
      <c r="C216" s="76"/>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4" t="s">
        <v>1290</v>
      </c>
      <c r="B217" s="77" t="s">
        <v>1291</v>
      </c>
      <c r="C217" s="76"/>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4" t="s">
        <v>432</v>
      </c>
      <c r="B218" s="77" t="s">
        <v>1292</v>
      </c>
      <c r="C218" s="76"/>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4" t="s">
        <v>435</v>
      </c>
      <c r="B219" s="77" t="s">
        <v>1293</v>
      </c>
      <c r="C219" s="76"/>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4" t="s">
        <v>437</v>
      </c>
      <c r="B220" s="77" t="s">
        <v>1294</v>
      </c>
      <c r="C220" s="76"/>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4" t="s">
        <v>439</v>
      </c>
      <c r="B221" s="77" t="s">
        <v>1295</v>
      </c>
      <c r="C221" s="76"/>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4" t="s">
        <v>1296</v>
      </c>
      <c r="B222" s="77" t="s">
        <v>1297</v>
      </c>
      <c r="C222" s="76"/>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4" t="s">
        <v>442</v>
      </c>
      <c r="B223" s="77" t="s">
        <v>1298</v>
      </c>
      <c r="C223" s="76"/>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4" t="s">
        <v>444</v>
      </c>
      <c r="B224" s="77" t="s">
        <v>1299</v>
      </c>
      <c r="C224" s="76"/>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4" t="s">
        <v>446</v>
      </c>
      <c r="B225" s="77" t="s">
        <v>1300</v>
      </c>
      <c r="C225" s="76"/>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4" t="s">
        <v>449</v>
      </c>
      <c r="B226" s="77" t="s">
        <v>1301</v>
      </c>
      <c r="C226" s="76"/>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4" t="s">
        <v>453</v>
      </c>
      <c r="B227" s="77" t="s">
        <v>1302</v>
      </c>
      <c r="C227" s="76"/>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4" t="s">
        <v>455</v>
      </c>
      <c r="B228" s="77" t="s">
        <v>1303</v>
      </c>
      <c r="C228" s="76"/>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4" t="s">
        <v>1304</v>
      </c>
      <c r="B229" s="77" t="s">
        <v>1305</v>
      </c>
      <c r="C229" s="76"/>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4" t="s">
        <v>1306</v>
      </c>
      <c r="B230" s="77" t="s">
        <v>1307</v>
      </c>
      <c r="C230" s="76"/>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4" t="s">
        <v>457</v>
      </c>
      <c r="B231" s="77" t="s">
        <v>1308</v>
      </c>
      <c r="C231" s="76"/>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4" t="s">
        <v>461</v>
      </c>
      <c r="B232" s="77" t="s">
        <v>1309</v>
      </c>
      <c r="C232" s="76"/>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4" t="s">
        <v>14</v>
      </c>
      <c r="B233" s="77" t="s">
        <v>1310</v>
      </c>
      <c r="C233" s="76"/>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4" t="s">
        <v>465</v>
      </c>
      <c r="B234" s="77" t="s">
        <v>1311</v>
      </c>
      <c r="C234" s="76"/>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6"/>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6"/>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6"/>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6"/>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6"/>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6"/>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6"/>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6"/>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6"/>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6"/>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6"/>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6"/>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6"/>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6"/>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6"/>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6"/>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6"/>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6"/>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6"/>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6"/>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6"/>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6"/>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6"/>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6"/>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6"/>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6"/>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6"/>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6"/>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6"/>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6"/>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6"/>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6"/>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6"/>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6"/>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6"/>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6"/>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6"/>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6"/>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6"/>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6"/>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6"/>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6"/>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6"/>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6"/>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6"/>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6"/>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6"/>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6"/>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6"/>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6"/>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6"/>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6"/>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6"/>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6"/>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6"/>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6"/>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6"/>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6"/>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6"/>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6"/>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6"/>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6"/>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6"/>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6"/>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6"/>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6"/>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6"/>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6"/>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6"/>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6"/>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6"/>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6"/>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6"/>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6"/>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6"/>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6"/>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6"/>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6"/>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6"/>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6"/>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6"/>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6"/>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6"/>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6"/>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6"/>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6"/>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6"/>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6"/>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6"/>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6"/>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6"/>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6"/>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6"/>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6"/>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6"/>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6"/>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6"/>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6"/>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6"/>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6"/>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6"/>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6"/>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6"/>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6"/>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6"/>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6"/>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6"/>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6"/>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6"/>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6"/>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6"/>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6"/>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6"/>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6"/>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6"/>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6"/>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6"/>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6"/>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6"/>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6"/>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6"/>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6"/>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6"/>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6"/>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6"/>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6"/>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6"/>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6"/>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6"/>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6"/>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6"/>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6"/>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6"/>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6"/>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6"/>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6"/>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6"/>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6"/>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6"/>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6"/>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6"/>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6"/>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6"/>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6"/>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6"/>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6"/>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6"/>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6"/>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6"/>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6"/>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6"/>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6"/>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6"/>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6"/>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6"/>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6"/>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6"/>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6"/>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6"/>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6"/>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6"/>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6"/>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6"/>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6"/>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6"/>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6"/>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6"/>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6"/>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6"/>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6"/>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6"/>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6"/>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6"/>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6"/>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6"/>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6"/>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6"/>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6"/>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6"/>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6"/>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6"/>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6"/>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6"/>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6"/>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6"/>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6"/>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6"/>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6"/>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6"/>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6"/>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6"/>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6"/>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6"/>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6"/>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6"/>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6"/>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6"/>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6"/>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6"/>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6"/>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6"/>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6"/>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6"/>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6"/>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6"/>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6"/>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6"/>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6"/>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6"/>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6"/>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6"/>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6"/>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6"/>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6"/>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6"/>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6"/>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6"/>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6"/>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6"/>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6"/>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6"/>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6"/>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6"/>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6"/>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6"/>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6"/>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6"/>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6"/>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6"/>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6"/>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6"/>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6"/>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6"/>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6"/>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6"/>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6"/>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6"/>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6"/>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6"/>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6"/>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6"/>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6"/>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6"/>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6"/>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6"/>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6"/>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6"/>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6"/>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6"/>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6"/>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6"/>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6"/>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6"/>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6"/>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6"/>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6"/>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6"/>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6"/>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6"/>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6"/>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6"/>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6"/>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6"/>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6"/>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6"/>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6"/>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6"/>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6"/>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6"/>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6"/>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6"/>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6"/>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6"/>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6"/>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6"/>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6"/>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6"/>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6"/>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6"/>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6"/>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6"/>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6"/>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6"/>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6"/>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6"/>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6"/>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6"/>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6"/>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6"/>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6"/>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6"/>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6"/>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6"/>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6"/>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6"/>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6"/>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6"/>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6"/>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6"/>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6"/>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6"/>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6"/>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6"/>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6"/>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6"/>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6"/>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6"/>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6"/>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6"/>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6"/>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6"/>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6"/>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6"/>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6"/>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6"/>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6"/>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6"/>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6"/>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6"/>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6"/>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6"/>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6"/>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6"/>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6"/>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6"/>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6"/>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6"/>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6"/>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6"/>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6"/>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6"/>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6"/>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6"/>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6"/>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6"/>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6"/>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6"/>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6"/>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6"/>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6"/>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6"/>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6"/>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6"/>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6"/>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6"/>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6"/>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6"/>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6"/>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6"/>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6"/>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6"/>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6"/>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6"/>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6"/>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6"/>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6"/>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6"/>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6"/>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6"/>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6"/>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6"/>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6"/>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6"/>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6"/>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6"/>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6"/>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6"/>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6"/>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6"/>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6"/>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6"/>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6"/>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6"/>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6"/>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6"/>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6"/>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6"/>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6"/>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6"/>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6"/>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6"/>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6"/>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6"/>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6"/>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6"/>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6"/>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6"/>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6"/>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6"/>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6"/>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6"/>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6"/>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6"/>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6"/>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6"/>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6"/>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6"/>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6"/>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6"/>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6"/>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6"/>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6"/>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6"/>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6"/>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6"/>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6"/>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6"/>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6"/>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6"/>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6"/>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6"/>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6"/>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6"/>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6"/>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6"/>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6"/>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6"/>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6"/>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6"/>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6"/>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6"/>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6"/>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6"/>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6"/>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6"/>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6"/>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6"/>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6"/>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6"/>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6"/>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6"/>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6"/>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6"/>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6"/>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6"/>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6"/>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6"/>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6"/>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6"/>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6"/>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6"/>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6"/>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6"/>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6"/>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6"/>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6"/>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6"/>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6"/>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6"/>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6"/>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6"/>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6"/>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6"/>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6"/>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6"/>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6"/>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6"/>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6"/>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6"/>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6"/>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6"/>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6"/>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6"/>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6"/>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6"/>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6"/>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6"/>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6"/>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6"/>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6"/>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6"/>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6"/>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6"/>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6"/>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6"/>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6"/>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6"/>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6"/>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6"/>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6"/>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6"/>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6"/>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6"/>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6"/>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6"/>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6"/>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6"/>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6"/>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6"/>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6"/>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6"/>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6"/>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6"/>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6"/>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6"/>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6"/>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6"/>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6"/>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6"/>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6"/>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6"/>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6"/>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6"/>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6"/>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6"/>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6"/>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6"/>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6"/>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6"/>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6"/>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6"/>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6"/>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6"/>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6"/>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6"/>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6"/>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6"/>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6"/>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6"/>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6"/>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6"/>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6"/>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6"/>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6"/>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6"/>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6"/>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6"/>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6"/>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6"/>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6"/>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6"/>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6"/>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6"/>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6"/>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6"/>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6"/>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6"/>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6"/>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6"/>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6"/>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6"/>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6"/>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6"/>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6"/>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6"/>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6"/>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6"/>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6"/>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6"/>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6"/>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6"/>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6"/>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6"/>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6"/>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6"/>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6"/>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6"/>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6"/>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6"/>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6"/>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6"/>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6"/>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6"/>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6"/>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6"/>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6"/>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6"/>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6"/>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6"/>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6"/>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6"/>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6"/>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6"/>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6"/>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6"/>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6"/>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6"/>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6"/>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6"/>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6"/>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6"/>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6"/>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6"/>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6"/>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6"/>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6"/>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6"/>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6"/>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6"/>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6"/>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6"/>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6"/>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6"/>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6"/>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6"/>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6"/>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6"/>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6"/>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6"/>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6"/>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6"/>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6"/>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6"/>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6"/>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6"/>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6"/>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6"/>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6"/>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6"/>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6"/>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6"/>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6"/>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6"/>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6"/>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6"/>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6"/>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6"/>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6"/>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6"/>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6"/>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6"/>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6"/>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6"/>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6"/>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6"/>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6"/>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6"/>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6"/>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6"/>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6"/>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6"/>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6"/>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6"/>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6"/>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6"/>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6"/>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6"/>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6"/>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6"/>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6"/>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6"/>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6"/>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6"/>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6"/>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6"/>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6"/>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6"/>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6"/>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6"/>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6"/>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6"/>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6"/>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6"/>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6"/>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6"/>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6"/>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6"/>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6"/>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6"/>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6"/>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6"/>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6"/>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6"/>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6"/>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6"/>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6"/>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6"/>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6"/>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6"/>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6"/>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6"/>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6"/>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6"/>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6"/>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6"/>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6"/>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6"/>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6"/>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6"/>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6"/>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6"/>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6"/>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6"/>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6"/>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6"/>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6"/>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6"/>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6"/>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6"/>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6"/>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6"/>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6"/>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6"/>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6"/>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6"/>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6"/>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6"/>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6"/>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6"/>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6"/>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6"/>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6"/>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6"/>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6"/>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6"/>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6"/>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6"/>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6"/>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6"/>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6"/>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6"/>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6"/>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6"/>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6"/>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6"/>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6"/>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6"/>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6"/>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6"/>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6"/>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6"/>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6"/>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6"/>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6"/>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6"/>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6"/>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6"/>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6"/>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6"/>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6"/>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6"/>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6"/>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6"/>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6"/>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6"/>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6"/>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6"/>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6"/>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6"/>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6"/>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6"/>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6"/>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6"/>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6"/>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6"/>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6"/>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6"/>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6"/>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6"/>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6"/>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6"/>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6"/>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6"/>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6"/>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6"/>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6"/>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6"/>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6"/>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6"/>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6"/>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6"/>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6"/>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6"/>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6"/>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6"/>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6"/>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c r="C1001" s="76"/>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sheetData>
  <printOptions/>
  <pageMargins bottom="0.5" footer="0.0" header="0.0" left="0.75" right="0.75"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14"/>
    <col customWidth="1" min="2" max="2" width="59.86"/>
    <col customWidth="1" min="3" max="3" width="10.71"/>
    <col customWidth="1" min="4" max="5" width="48.14"/>
    <col customWidth="1" hidden="1" min="6" max="6" width="26.0"/>
    <col customWidth="1" hidden="1" min="7" max="7" width="21.86"/>
  </cols>
  <sheetData>
    <row r="1" ht="22.5" customHeight="1">
      <c r="A1" s="34" t="s">
        <v>67</v>
      </c>
      <c r="B1" s="78" t="s">
        <v>68</v>
      </c>
      <c r="C1" s="35" t="s">
        <v>2</v>
      </c>
      <c r="D1" s="36" t="s">
        <v>69</v>
      </c>
      <c r="E1" s="37" t="s">
        <v>70</v>
      </c>
      <c r="F1" s="38" t="s">
        <v>71</v>
      </c>
      <c r="G1" s="38" t="s">
        <v>72</v>
      </c>
    </row>
    <row r="2" ht="22.5" customHeight="1">
      <c r="A2" s="40" t="s">
        <v>220</v>
      </c>
      <c r="B2" s="43" t="s">
        <v>221</v>
      </c>
      <c r="C2" s="42">
        <v>0.0</v>
      </c>
      <c r="D2" s="43" t="s">
        <v>222</v>
      </c>
      <c r="E2" s="46"/>
      <c r="F2" s="48" t="s">
        <v>223</v>
      </c>
      <c r="G2" s="41" t="s">
        <v>133</v>
      </c>
    </row>
    <row r="3" ht="22.5" customHeight="1">
      <c r="A3" s="40" t="s">
        <v>1312</v>
      </c>
      <c r="B3" s="79" t="s">
        <v>225</v>
      </c>
      <c r="C3" s="42">
        <v>0.0</v>
      </c>
      <c r="D3" s="43" t="s">
        <v>1313</v>
      </c>
      <c r="E3" s="46"/>
      <c r="F3" s="41" t="s">
        <v>223</v>
      </c>
      <c r="G3" s="41" t="s">
        <v>133</v>
      </c>
    </row>
    <row r="4" ht="22.5" customHeight="1">
      <c r="A4" s="40" t="s">
        <v>231</v>
      </c>
      <c r="B4" s="79" t="s">
        <v>232</v>
      </c>
      <c r="C4" s="42">
        <v>295.0</v>
      </c>
      <c r="D4" s="43" t="s">
        <v>233</v>
      </c>
      <c r="E4" s="46"/>
      <c r="F4" s="41" t="s">
        <v>234</v>
      </c>
      <c r="G4" s="41" t="s">
        <v>139</v>
      </c>
    </row>
    <row r="5" ht="22.5" customHeight="1">
      <c r="A5" s="40" t="s">
        <v>235</v>
      </c>
      <c r="B5" s="79" t="s">
        <v>236</v>
      </c>
      <c r="C5" s="42">
        <v>0.0</v>
      </c>
      <c r="D5" s="43" t="s">
        <v>237</v>
      </c>
      <c r="E5" s="46"/>
      <c r="F5" s="41" t="s">
        <v>234</v>
      </c>
      <c r="G5" s="41" t="s">
        <v>139</v>
      </c>
    </row>
    <row r="6" ht="22.5" customHeight="1">
      <c r="A6" s="47" t="s">
        <v>1314</v>
      </c>
      <c r="B6" s="45" t="s">
        <v>1315</v>
      </c>
      <c r="C6" s="42">
        <v>695.0</v>
      </c>
      <c r="D6" s="45" t="s">
        <v>1316</v>
      </c>
      <c r="E6" s="46" t="s">
        <v>1316</v>
      </c>
      <c r="F6" s="41" t="s">
        <v>275</v>
      </c>
      <c r="G6" s="41" t="s">
        <v>146</v>
      </c>
    </row>
    <row r="7" ht="22.5" customHeight="1">
      <c r="A7" s="40" t="s">
        <v>1317</v>
      </c>
      <c r="B7" s="79" t="s">
        <v>1318</v>
      </c>
      <c r="C7" s="42">
        <v>0.0</v>
      </c>
      <c r="D7" s="43" t="s">
        <v>1319</v>
      </c>
      <c r="E7" s="46" t="s">
        <v>1316</v>
      </c>
      <c r="F7" s="41" t="s">
        <v>275</v>
      </c>
      <c r="G7" s="41" t="s">
        <v>146</v>
      </c>
    </row>
    <row r="8" ht="22.5" customHeight="1">
      <c r="A8" s="40" t="s">
        <v>13</v>
      </c>
      <c r="B8" s="43" t="s">
        <v>276</v>
      </c>
      <c r="C8" s="42">
        <v>695.0</v>
      </c>
      <c r="D8" s="43" t="s">
        <v>277</v>
      </c>
      <c r="E8" s="46"/>
      <c r="F8" s="41" t="s">
        <v>275</v>
      </c>
      <c r="G8" s="41" t="s">
        <v>146</v>
      </c>
    </row>
    <row r="9" ht="22.5" customHeight="1">
      <c r="A9" s="40" t="s">
        <v>278</v>
      </c>
      <c r="B9" s="79" t="s">
        <v>279</v>
      </c>
      <c r="C9" s="42">
        <v>695.0</v>
      </c>
      <c r="D9" s="45" t="s">
        <v>277</v>
      </c>
      <c r="E9" s="46"/>
      <c r="F9" s="41" t="s">
        <v>275</v>
      </c>
      <c r="G9" s="41" t="s">
        <v>146</v>
      </c>
    </row>
    <row r="10" ht="22.5" customHeight="1">
      <c r="A10" s="40" t="s">
        <v>1320</v>
      </c>
      <c r="B10" s="79" t="s">
        <v>1321</v>
      </c>
      <c r="C10" s="42">
        <v>695.0</v>
      </c>
      <c r="D10" s="43" t="s">
        <v>1316</v>
      </c>
      <c r="E10" s="46" t="s">
        <v>1316</v>
      </c>
      <c r="F10" s="41" t="s">
        <v>275</v>
      </c>
      <c r="G10" s="41" t="s">
        <v>146</v>
      </c>
    </row>
    <row r="11" ht="22.5" customHeight="1">
      <c r="A11" s="40" t="s">
        <v>280</v>
      </c>
      <c r="B11" s="43" t="s">
        <v>281</v>
      </c>
      <c r="C11" s="42">
        <v>695.0</v>
      </c>
      <c r="D11" s="43" t="s">
        <v>282</v>
      </c>
      <c r="E11" s="46"/>
      <c r="F11" s="41" t="s">
        <v>275</v>
      </c>
      <c r="G11" s="41" t="s">
        <v>146</v>
      </c>
    </row>
    <row r="12" ht="22.5" customHeight="1">
      <c r="A12" s="41" t="s">
        <v>346</v>
      </c>
      <c r="B12" s="43" t="s">
        <v>347</v>
      </c>
      <c r="C12" s="42">
        <v>495.0</v>
      </c>
      <c r="D12" s="45"/>
      <c r="E12" s="46"/>
      <c r="F12" s="41" t="s">
        <v>99</v>
      </c>
      <c r="G12" s="41" t="s">
        <v>157</v>
      </c>
    </row>
    <row r="13" ht="22.5" customHeight="1">
      <c r="A13" s="79" t="s">
        <v>348</v>
      </c>
      <c r="B13" s="79" t="s">
        <v>1322</v>
      </c>
      <c r="C13" s="42">
        <v>495.0</v>
      </c>
      <c r="D13" s="45"/>
      <c r="E13" s="46"/>
      <c r="F13" s="41" t="s">
        <v>99</v>
      </c>
      <c r="G13" s="41" t="s">
        <v>157</v>
      </c>
    </row>
    <row r="14" ht="22.5" customHeight="1">
      <c r="A14" s="79" t="s">
        <v>455</v>
      </c>
      <c r="B14" s="79" t="s">
        <v>456</v>
      </c>
      <c r="C14" s="42">
        <v>495.0</v>
      </c>
      <c r="D14" s="45"/>
      <c r="E14" s="46"/>
      <c r="F14" s="41" t="s">
        <v>99</v>
      </c>
      <c r="G14" s="41" t="s">
        <v>157</v>
      </c>
    </row>
    <row r="15" ht="22.5" customHeight="1">
      <c r="A15" s="40" t="s">
        <v>84</v>
      </c>
      <c r="B15" s="43" t="s">
        <v>85</v>
      </c>
      <c r="C15" s="42">
        <v>1250.0</v>
      </c>
      <c r="D15" s="43" t="s">
        <v>86</v>
      </c>
      <c r="E15" s="43" t="s">
        <v>87</v>
      </c>
      <c r="F15" s="41" t="s">
        <v>88</v>
      </c>
      <c r="G15" s="41" t="s">
        <v>83</v>
      </c>
    </row>
    <row r="16" ht="22.5" customHeight="1">
      <c r="A16" s="41" t="s">
        <v>1323</v>
      </c>
      <c r="B16" s="79" t="s">
        <v>1324</v>
      </c>
      <c r="C16" s="42">
        <v>3995.0</v>
      </c>
      <c r="D16" s="43" t="s">
        <v>1325</v>
      </c>
      <c r="E16" s="43"/>
      <c r="F16" s="41" t="s">
        <v>88</v>
      </c>
      <c r="G16" s="41" t="s">
        <v>83</v>
      </c>
    </row>
    <row r="17" ht="22.5" customHeight="1">
      <c r="A17" s="40" t="s">
        <v>1326</v>
      </c>
      <c r="B17" s="79" t="s">
        <v>1327</v>
      </c>
      <c r="C17" s="42">
        <v>2995.0</v>
      </c>
      <c r="D17" s="43" t="s">
        <v>1328</v>
      </c>
      <c r="E17" s="43"/>
      <c r="F17" s="41" t="s">
        <v>88</v>
      </c>
      <c r="G17" s="41" t="s">
        <v>83</v>
      </c>
    </row>
    <row r="18" ht="22.5" customHeight="1">
      <c r="A18" s="40" t="s">
        <v>403</v>
      </c>
      <c r="B18" s="43" t="s">
        <v>404</v>
      </c>
      <c r="C18" s="42">
        <v>2895.0</v>
      </c>
      <c r="D18" s="43" t="s">
        <v>405</v>
      </c>
      <c r="E18" s="46" t="s">
        <v>405</v>
      </c>
      <c r="F18" s="41" t="s">
        <v>406</v>
      </c>
      <c r="G18" s="41" t="s">
        <v>83</v>
      </c>
    </row>
    <row r="19" ht="22.5" customHeight="1">
      <c r="A19" s="40" t="s">
        <v>429</v>
      </c>
      <c r="B19" s="43" t="s">
        <v>430</v>
      </c>
      <c r="C19" s="42">
        <v>1995.0</v>
      </c>
      <c r="D19" s="43" t="s">
        <v>431</v>
      </c>
      <c r="E19" s="46"/>
      <c r="F19" s="41" t="s">
        <v>88</v>
      </c>
      <c r="G19" s="41" t="s">
        <v>83</v>
      </c>
    </row>
    <row r="20" ht="22.5" customHeight="1">
      <c r="A20" s="41" t="s">
        <v>171</v>
      </c>
      <c r="B20" s="79" t="s">
        <v>172</v>
      </c>
      <c r="C20" s="42">
        <v>0.0</v>
      </c>
      <c r="D20" s="43" t="s">
        <v>166</v>
      </c>
      <c r="E20" s="43"/>
      <c r="F20" s="41" t="s">
        <v>163</v>
      </c>
      <c r="G20" s="41" t="s">
        <v>117</v>
      </c>
    </row>
    <row r="21" ht="22.5" customHeight="1">
      <c r="A21" s="41" t="s">
        <v>176</v>
      </c>
      <c r="B21" s="43" t="s">
        <v>177</v>
      </c>
      <c r="C21" s="42">
        <v>1295.0</v>
      </c>
      <c r="D21" s="43" t="s">
        <v>178</v>
      </c>
      <c r="E21" s="46" t="s">
        <v>178</v>
      </c>
      <c r="F21" s="41" t="s">
        <v>163</v>
      </c>
      <c r="G21" s="41" t="s">
        <v>117</v>
      </c>
    </row>
    <row r="22" ht="22.5" customHeight="1">
      <c r="A22" s="40" t="s">
        <v>179</v>
      </c>
      <c r="B22" s="43" t="s">
        <v>180</v>
      </c>
      <c r="C22" s="42">
        <v>1295.0</v>
      </c>
      <c r="D22" s="43" t="s">
        <v>178</v>
      </c>
      <c r="E22" s="46" t="s">
        <v>178</v>
      </c>
      <c r="F22" s="41" t="s">
        <v>163</v>
      </c>
      <c r="G22" s="41" t="s">
        <v>117</v>
      </c>
    </row>
    <row r="23" ht="22.5" customHeight="1">
      <c r="A23" s="40" t="s">
        <v>154</v>
      </c>
      <c r="B23" s="43" t="s">
        <v>155</v>
      </c>
      <c r="C23" s="42">
        <v>2495.0</v>
      </c>
      <c r="D23" s="45"/>
      <c r="E23" s="43"/>
      <c r="F23" s="41" t="s">
        <v>156</v>
      </c>
      <c r="G23" s="41" t="s">
        <v>106</v>
      </c>
    </row>
    <row r="24" ht="22.5" customHeight="1">
      <c r="A24" s="40" t="s">
        <v>161</v>
      </c>
      <c r="B24" s="43" t="s">
        <v>162</v>
      </c>
      <c r="C24" s="42">
        <v>995.0</v>
      </c>
      <c r="D24" s="45"/>
      <c r="E24" s="46"/>
      <c r="F24" s="41" t="s">
        <v>163</v>
      </c>
      <c r="G24" s="41" t="s">
        <v>106</v>
      </c>
    </row>
    <row r="25" ht="22.5" customHeight="1">
      <c r="A25" s="41" t="s">
        <v>164</v>
      </c>
      <c r="B25" s="43" t="s">
        <v>165</v>
      </c>
      <c r="C25" s="42">
        <v>0.0</v>
      </c>
      <c r="D25" s="43" t="s">
        <v>166</v>
      </c>
      <c r="E25" s="43"/>
      <c r="F25" s="41" t="s">
        <v>163</v>
      </c>
      <c r="G25" s="41" t="s">
        <v>106</v>
      </c>
    </row>
    <row r="26" ht="22.5" customHeight="1">
      <c r="A26" s="40" t="s">
        <v>167</v>
      </c>
      <c r="B26" s="79" t="s">
        <v>168</v>
      </c>
      <c r="C26" s="42">
        <v>3000.0</v>
      </c>
      <c r="D26" s="45" t="s">
        <v>169</v>
      </c>
      <c r="E26" s="43" t="s">
        <v>170</v>
      </c>
      <c r="F26" s="41" t="s">
        <v>163</v>
      </c>
      <c r="G26" s="41" t="s">
        <v>106</v>
      </c>
    </row>
    <row r="27" ht="22.5" customHeight="1">
      <c r="A27" s="40" t="s">
        <v>8</v>
      </c>
      <c r="B27" s="43" t="s">
        <v>1329</v>
      </c>
      <c r="C27" s="42">
        <v>2350.0</v>
      </c>
      <c r="D27" s="43" t="s">
        <v>1330</v>
      </c>
      <c r="E27" s="46"/>
      <c r="F27" s="41" t="s">
        <v>1331</v>
      </c>
      <c r="G27" s="41" t="s">
        <v>106</v>
      </c>
    </row>
    <row r="28" ht="22.5" customHeight="1">
      <c r="A28" s="40" t="s">
        <v>149</v>
      </c>
      <c r="B28" s="43" t="s">
        <v>150</v>
      </c>
      <c r="C28" s="42">
        <v>295.0</v>
      </c>
      <c r="D28" s="43" t="s">
        <v>151</v>
      </c>
      <c r="E28" s="43"/>
      <c r="F28" s="41" t="s">
        <v>152</v>
      </c>
      <c r="G28" s="41" t="s">
        <v>103</v>
      </c>
    </row>
    <row r="29" ht="22.5" customHeight="1">
      <c r="A29" s="40" t="s">
        <v>307</v>
      </c>
      <c r="B29" s="79" t="s">
        <v>308</v>
      </c>
      <c r="C29" s="42">
        <v>5000.0</v>
      </c>
      <c r="D29" s="43" t="s">
        <v>309</v>
      </c>
      <c r="E29" s="46"/>
      <c r="F29" s="41" t="s">
        <v>152</v>
      </c>
      <c r="G29" s="41" t="s">
        <v>103</v>
      </c>
    </row>
    <row r="30" ht="22.5" customHeight="1">
      <c r="A30" s="40" t="s">
        <v>331</v>
      </c>
      <c r="B30" s="43" t="s">
        <v>332</v>
      </c>
      <c r="C30" s="42">
        <v>1495.0</v>
      </c>
      <c r="D30" s="43" t="s">
        <v>333</v>
      </c>
      <c r="E30" s="46"/>
      <c r="F30" s="41" t="s">
        <v>152</v>
      </c>
      <c r="G30" s="41" t="s">
        <v>103</v>
      </c>
    </row>
    <row r="31" ht="22.5" customHeight="1">
      <c r="A31" s="40" t="s">
        <v>123</v>
      </c>
      <c r="B31" s="43" t="s">
        <v>124</v>
      </c>
      <c r="C31" s="42">
        <v>1695.0</v>
      </c>
      <c r="D31" s="43" t="s">
        <v>125</v>
      </c>
      <c r="E31" s="43"/>
      <c r="F31" s="41" t="s">
        <v>126</v>
      </c>
      <c r="G31" s="41" t="s">
        <v>100</v>
      </c>
    </row>
    <row r="32" ht="22.5" customHeight="1">
      <c r="A32" s="40" t="s">
        <v>128</v>
      </c>
      <c r="B32" s="43" t="s">
        <v>129</v>
      </c>
      <c r="C32" s="42">
        <v>0.0</v>
      </c>
      <c r="D32" s="43" t="s">
        <v>130</v>
      </c>
      <c r="E32" s="46" t="s">
        <v>131</v>
      </c>
      <c r="F32" s="41" t="s">
        <v>132</v>
      </c>
      <c r="G32" s="41" t="s">
        <v>100</v>
      </c>
    </row>
    <row r="33" ht="22.5" customHeight="1">
      <c r="A33" s="41" t="s">
        <v>134</v>
      </c>
      <c r="B33" s="79" t="s">
        <v>135</v>
      </c>
      <c r="C33" s="42">
        <v>495.0</v>
      </c>
      <c r="D33" s="45"/>
      <c r="E33" s="46" t="s">
        <v>137</v>
      </c>
      <c r="F33" s="41" t="s">
        <v>138</v>
      </c>
      <c r="G33" s="41" t="s">
        <v>100</v>
      </c>
    </row>
    <row r="34" ht="22.5" customHeight="1">
      <c r="A34" s="40" t="s">
        <v>140</v>
      </c>
      <c r="B34" s="43" t="s">
        <v>135</v>
      </c>
      <c r="C34" s="42">
        <v>595.0</v>
      </c>
      <c r="D34" s="43" t="s">
        <v>136</v>
      </c>
      <c r="E34" s="43" t="s">
        <v>141</v>
      </c>
      <c r="F34" s="41" t="s">
        <v>138</v>
      </c>
      <c r="G34" s="41" t="s">
        <v>100</v>
      </c>
    </row>
    <row r="35" ht="22.5" customHeight="1">
      <c r="A35" s="40" t="s">
        <v>143</v>
      </c>
      <c r="B35" s="43" t="s">
        <v>144</v>
      </c>
      <c r="C35" s="42">
        <v>495.0</v>
      </c>
      <c r="D35" s="45" t="s">
        <v>145</v>
      </c>
      <c r="E35" s="46" t="s">
        <v>137</v>
      </c>
      <c r="F35" s="41" t="s">
        <v>138</v>
      </c>
      <c r="G35" s="41" t="s">
        <v>100</v>
      </c>
    </row>
    <row r="36" ht="22.5" customHeight="1">
      <c r="A36" s="40" t="s">
        <v>147</v>
      </c>
      <c r="B36" s="43" t="s">
        <v>144</v>
      </c>
      <c r="C36" s="42">
        <v>595.0</v>
      </c>
      <c r="D36" s="45" t="s">
        <v>136</v>
      </c>
      <c r="E36" s="46" t="s">
        <v>141</v>
      </c>
      <c r="F36" s="41" t="s">
        <v>138</v>
      </c>
      <c r="G36" s="41" t="s">
        <v>100</v>
      </c>
    </row>
    <row r="37" ht="22.5" customHeight="1">
      <c r="A37" s="40" t="s">
        <v>173</v>
      </c>
      <c r="B37" s="43" t="s">
        <v>174</v>
      </c>
      <c r="C37" s="42">
        <v>100.0</v>
      </c>
      <c r="D37" s="43" t="s">
        <v>175</v>
      </c>
      <c r="E37" s="43"/>
      <c r="F37" s="41" t="s">
        <v>132</v>
      </c>
      <c r="G37" s="41" t="s">
        <v>100</v>
      </c>
    </row>
    <row r="38" ht="22.5" customHeight="1">
      <c r="A38" s="40" t="s">
        <v>397</v>
      </c>
      <c r="B38" s="43" t="s">
        <v>398</v>
      </c>
      <c r="C38" s="42">
        <v>95.0</v>
      </c>
      <c r="D38" s="43" t="s">
        <v>399</v>
      </c>
      <c r="E38" s="46"/>
      <c r="F38" s="41" t="s">
        <v>132</v>
      </c>
      <c r="G38" s="41" t="s">
        <v>100</v>
      </c>
    </row>
    <row r="39" ht="22.5" customHeight="1">
      <c r="A39" s="40" t="s">
        <v>400</v>
      </c>
      <c r="B39" s="43" t="s">
        <v>401</v>
      </c>
      <c r="C39" s="42">
        <v>1995.0</v>
      </c>
      <c r="D39" s="43" t="s">
        <v>402</v>
      </c>
      <c r="E39" s="46"/>
      <c r="F39" s="41" t="s">
        <v>138</v>
      </c>
      <c r="G39" s="41" t="s">
        <v>100</v>
      </c>
    </row>
    <row r="40" ht="22.5" customHeight="1">
      <c r="A40" s="40" t="s">
        <v>439</v>
      </c>
      <c r="B40" s="43" t="s">
        <v>440</v>
      </c>
      <c r="C40" s="42">
        <v>570.0</v>
      </c>
      <c r="D40" s="43" t="s">
        <v>402</v>
      </c>
      <c r="E40" s="46"/>
      <c r="F40" s="41" t="s">
        <v>441</v>
      </c>
      <c r="G40" s="41" t="s">
        <v>100</v>
      </c>
    </row>
    <row r="41" ht="22.5" customHeight="1">
      <c r="A41" s="40" t="s">
        <v>465</v>
      </c>
      <c r="B41" s="43" t="s">
        <v>466</v>
      </c>
      <c r="C41" s="42">
        <v>1095.0</v>
      </c>
      <c r="D41" s="43" t="s">
        <v>467</v>
      </c>
      <c r="E41" s="46"/>
      <c r="F41" s="41" t="s">
        <v>126</v>
      </c>
      <c r="G41" s="41" t="s">
        <v>100</v>
      </c>
    </row>
    <row r="42" ht="22.5" customHeight="1">
      <c r="A42" s="41" t="s">
        <v>327</v>
      </c>
      <c r="B42" s="43" t="s">
        <v>328</v>
      </c>
      <c r="C42" s="42">
        <v>475.0</v>
      </c>
      <c r="D42" s="43" t="s">
        <v>1332</v>
      </c>
      <c r="E42" s="43" t="s">
        <v>330</v>
      </c>
      <c r="F42" s="41" t="s">
        <v>99</v>
      </c>
      <c r="G42" s="41" t="s">
        <v>79</v>
      </c>
    </row>
    <row r="43" ht="22.5" customHeight="1">
      <c r="A43" s="40" t="s">
        <v>337</v>
      </c>
      <c r="B43" s="79" t="s">
        <v>338</v>
      </c>
      <c r="C43" s="42">
        <v>425.0</v>
      </c>
      <c r="D43" s="43" t="s">
        <v>339</v>
      </c>
      <c r="E43" s="46" t="s">
        <v>339</v>
      </c>
      <c r="F43" s="41" t="s">
        <v>99</v>
      </c>
      <c r="G43" s="41" t="s">
        <v>79</v>
      </c>
    </row>
    <row r="44" ht="22.5" customHeight="1">
      <c r="A44" s="40" t="s">
        <v>340</v>
      </c>
      <c r="B44" s="43" t="s">
        <v>341</v>
      </c>
      <c r="C44" s="42">
        <v>395.0</v>
      </c>
      <c r="D44" s="43" t="s">
        <v>342</v>
      </c>
      <c r="E44" s="46" t="s">
        <v>342</v>
      </c>
      <c r="F44" s="41" t="s">
        <v>99</v>
      </c>
      <c r="G44" s="41" t="s">
        <v>79</v>
      </c>
    </row>
    <row r="45" ht="22.5" customHeight="1">
      <c r="A45" s="50" t="s">
        <v>375</v>
      </c>
      <c r="B45" s="45" t="s">
        <v>376</v>
      </c>
      <c r="C45" s="42">
        <v>195.0</v>
      </c>
      <c r="D45" s="45" t="s">
        <v>1333</v>
      </c>
      <c r="E45" s="46"/>
      <c r="F45" s="41" t="s">
        <v>99</v>
      </c>
      <c r="G45" s="41" t="s">
        <v>79</v>
      </c>
    </row>
    <row r="46" ht="22.5" customHeight="1">
      <c r="A46" s="40" t="s">
        <v>379</v>
      </c>
      <c r="B46" s="43" t="s">
        <v>380</v>
      </c>
      <c r="C46" s="42">
        <v>125.0</v>
      </c>
      <c r="D46" s="45"/>
      <c r="E46" s="46"/>
      <c r="F46" s="41" t="s">
        <v>99</v>
      </c>
      <c r="G46" s="41" t="s">
        <v>79</v>
      </c>
    </row>
    <row r="47" ht="22.5" customHeight="1">
      <c r="A47" s="40" t="s">
        <v>383</v>
      </c>
      <c r="B47" s="43" t="s">
        <v>384</v>
      </c>
      <c r="C47" s="42">
        <v>275.0</v>
      </c>
      <c r="D47" s="43" t="s">
        <v>385</v>
      </c>
      <c r="E47" s="46" t="s">
        <v>385</v>
      </c>
      <c r="F47" s="41" t="s">
        <v>99</v>
      </c>
      <c r="G47" s="41" t="s">
        <v>79</v>
      </c>
    </row>
    <row r="48" ht="22.5" customHeight="1">
      <c r="A48" s="40" t="s">
        <v>1334</v>
      </c>
      <c r="B48" s="43" t="s">
        <v>1335</v>
      </c>
      <c r="C48" s="42">
        <v>425.0</v>
      </c>
      <c r="D48" s="43" t="s">
        <v>1336</v>
      </c>
      <c r="E48" s="46" t="s">
        <v>1336</v>
      </c>
      <c r="F48" s="41" t="s">
        <v>111</v>
      </c>
      <c r="G48" s="41" t="s">
        <v>79</v>
      </c>
    </row>
    <row r="49" ht="22.5" customHeight="1">
      <c r="A49" s="40" t="s">
        <v>394</v>
      </c>
      <c r="B49" s="43" t="s">
        <v>395</v>
      </c>
      <c r="C49" s="42">
        <v>395.0</v>
      </c>
      <c r="D49" s="43" t="s">
        <v>396</v>
      </c>
      <c r="E49" s="46" t="s">
        <v>396</v>
      </c>
      <c r="F49" s="41" t="s">
        <v>99</v>
      </c>
      <c r="G49" s="41" t="s">
        <v>79</v>
      </c>
    </row>
    <row r="50" ht="22.5" customHeight="1">
      <c r="A50" s="40" t="s">
        <v>1337</v>
      </c>
      <c r="B50" s="43" t="s">
        <v>1338</v>
      </c>
      <c r="C50" s="42">
        <v>275.0</v>
      </c>
      <c r="D50" s="45"/>
      <c r="E50" s="46"/>
      <c r="F50" s="41" t="s">
        <v>99</v>
      </c>
      <c r="G50" s="41" t="s">
        <v>79</v>
      </c>
    </row>
    <row r="51" ht="22.5" customHeight="1">
      <c r="A51" s="40" t="s">
        <v>432</v>
      </c>
      <c r="B51" s="43" t="s">
        <v>433</v>
      </c>
      <c r="C51" s="42">
        <v>40.0</v>
      </c>
      <c r="D51" s="43" t="s">
        <v>434</v>
      </c>
      <c r="E51" s="46"/>
      <c r="F51" s="41" t="s">
        <v>99</v>
      </c>
      <c r="G51" s="41" t="s">
        <v>79</v>
      </c>
    </row>
    <row r="52" ht="22.5" customHeight="1">
      <c r="A52" s="40" t="s">
        <v>1339</v>
      </c>
      <c r="B52" s="43" t="s">
        <v>445</v>
      </c>
      <c r="C52" s="42">
        <v>650.0</v>
      </c>
      <c r="D52" s="45"/>
      <c r="E52" s="46"/>
      <c r="F52" s="41" t="s">
        <v>99</v>
      </c>
      <c r="G52" s="41" t="s">
        <v>79</v>
      </c>
    </row>
    <row r="53" ht="22.5" customHeight="1">
      <c r="A53" s="40" t="s">
        <v>158</v>
      </c>
      <c r="B53" s="43" t="s">
        <v>159</v>
      </c>
      <c r="C53" s="42">
        <v>195.0</v>
      </c>
      <c r="D53" s="45" t="s">
        <v>160</v>
      </c>
      <c r="E53" s="43"/>
      <c r="F53" s="41" t="s">
        <v>99</v>
      </c>
      <c r="G53" s="41" t="s">
        <v>112</v>
      </c>
    </row>
    <row r="54" ht="22.5" customHeight="1">
      <c r="A54" s="40" t="s">
        <v>334</v>
      </c>
      <c r="B54" s="79" t="s">
        <v>335</v>
      </c>
      <c r="C54" s="42">
        <v>265.0</v>
      </c>
      <c r="D54" s="43" t="s">
        <v>336</v>
      </c>
      <c r="E54" s="46"/>
      <c r="F54" s="41" t="s">
        <v>99</v>
      </c>
      <c r="G54" s="41" t="s">
        <v>112</v>
      </c>
    </row>
    <row r="55" ht="22.5" customHeight="1">
      <c r="A55" s="40" t="s">
        <v>350</v>
      </c>
      <c r="B55" s="79" t="s">
        <v>351</v>
      </c>
      <c r="C55" s="42">
        <v>175.0</v>
      </c>
      <c r="D55" s="45"/>
      <c r="E55" s="46"/>
      <c r="F55" s="41" t="s">
        <v>99</v>
      </c>
      <c r="G55" s="41" t="s">
        <v>112</v>
      </c>
    </row>
    <row r="56" ht="22.5" customHeight="1">
      <c r="A56" s="50" t="s">
        <v>359</v>
      </c>
      <c r="B56" s="45" t="s">
        <v>360</v>
      </c>
      <c r="C56" s="42">
        <v>60.0</v>
      </c>
      <c r="D56" s="45" t="s">
        <v>361</v>
      </c>
      <c r="E56" s="46"/>
      <c r="F56" s="41" t="s">
        <v>99</v>
      </c>
      <c r="G56" s="41" t="s">
        <v>112</v>
      </c>
    </row>
    <row r="57" ht="22.5" customHeight="1">
      <c r="A57" s="40" t="s">
        <v>365</v>
      </c>
      <c r="B57" s="79" t="s">
        <v>366</v>
      </c>
      <c r="C57" s="42">
        <v>150.0</v>
      </c>
      <c r="D57" s="45" t="s">
        <v>361</v>
      </c>
      <c r="E57" s="46"/>
      <c r="F57" s="41" t="s">
        <v>99</v>
      </c>
      <c r="G57" s="41" t="s">
        <v>112</v>
      </c>
    </row>
    <row r="58" ht="22.5" customHeight="1">
      <c r="A58" s="40" t="s">
        <v>367</v>
      </c>
      <c r="B58" s="43" t="s">
        <v>368</v>
      </c>
      <c r="C58" s="42">
        <v>1695.0</v>
      </c>
      <c r="D58" s="43" t="s">
        <v>369</v>
      </c>
      <c r="E58" s="46"/>
      <c r="F58" s="41" t="s">
        <v>99</v>
      </c>
      <c r="G58" s="41" t="s">
        <v>112</v>
      </c>
    </row>
    <row r="59" ht="22.5" customHeight="1">
      <c r="A59" s="40" t="s">
        <v>437</v>
      </c>
      <c r="B59" s="43" t="s">
        <v>438</v>
      </c>
      <c r="C59" s="42">
        <v>150.0</v>
      </c>
      <c r="D59" s="43"/>
      <c r="E59" s="46"/>
      <c r="F59" s="41" t="s">
        <v>99</v>
      </c>
      <c r="G59" s="41" t="s">
        <v>112</v>
      </c>
    </row>
    <row r="60" ht="22.5" customHeight="1">
      <c r="A60" s="40" t="s">
        <v>446</v>
      </c>
      <c r="B60" s="43" t="s">
        <v>447</v>
      </c>
      <c r="C60" s="42">
        <v>298.0</v>
      </c>
      <c r="D60" s="43" t="s">
        <v>448</v>
      </c>
      <c r="E60" s="46"/>
      <c r="F60" s="41" t="s">
        <v>99</v>
      </c>
      <c r="G60" s="41" t="s">
        <v>112</v>
      </c>
    </row>
    <row r="61" ht="22.5" customHeight="1">
      <c r="A61" s="41" t="s">
        <v>449</v>
      </c>
      <c r="B61" s="43" t="s">
        <v>450</v>
      </c>
      <c r="C61" s="42">
        <v>95.0</v>
      </c>
      <c r="D61" s="43" t="s">
        <v>451</v>
      </c>
      <c r="E61" s="46" t="s">
        <v>452</v>
      </c>
      <c r="F61" s="41" t="s">
        <v>99</v>
      </c>
      <c r="G61" s="41" t="s">
        <v>112</v>
      </c>
    </row>
    <row r="62" ht="22.5" customHeight="1">
      <c r="A62" s="40" t="s">
        <v>1340</v>
      </c>
      <c r="B62" s="43" t="s">
        <v>1341</v>
      </c>
      <c r="C62" s="42">
        <v>925.0</v>
      </c>
      <c r="D62" s="43" t="s">
        <v>1342</v>
      </c>
      <c r="E62" s="43"/>
      <c r="F62" s="41" t="s">
        <v>301</v>
      </c>
      <c r="G62" s="41" t="s">
        <v>148</v>
      </c>
    </row>
    <row r="63" ht="22.5" customHeight="1">
      <c r="A63" s="41" t="s">
        <v>302</v>
      </c>
      <c r="B63" s="43" t="s">
        <v>303</v>
      </c>
      <c r="C63" s="42">
        <v>195.0</v>
      </c>
      <c r="D63" s="43" t="s">
        <v>304</v>
      </c>
      <c r="E63" s="46"/>
      <c r="F63" s="41" t="s">
        <v>99</v>
      </c>
      <c r="G63" s="41" t="s">
        <v>148</v>
      </c>
    </row>
    <row r="64" ht="22.5" customHeight="1">
      <c r="A64" s="41" t="s">
        <v>7</v>
      </c>
      <c r="B64" s="43" t="s">
        <v>305</v>
      </c>
      <c r="C64" s="42">
        <v>475.0</v>
      </c>
      <c r="D64" s="43" t="s">
        <v>1343</v>
      </c>
      <c r="E64" s="43" t="s">
        <v>1344</v>
      </c>
      <c r="F64" s="41" t="s">
        <v>99</v>
      </c>
      <c r="G64" s="41" t="s">
        <v>148</v>
      </c>
    </row>
    <row r="65" ht="22.5" customHeight="1">
      <c r="A65" s="47" t="s">
        <v>10</v>
      </c>
      <c r="B65" s="80" t="s">
        <v>217</v>
      </c>
      <c r="C65" s="42">
        <v>2595.0</v>
      </c>
      <c r="D65" s="45" t="s">
        <v>218</v>
      </c>
      <c r="E65" s="46" t="s">
        <v>218</v>
      </c>
      <c r="F65" s="48" t="s">
        <v>219</v>
      </c>
      <c r="G65" s="41" t="s">
        <v>127</v>
      </c>
    </row>
    <row r="66" ht="22.5" customHeight="1">
      <c r="A66" s="40" t="s">
        <v>228</v>
      </c>
      <c r="B66" s="43" t="s">
        <v>229</v>
      </c>
      <c r="C66" s="42">
        <v>100.0</v>
      </c>
      <c r="D66" s="43" t="s">
        <v>230</v>
      </c>
      <c r="E66" s="46"/>
      <c r="F66" s="41" t="s">
        <v>219</v>
      </c>
      <c r="G66" s="41" t="s">
        <v>127</v>
      </c>
    </row>
    <row r="67" ht="22.5" customHeight="1">
      <c r="A67" s="40" t="s">
        <v>6</v>
      </c>
      <c r="B67" s="79" t="s">
        <v>283</v>
      </c>
      <c r="C67" s="42">
        <v>395.0</v>
      </c>
      <c r="D67" s="43"/>
      <c r="E67" s="46"/>
      <c r="F67" s="41" t="s">
        <v>219</v>
      </c>
      <c r="G67" s="41" t="s">
        <v>127</v>
      </c>
    </row>
    <row r="68" ht="22.5" customHeight="1">
      <c r="A68" s="47" t="s">
        <v>1345</v>
      </c>
      <c r="B68" s="45" t="s">
        <v>1346</v>
      </c>
      <c r="C68" s="42">
        <v>500.0</v>
      </c>
      <c r="D68" s="43" t="s">
        <v>1347</v>
      </c>
      <c r="E68" s="46"/>
      <c r="F68" s="41" t="s">
        <v>219</v>
      </c>
      <c r="G68" s="41" t="s">
        <v>127</v>
      </c>
    </row>
    <row r="69" ht="22.5" customHeight="1">
      <c r="A69" s="40" t="s">
        <v>246</v>
      </c>
      <c r="B69" s="43" t="s">
        <v>247</v>
      </c>
      <c r="C69" s="42">
        <v>995.0</v>
      </c>
      <c r="D69" s="43" t="s">
        <v>248</v>
      </c>
      <c r="E69" s="46"/>
      <c r="F69" s="41" t="s">
        <v>249</v>
      </c>
      <c r="G69" s="41" t="s">
        <v>142</v>
      </c>
    </row>
    <row r="70" ht="22.5" customHeight="1">
      <c r="A70" s="49" t="s">
        <v>250</v>
      </c>
      <c r="B70" s="45" t="s">
        <v>251</v>
      </c>
      <c r="C70" s="42">
        <v>500.0</v>
      </c>
      <c r="D70" s="45" t="s">
        <v>252</v>
      </c>
      <c r="E70" s="46"/>
      <c r="F70" s="41" t="s">
        <v>249</v>
      </c>
      <c r="G70" s="41" t="s">
        <v>142</v>
      </c>
    </row>
    <row r="71" ht="22.5" customHeight="1">
      <c r="A71" s="40" t="s">
        <v>253</v>
      </c>
      <c r="B71" s="43" t="s">
        <v>254</v>
      </c>
      <c r="C71" s="42">
        <v>0.0</v>
      </c>
      <c r="D71" s="45"/>
      <c r="E71" s="46"/>
      <c r="F71" s="41" t="s">
        <v>249</v>
      </c>
      <c r="G71" s="41" t="s">
        <v>142</v>
      </c>
    </row>
    <row r="72" ht="22.5" customHeight="1">
      <c r="A72" s="40" t="s">
        <v>255</v>
      </c>
      <c r="B72" s="79" t="s">
        <v>256</v>
      </c>
      <c r="C72" s="42">
        <v>0.0</v>
      </c>
      <c r="D72" s="45"/>
      <c r="E72" s="46"/>
      <c r="F72" s="41" t="s">
        <v>249</v>
      </c>
      <c r="G72" s="41" t="s">
        <v>142</v>
      </c>
    </row>
    <row r="73" ht="22.5" customHeight="1">
      <c r="A73" s="40" t="s">
        <v>257</v>
      </c>
      <c r="B73" s="79" t="s">
        <v>258</v>
      </c>
      <c r="C73" s="42">
        <v>995.0</v>
      </c>
      <c r="D73" s="43" t="s">
        <v>248</v>
      </c>
      <c r="E73" s="46"/>
      <c r="F73" s="41" t="s">
        <v>249</v>
      </c>
      <c r="G73" s="41" t="s">
        <v>142</v>
      </c>
    </row>
    <row r="74" ht="22.5" customHeight="1">
      <c r="A74" s="40" t="s">
        <v>259</v>
      </c>
      <c r="B74" s="79" t="s">
        <v>260</v>
      </c>
      <c r="C74" s="42">
        <v>0.0</v>
      </c>
      <c r="D74" s="45"/>
      <c r="E74" s="46"/>
      <c r="F74" s="41" t="s">
        <v>249</v>
      </c>
      <c r="G74" s="41" t="s">
        <v>142</v>
      </c>
    </row>
    <row r="75" ht="22.5" customHeight="1">
      <c r="A75" s="49" t="s">
        <v>261</v>
      </c>
      <c r="B75" s="81" t="s">
        <v>262</v>
      </c>
      <c r="C75" s="42">
        <v>0.0</v>
      </c>
      <c r="D75" s="45" t="s">
        <v>263</v>
      </c>
      <c r="E75" s="46"/>
      <c r="F75" s="41" t="s">
        <v>249</v>
      </c>
      <c r="G75" s="41" t="s">
        <v>142</v>
      </c>
    </row>
    <row r="76" ht="22.5" customHeight="1">
      <c r="A76" s="40" t="s">
        <v>264</v>
      </c>
      <c r="B76" s="79" t="s">
        <v>265</v>
      </c>
      <c r="C76" s="42">
        <v>0.0</v>
      </c>
      <c r="D76" s="45"/>
      <c r="E76" s="46"/>
      <c r="F76" s="41" t="s">
        <v>249</v>
      </c>
      <c r="G76" s="41" t="s">
        <v>142</v>
      </c>
    </row>
    <row r="77" ht="22.5" customHeight="1">
      <c r="A77" s="40" t="s">
        <v>266</v>
      </c>
      <c r="B77" s="43" t="s">
        <v>267</v>
      </c>
      <c r="C77" s="42">
        <v>995.0</v>
      </c>
      <c r="D77" s="43" t="s">
        <v>268</v>
      </c>
      <c r="E77" s="46"/>
      <c r="F77" s="41" t="s">
        <v>249</v>
      </c>
      <c r="G77" s="41" t="s">
        <v>142</v>
      </c>
    </row>
    <row r="78" ht="22.5" customHeight="1">
      <c r="A78" s="49" t="s">
        <v>269</v>
      </c>
      <c r="B78" s="45" t="s">
        <v>270</v>
      </c>
      <c r="C78" s="42">
        <v>0.0</v>
      </c>
      <c r="D78" s="45"/>
      <c r="E78" s="46"/>
      <c r="F78" s="41" t="s">
        <v>249</v>
      </c>
      <c r="G78" s="41" t="s">
        <v>142</v>
      </c>
    </row>
    <row r="79" ht="22.5" customHeight="1">
      <c r="A79" s="40" t="s">
        <v>1348</v>
      </c>
      <c r="B79" s="43" t="s">
        <v>1349</v>
      </c>
      <c r="C79" s="42">
        <v>5995.0</v>
      </c>
      <c r="D79" s="43" t="s">
        <v>92</v>
      </c>
      <c r="E79" s="43" t="s">
        <v>1350</v>
      </c>
      <c r="F79" s="41" t="s">
        <v>93</v>
      </c>
      <c r="G79" s="41" t="s">
        <v>89</v>
      </c>
    </row>
    <row r="80" ht="22.5" customHeight="1">
      <c r="A80" s="40" t="s">
        <v>1351</v>
      </c>
      <c r="B80" s="82" t="s">
        <v>1352</v>
      </c>
      <c r="C80" s="42" t="s">
        <v>1353</v>
      </c>
      <c r="D80" s="43" t="s">
        <v>92</v>
      </c>
      <c r="E80" s="43" t="s">
        <v>1354</v>
      </c>
      <c r="F80" s="41" t="s">
        <v>425</v>
      </c>
      <c r="G80" s="41" t="s">
        <v>89</v>
      </c>
    </row>
    <row r="81" ht="22.5" customHeight="1">
      <c r="A81" s="40" t="s">
        <v>1355</v>
      </c>
      <c r="B81" s="43" t="s">
        <v>1356</v>
      </c>
      <c r="C81" s="42">
        <v>0.0</v>
      </c>
      <c r="D81" s="45" t="s">
        <v>1357</v>
      </c>
      <c r="E81" s="46"/>
      <c r="F81" s="41" t="s">
        <v>425</v>
      </c>
      <c r="G81" s="41" t="s">
        <v>89</v>
      </c>
    </row>
    <row r="82" ht="22.5" customHeight="1">
      <c r="A82" s="40" t="s">
        <v>14</v>
      </c>
      <c r="B82" s="43" t="s">
        <v>463</v>
      </c>
      <c r="C82" s="42">
        <v>195.0</v>
      </c>
      <c r="D82" s="43" t="s">
        <v>464</v>
      </c>
      <c r="E82" s="46"/>
      <c r="F82" s="41" t="s">
        <v>425</v>
      </c>
      <c r="G82" s="41" t="s">
        <v>89</v>
      </c>
    </row>
    <row r="83" ht="22.5" customHeight="1">
      <c r="A83" s="40" t="s">
        <v>181</v>
      </c>
      <c r="B83" s="43" t="s">
        <v>182</v>
      </c>
      <c r="C83" s="42">
        <v>1195.0</v>
      </c>
      <c r="D83" s="45" t="s">
        <v>183</v>
      </c>
      <c r="E83" s="46" t="s">
        <v>183</v>
      </c>
      <c r="F83" s="41" t="s">
        <v>184</v>
      </c>
      <c r="G83" s="41" t="s">
        <v>122</v>
      </c>
    </row>
    <row r="84" ht="22.5" customHeight="1">
      <c r="A84" s="40" t="s">
        <v>185</v>
      </c>
      <c r="B84" s="43" t="s">
        <v>186</v>
      </c>
      <c r="C84" s="42">
        <v>1195.0</v>
      </c>
      <c r="D84" s="45" t="s">
        <v>187</v>
      </c>
      <c r="E84" s="46" t="s">
        <v>187</v>
      </c>
      <c r="F84" s="41" t="s">
        <v>184</v>
      </c>
      <c r="G84" s="41" t="s">
        <v>122</v>
      </c>
    </row>
    <row r="85" ht="22.5" customHeight="1">
      <c r="A85" s="40" t="s">
        <v>188</v>
      </c>
      <c r="B85" s="43" t="s">
        <v>189</v>
      </c>
      <c r="C85" s="42">
        <v>1195.0</v>
      </c>
      <c r="D85" s="43" t="s">
        <v>190</v>
      </c>
      <c r="E85" s="46" t="s">
        <v>190</v>
      </c>
      <c r="F85" s="41" t="s">
        <v>184</v>
      </c>
      <c r="G85" s="41" t="s">
        <v>122</v>
      </c>
    </row>
    <row r="86" ht="22.5" customHeight="1">
      <c r="A86" s="41" t="s">
        <v>191</v>
      </c>
      <c r="B86" s="43" t="s">
        <v>192</v>
      </c>
      <c r="C86" s="42">
        <v>1195.0</v>
      </c>
      <c r="D86" s="43" t="s">
        <v>193</v>
      </c>
      <c r="E86" s="46" t="s">
        <v>193</v>
      </c>
      <c r="F86" s="41" t="s">
        <v>184</v>
      </c>
      <c r="G86" s="41" t="s">
        <v>122</v>
      </c>
    </row>
    <row r="87" ht="22.5" customHeight="1">
      <c r="A87" s="40" t="s">
        <v>194</v>
      </c>
      <c r="B87" s="79" t="s">
        <v>195</v>
      </c>
      <c r="C87" s="42">
        <v>1195.0</v>
      </c>
      <c r="D87" s="45"/>
      <c r="E87" s="45"/>
      <c r="F87" s="41" t="s">
        <v>184</v>
      </c>
      <c r="G87" s="41" t="s">
        <v>122</v>
      </c>
    </row>
    <row r="88" ht="22.5" customHeight="1">
      <c r="A88" s="40" t="s">
        <v>196</v>
      </c>
      <c r="B88" s="43" t="s">
        <v>197</v>
      </c>
      <c r="C88" s="42">
        <v>1195.0</v>
      </c>
      <c r="D88" s="43" t="s">
        <v>190</v>
      </c>
      <c r="E88" s="46" t="s">
        <v>190</v>
      </c>
      <c r="F88" s="41" t="s">
        <v>184</v>
      </c>
      <c r="G88" s="41" t="s">
        <v>122</v>
      </c>
    </row>
    <row r="89" ht="22.5" customHeight="1">
      <c r="A89" s="40" t="s">
        <v>198</v>
      </c>
      <c r="B89" s="79" t="s">
        <v>199</v>
      </c>
      <c r="C89" s="42">
        <v>1195.0</v>
      </c>
      <c r="D89" s="43" t="s">
        <v>193</v>
      </c>
      <c r="E89" s="46" t="s">
        <v>193</v>
      </c>
      <c r="F89" s="41" t="s">
        <v>184</v>
      </c>
      <c r="G89" s="41" t="s">
        <v>122</v>
      </c>
    </row>
    <row r="90" ht="22.5" customHeight="1">
      <c r="A90" s="40" t="s">
        <v>200</v>
      </c>
      <c r="B90" s="43" t="s">
        <v>201</v>
      </c>
      <c r="C90" s="42">
        <v>1195.0</v>
      </c>
      <c r="D90" s="43" t="s">
        <v>187</v>
      </c>
      <c r="E90" s="46" t="s">
        <v>187</v>
      </c>
      <c r="F90" s="41" t="s">
        <v>184</v>
      </c>
      <c r="G90" s="41" t="s">
        <v>122</v>
      </c>
    </row>
    <row r="91" ht="22.5" customHeight="1">
      <c r="A91" s="40" t="s">
        <v>1358</v>
      </c>
      <c r="B91" s="79" t="s">
        <v>1359</v>
      </c>
      <c r="C91" s="42">
        <v>1195.0</v>
      </c>
      <c r="D91" s="45" t="s">
        <v>183</v>
      </c>
      <c r="E91" s="46" t="s">
        <v>183</v>
      </c>
      <c r="F91" s="41" t="s">
        <v>184</v>
      </c>
      <c r="G91" s="41" t="s">
        <v>122</v>
      </c>
    </row>
    <row r="92" ht="22.5" customHeight="1">
      <c r="A92" s="40" t="s">
        <v>202</v>
      </c>
      <c r="B92" s="79" t="s">
        <v>203</v>
      </c>
      <c r="C92" s="42">
        <v>1195.0</v>
      </c>
      <c r="D92" s="45"/>
      <c r="E92" s="46"/>
      <c r="F92" s="41" t="s">
        <v>184</v>
      </c>
      <c r="G92" s="41" t="s">
        <v>122</v>
      </c>
    </row>
    <row r="93" ht="22.5" customHeight="1">
      <c r="A93" s="40" t="s">
        <v>204</v>
      </c>
      <c r="B93" s="43" t="s">
        <v>205</v>
      </c>
      <c r="C93" s="42">
        <v>1195.0</v>
      </c>
      <c r="D93" s="45"/>
      <c r="E93" s="46"/>
      <c r="F93" s="41" t="s">
        <v>184</v>
      </c>
      <c r="G93" s="41" t="s">
        <v>122</v>
      </c>
    </row>
    <row r="94" ht="22.5" customHeight="1">
      <c r="A94" s="40" t="s">
        <v>206</v>
      </c>
      <c r="B94" s="45" t="s">
        <v>207</v>
      </c>
      <c r="C94" s="42">
        <v>1195.0</v>
      </c>
      <c r="D94" s="45" t="s">
        <v>208</v>
      </c>
      <c r="E94" s="45" t="s">
        <v>208</v>
      </c>
      <c r="F94" s="41" t="s">
        <v>184</v>
      </c>
      <c r="G94" s="41" t="s">
        <v>122</v>
      </c>
    </row>
    <row r="95" ht="22.5" customHeight="1">
      <c r="A95" s="40" t="s">
        <v>209</v>
      </c>
      <c r="B95" s="43" t="s">
        <v>210</v>
      </c>
      <c r="C95" s="42">
        <v>1195.0</v>
      </c>
      <c r="D95" s="43" t="s">
        <v>183</v>
      </c>
      <c r="E95" s="46" t="s">
        <v>183</v>
      </c>
      <c r="F95" s="41" t="s">
        <v>184</v>
      </c>
      <c r="G95" s="41" t="s">
        <v>122</v>
      </c>
    </row>
    <row r="96" ht="22.5" customHeight="1">
      <c r="A96" s="40" t="s">
        <v>211</v>
      </c>
      <c r="B96" s="43" t="s">
        <v>212</v>
      </c>
      <c r="C96" s="42">
        <v>500.0</v>
      </c>
      <c r="D96" s="43" t="s">
        <v>187</v>
      </c>
      <c r="E96" s="46" t="s">
        <v>187</v>
      </c>
      <c r="F96" s="41" t="s">
        <v>184</v>
      </c>
      <c r="G96" s="41" t="s">
        <v>122</v>
      </c>
    </row>
    <row r="97" ht="22.5" customHeight="1">
      <c r="A97" s="40" t="s">
        <v>213</v>
      </c>
      <c r="B97" s="43" t="s">
        <v>214</v>
      </c>
      <c r="C97" s="42">
        <v>500.0</v>
      </c>
      <c r="D97" s="45"/>
      <c r="E97" s="46"/>
      <c r="F97" s="41" t="s">
        <v>184</v>
      </c>
      <c r="G97" s="41" t="s">
        <v>122</v>
      </c>
    </row>
    <row r="98" ht="22.5" customHeight="1">
      <c r="A98" s="40" t="s">
        <v>215</v>
      </c>
      <c r="B98" s="43" t="s">
        <v>216</v>
      </c>
      <c r="C98" s="42">
        <v>500.0</v>
      </c>
      <c r="D98" s="43" t="s">
        <v>193</v>
      </c>
      <c r="E98" s="46" t="s">
        <v>193</v>
      </c>
      <c r="F98" s="41" t="s">
        <v>184</v>
      </c>
      <c r="G98" s="41" t="s">
        <v>122</v>
      </c>
    </row>
    <row r="99" ht="22.5" customHeight="1">
      <c r="A99" s="41" t="s">
        <v>388</v>
      </c>
      <c r="B99" s="43" t="s">
        <v>389</v>
      </c>
      <c r="C99" s="42">
        <v>495.0</v>
      </c>
      <c r="D99" s="43" t="s">
        <v>374</v>
      </c>
      <c r="E99" s="46"/>
      <c r="F99" s="41" t="s">
        <v>184</v>
      </c>
      <c r="G99" s="41" t="s">
        <v>122</v>
      </c>
    </row>
    <row r="100" ht="22.5" customHeight="1">
      <c r="A100" s="41" t="s">
        <v>1360</v>
      </c>
      <c r="B100" s="43" t="s">
        <v>1361</v>
      </c>
      <c r="C100" s="42">
        <v>595.0</v>
      </c>
      <c r="D100" s="43" t="s">
        <v>374</v>
      </c>
      <c r="E100" s="46"/>
      <c r="F100" s="41" t="s">
        <v>184</v>
      </c>
      <c r="G100" s="41" t="s">
        <v>122</v>
      </c>
    </row>
    <row r="101" ht="22.5" customHeight="1">
      <c r="A101" s="40" t="s">
        <v>1362</v>
      </c>
      <c r="B101" s="43" t="s">
        <v>1363</v>
      </c>
      <c r="C101" s="42">
        <v>650.0</v>
      </c>
      <c r="D101" s="43" t="s">
        <v>374</v>
      </c>
      <c r="E101" s="46"/>
      <c r="F101" s="41" t="s">
        <v>184</v>
      </c>
      <c r="G101" s="41" t="s">
        <v>122</v>
      </c>
    </row>
    <row r="102" ht="22.5" customHeight="1">
      <c r="A102" s="40" t="s">
        <v>1364</v>
      </c>
      <c r="B102" s="43" t="s">
        <v>1365</v>
      </c>
      <c r="C102" s="42">
        <v>550.0</v>
      </c>
      <c r="D102" s="43" t="s">
        <v>374</v>
      </c>
      <c r="E102" s="46"/>
      <c r="F102" s="41" t="s">
        <v>184</v>
      </c>
      <c r="G102" s="41" t="s">
        <v>122</v>
      </c>
    </row>
    <row r="103" ht="22.5" customHeight="1">
      <c r="A103" s="40" t="s">
        <v>101</v>
      </c>
      <c r="B103" s="43" t="s">
        <v>102</v>
      </c>
      <c r="C103" s="42">
        <v>250.0</v>
      </c>
      <c r="D103" s="45"/>
      <c r="E103" s="43"/>
      <c r="F103" s="41" t="s">
        <v>78</v>
      </c>
      <c r="G103" s="41" t="s">
        <v>94</v>
      </c>
    </row>
    <row r="104" ht="22.5" customHeight="1">
      <c r="A104" s="40" t="s">
        <v>104</v>
      </c>
      <c r="B104" s="43" t="s">
        <v>105</v>
      </c>
      <c r="C104" s="42">
        <v>250.0</v>
      </c>
      <c r="D104" s="45"/>
      <c r="E104" s="43"/>
      <c r="F104" s="41" t="s">
        <v>78</v>
      </c>
      <c r="G104" s="41" t="s">
        <v>94</v>
      </c>
    </row>
    <row r="105" ht="22.5" customHeight="1">
      <c r="A105" s="40" t="s">
        <v>370</v>
      </c>
      <c r="B105" s="43" t="s">
        <v>371</v>
      </c>
      <c r="C105" s="42">
        <v>275.0</v>
      </c>
      <c r="D105" s="45"/>
      <c r="E105" s="46"/>
      <c r="F105" s="41" t="s">
        <v>78</v>
      </c>
      <c r="G105" s="41" t="s">
        <v>94</v>
      </c>
    </row>
    <row r="106" ht="22.5" customHeight="1">
      <c r="A106" s="40" t="s">
        <v>381</v>
      </c>
      <c r="B106" s="43" t="s">
        <v>382</v>
      </c>
      <c r="C106" s="42">
        <v>125.0</v>
      </c>
      <c r="D106" s="45"/>
      <c r="E106" s="46"/>
      <c r="F106" s="41" t="s">
        <v>78</v>
      </c>
      <c r="G106" s="41" t="s">
        <v>94</v>
      </c>
    </row>
    <row r="107" ht="22.5" customHeight="1">
      <c r="A107" s="47" t="s">
        <v>15</v>
      </c>
      <c r="B107" s="45" t="s">
        <v>409</v>
      </c>
      <c r="C107" s="42">
        <v>295.0</v>
      </c>
      <c r="D107" s="45"/>
      <c r="E107" s="46"/>
      <c r="F107" s="48" t="s">
        <v>78</v>
      </c>
      <c r="G107" s="41" t="s">
        <v>94</v>
      </c>
    </row>
    <row r="108" ht="22.5" customHeight="1">
      <c r="A108" s="40" t="s">
        <v>410</v>
      </c>
      <c r="B108" s="43" t="s">
        <v>411</v>
      </c>
      <c r="C108" s="42">
        <v>175.0</v>
      </c>
      <c r="D108" s="45"/>
      <c r="E108" s="46" t="s">
        <v>412</v>
      </c>
      <c r="F108" s="41" t="s">
        <v>78</v>
      </c>
      <c r="G108" s="41" t="s">
        <v>94</v>
      </c>
    </row>
    <row r="109" ht="22.5" customHeight="1">
      <c r="A109" s="41" t="s">
        <v>1366</v>
      </c>
      <c r="B109" s="43" t="s">
        <v>1367</v>
      </c>
      <c r="C109" s="42">
        <v>0.0</v>
      </c>
      <c r="D109" s="43" t="s">
        <v>1368</v>
      </c>
      <c r="E109" s="46"/>
      <c r="F109" s="41" t="s">
        <v>313</v>
      </c>
      <c r="G109" s="41" t="s">
        <v>153</v>
      </c>
    </row>
    <row r="110" ht="22.5" customHeight="1">
      <c r="A110" s="50" t="s">
        <v>1369</v>
      </c>
      <c r="B110" s="45" t="s">
        <v>1370</v>
      </c>
      <c r="C110" s="42">
        <v>995.0</v>
      </c>
      <c r="D110" s="45" t="s">
        <v>1371</v>
      </c>
      <c r="E110" s="46"/>
      <c r="F110" s="41" t="s">
        <v>313</v>
      </c>
      <c r="G110" s="41" t="s">
        <v>153</v>
      </c>
    </row>
    <row r="111" ht="22.5" customHeight="1">
      <c r="A111" s="40" t="s">
        <v>1372</v>
      </c>
      <c r="B111" s="79" t="s">
        <v>1373</v>
      </c>
      <c r="C111" s="42">
        <v>11995.0</v>
      </c>
      <c r="D111" s="45" t="s">
        <v>1374</v>
      </c>
      <c r="E111" s="46"/>
      <c r="F111" s="41" t="s">
        <v>1375</v>
      </c>
      <c r="G111" s="41" t="s">
        <v>153</v>
      </c>
    </row>
    <row r="112" ht="22.5" customHeight="1">
      <c r="A112" s="40" t="s">
        <v>1376</v>
      </c>
      <c r="B112" s="79" t="s">
        <v>1377</v>
      </c>
      <c r="C112" s="42">
        <v>13995.0</v>
      </c>
      <c r="D112" s="45" t="s">
        <v>1374</v>
      </c>
      <c r="E112" s="46"/>
      <c r="F112" s="41" t="s">
        <v>1375</v>
      </c>
      <c r="G112" s="41" t="s">
        <v>153</v>
      </c>
    </row>
    <row r="113" ht="22.5" customHeight="1">
      <c r="A113" s="40" t="s">
        <v>1378</v>
      </c>
      <c r="B113" s="43" t="s">
        <v>1379</v>
      </c>
      <c r="C113" s="42">
        <v>1495.0</v>
      </c>
      <c r="D113" s="43" t="s">
        <v>1371</v>
      </c>
      <c r="E113" s="46"/>
      <c r="F113" s="41" t="s">
        <v>313</v>
      </c>
      <c r="G113" s="41" t="s">
        <v>153</v>
      </c>
    </row>
    <row r="114" ht="22.5" customHeight="1">
      <c r="A114" s="40" t="s">
        <v>1380</v>
      </c>
      <c r="B114" s="43" t="s">
        <v>1381</v>
      </c>
      <c r="C114" s="42">
        <v>995.0</v>
      </c>
      <c r="D114" s="43" t="s">
        <v>1371</v>
      </c>
      <c r="E114" s="46"/>
      <c r="F114" s="41" t="s">
        <v>313</v>
      </c>
      <c r="G114" s="41" t="s">
        <v>153</v>
      </c>
    </row>
    <row r="115" ht="22.5" customHeight="1">
      <c r="A115" s="40" t="s">
        <v>1382</v>
      </c>
      <c r="B115" s="43" t="s">
        <v>1383</v>
      </c>
      <c r="C115" s="42">
        <v>15500.0</v>
      </c>
      <c r="D115" s="43" t="s">
        <v>1374</v>
      </c>
      <c r="E115" s="46"/>
      <c r="F115" s="41" t="s">
        <v>1375</v>
      </c>
      <c r="G115" s="41" t="s">
        <v>153</v>
      </c>
    </row>
  </sheetData>
  <printOptions gridLines="1" horizontalCentered="1"/>
  <pageMargins bottom="0.75" footer="0.0" header="0.0" left="0.7" right="0.7" top="0.75"/>
  <pageSetup fitToHeight="0" cellComments="atEnd" orientation="portrait"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2.0"/>
    <col customWidth="1" min="2" max="2" width="47.86"/>
    <col customWidth="1" min="3" max="3" width="14.43"/>
    <col customWidth="1" min="4" max="4" width="63.57"/>
    <col customWidth="1" min="5" max="5" width="39.43"/>
    <col customWidth="1" min="6" max="6" width="19.86"/>
    <col customWidth="1" min="7" max="7" width="17.0"/>
  </cols>
  <sheetData>
    <row r="1" ht="22.5" customHeight="1">
      <c r="A1" s="78" t="s">
        <v>67</v>
      </c>
      <c r="B1" s="34" t="s">
        <v>68</v>
      </c>
      <c r="C1" s="35" t="s">
        <v>2</v>
      </c>
      <c r="D1" s="36" t="s">
        <v>69</v>
      </c>
      <c r="E1" s="37" t="s">
        <v>70</v>
      </c>
      <c r="F1" s="38" t="s">
        <v>71</v>
      </c>
      <c r="G1" s="38" t="s">
        <v>72</v>
      </c>
    </row>
    <row r="2" ht="22.5" customHeight="1">
      <c r="A2" s="40" t="s">
        <v>1384</v>
      </c>
      <c r="B2" s="41" t="s">
        <v>1385</v>
      </c>
      <c r="C2" s="42">
        <v>4450.0</v>
      </c>
      <c r="D2" s="43" t="s">
        <v>1386</v>
      </c>
      <c r="E2" s="43" t="s">
        <v>77</v>
      </c>
      <c r="F2" s="41" t="s">
        <v>78</v>
      </c>
      <c r="G2" s="41" t="s">
        <v>79</v>
      </c>
    </row>
    <row r="3" ht="22.5" customHeight="1">
      <c r="A3" s="40" t="s">
        <v>1387</v>
      </c>
      <c r="B3" s="41" t="s">
        <v>1388</v>
      </c>
      <c r="C3" s="42">
        <v>4150.0</v>
      </c>
      <c r="D3" s="43" t="s">
        <v>76</v>
      </c>
      <c r="E3" s="43" t="s">
        <v>77</v>
      </c>
      <c r="F3" s="41" t="s">
        <v>78</v>
      </c>
      <c r="G3" s="41" t="s">
        <v>79</v>
      </c>
    </row>
    <row r="4" ht="22.5" customHeight="1">
      <c r="A4" s="40" t="s">
        <v>84</v>
      </c>
      <c r="B4" s="41" t="s">
        <v>85</v>
      </c>
      <c r="C4" s="42">
        <v>1250.0</v>
      </c>
      <c r="D4" s="43" t="s">
        <v>86</v>
      </c>
      <c r="E4" s="43" t="s">
        <v>87</v>
      </c>
      <c r="F4" s="41" t="s">
        <v>88</v>
      </c>
      <c r="G4" s="41" t="s">
        <v>83</v>
      </c>
    </row>
    <row r="5" ht="22.5" customHeight="1">
      <c r="A5" s="40" t="s">
        <v>1348</v>
      </c>
      <c r="B5" s="41" t="s">
        <v>1349</v>
      </c>
      <c r="C5" s="42">
        <v>5995.0</v>
      </c>
      <c r="D5" s="43" t="s">
        <v>92</v>
      </c>
      <c r="E5" s="43"/>
      <c r="F5" s="41" t="s">
        <v>93</v>
      </c>
      <c r="G5" s="41" t="s">
        <v>89</v>
      </c>
    </row>
    <row r="6" ht="22.5" customHeight="1">
      <c r="A6" s="40" t="s">
        <v>101</v>
      </c>
      <c r="B6" s="41" t="s">
        <v>102</v>
      </c>
      <c r="C6" s="42">
        <v>250.0</v>
      </c>
      <c r="D6" s="45"/>
      <c r="E6" s="43"/>
      <c r="F6" s="41" t="s">
        <v>78</v>
      </c>
      <c r="G6" s="41" t="s">
        <v>94</v>
      </c>
    </row>
    <row r="7" ht="22.5" customHeight="1">
      <c r="A7" s="40" t="s">
        <v>104</v>
      </c>
      <c r="B7" s="41" t="s">
        <v>105</v>
      </c>
      <c r="C7" s="42">
        <v>250.0</v>
      </c>
      <c r="D7" s="45"/>
      <c r="E7" s="46"/>
      <c r="F7" s="41" t="s">
        <v>78</v>
      </c>
      <c r="G7" s="41" t="s">
        <v>94</v>
      </c>
    </row>
    <row r="8" ht="22.5" customHeight="1">
      <c r="A8" s="40" t="s">
        <v>1351</v>
      </c>
      <c r="B8" s="82" t="s">
        <v>1352</v>
      </c>
      <c r="C8" s="42" t="s">
        <v>1353</v>
      </c>
      <c r="D8" s="43" t="s">
        <v>92</v>
      </c>
      <c r="E8" s="43" t="s">
        <v>1354</v>
      </c>
      <c r="F8" s="41" t="s">
        <v>425</v>
      </c>
      <c r="G8" s="41" t="s">
        <v>89</v>
      </c>
    </row>
    <row r="9" ht="22.5" customHeight="1">
      <c r="A9" s="41" t="s">
        <v>123</v>
      </c>
      <c r="B9" s="40" t="s">
        <v>124</v>
      </c>
      <c r="C9" s="42">
        <v>1695.0</v>
      </c>
      <c r="D9" s="43" t="s">
        <v>125</v>
      </c>
      <c r="E9" s="46"/>
      <c r="F9" s="41" t="s">
        <v>126</v>
      </c>
      <c r="G9" s="41" t="s">
        <v>100</v>
      </c>
    </row>
    <row r="10" ht="22.5" customHeight="1">
      <c r="A10" s="40" t="s">
        <v>1389</v>
      </c>
      <c r="B10" s="41" t="s">
        <v>1390</v>
      </c>
      <c r="C10" s="42">
        <v>495.0</v>
      </c>
      <c r="D10" s="43" t="s">
        <v>1391</v>
      </c>
      <c r="E10" s="43" t="s">
        <v>137</v>
      </c>
      <c r="F10" s="41" t="s">
        <v>132</v>
      </c>
      <c r="G10" s="41" t="s">
        <v>100</v>
      </c>
    </row>
    <row r="11" ht="22.5" customHeight="1">
      <c r="A11" s="40" t="s">
        <v>1392</v>
      </c>
      <c r="B11" s="41" t="s">
        <v>1390</v>
      </c>
      <c r="C11" s="42">
        <v>595.0</v>
      </c>
      <c r="D11" s="45" t="s">
        <v>1393</v>
      </c>
      <c r="E11" s="46" t="s">
        <v>1393</v>
      </c>
      <c r="F11" s="41" t="s">
        <v>132</v>
      </c>
      <c r="G11" s="41" t="s">
        <v>100</v>
      </c>
    </row>
    <row r="12" ht="22.5" customHeight="1">
      <c r="A12" s="40" t="s">
        <v>149</v>
      </c>
      <c r="B12" s="41" t="s">
        <v>150</v>
      </c>
      <c r="C12" s="42">
        <v>295.0</v>
      </c>
      <c r="D12" s="45" t="s">
        <v>151</v>
      </c>
      <c r="E12" s="46"/>
      <c r="F12" s="41" t="s">
        <v>152</v>
      </c>
      <c r="G12" s="41" t="s">
        <v>103</v>
      </c>
    </row>
    <row r="13" ht="22.5" customHeight="1">
      <c r="A13" s="40" t="s">
        <v>154</v>
      </c>
      <c r="B13" s="41" t="s">
        <v>155</v>
      </c>
      <c r="C13" s="42">
        <v>2495.0</v>
      </c>
      <c r="D13" s="45"/>
      <c r="E13" s="43"/>
      <c r="F13" s="41" t="s">
        <v>156</v>
      </c>
      <c r="G13" s="41" t="s">
        <v>106</v>
      </c>
    </row>
    <row r="14" ht="22.5" customHeight="1">
      <c r="A14" s="40" t="s">
        <v>158</v>
      </c>
      <c r="B14" s="41" t="s">
        <v>159</v>
      </c>
      <c r="C14" s="42">
        <v>195.0</v>
      </c>
      <c r="D14" s="43" t="s">
        <v>160</v>
      </c>
      <c r="E14" s="43"/>
      <c r="F14" s="41" t="s">
        <v>99</v>
      </c>
      <c r="G14" s="41" t="s">
        <v>112</v>
      </c>
    </row>
    <row r="15" ht="22.5" customHeight="1">
      <c r="A15" s="40" t="s">
        <v>1394</v>
      </c>
      <c r="B15" s="41" t="s">
        <v>1395</v>
      </c>
      <c r="C15" s="42">
        <v>395.0</v>
      </c>
      <c r="D15" s="45" t="s">
        <v>1396</v>
      </c>
      <c r="E15" s="43" t="s">
        <v>1396</v>
      </c>
      <c r="F15" s="41" t="s">
        <v>223</v>
      </c>
      <c r="G15" s="41" t="s">
        <v>133</v>
      </c>
    </row>
    <row r="16" ht="22.5" customHeight="1">
      <c r="A16" s="40" t="s">
        <v>161</v>
      </c>
      <c r="B16" s="41" t="s">
        <v>162</v>
      </c>
      <c r="C16" s="42">
        <v>995.0</v>
      </c>
      <c r="D16" s="45"/>
      <c r="E16" s="46"/>
      <c r="F16" s="41" t="s">
        <v>163</v>
      </c>
      <c r="G16" s="41" t="s">
        <v>106</v>
      </c>
    </row>
    <row r="17" ht="22.5" customHeight="1">
      <c r="A17" s="41" t="s">
        <v>164</v>
      </c>
      <c r="B17" s="41" t="s">
        <v>165</v>
      </c>
      <c r="C17" s="42">
        <v>0.0</v>
      </c>
      <c r="D17" s="43" t="s">
        <v>166</v>
      </c>
      <c r="E17" s="43"/>
      <c r="F17" s="41" t="s">
        <v>163</v>
      </c>
      <c r="G17" s="41" t="s">
        <v>106</v>
      </c>
    </row>
    <row r="18" ht="22.5" customHeight="1">
      <c r="A18" s="40" t="s">
        <v>167</v>
      </c>
      <c r="B18" s="40" t="s">
        <v>168</v>
      </c>
      <c r="C18" s="42">
        <v>3000.0</v>
      </c>
      <c r="D18" s="45" t="s">
        <v>169</v>
      </c>
      <c r="E18" s="43" t="s">
        <v>170</v>
      </c>
      <c r="F18" s="41" t="s">
        <v>163</v>
      </c>
      <c r="G18" s="41" t="s">
        <v>106</v>
      </c>
    </row>
    <row r="19" ht="22.5" customHeight="1">
      <c r="A19" s="41" t="s">
        <v>1323</v>
      </c>
      <c r="B19" s="40" t="s">
        <v>1324</v>
      </c>
      <c r="C19" s="42">
        <v>3995.0</v>
      </c>
      <c r="D19" s="43" t="s">
        <v>1325</v>
      </c>
      <c r="E19" s="43"/>
      <c r="F19" s="41" t="s">
        <v>88</v>
      </c>
      <c r="G19" s="41" t="s">
        <v>83</v>
      </c>
    </row>
    <row r="20" ht="22.5" customHeight="1">
      <c r="A20" s="40" t="s">
        <v>1326</v>
      </c>
      <c r="B20" s="40" t="s">
        <v>1327</v>
      </c>
      <c r="C20" s="42">
        <v>2995.0</v>
      </c>
      <c r="D20" s="43" t="s">
        <v>1328</v>
      </c>
      <c r="E20" s="43"/>
      <c r="F20" s="41" t="s">
        <v>88</v>
      </c>
      <c r="G20" s="41" t="s">
        <v>83</v>
      </c>
    </row>
    <row r="21" ht="22.5" customHeight="1">
      <c r="A21" s="41" t="s">
        <v>171</v>
      </c>
      <c r="B21" s="40" t="s">
        <v>172</v>
      </c>
      <c r="C21" s="42">
        <v>0.0</v>
      </c>
      <c r="D21" s="43" t="s">
        <v>166</v>
      </c>
      <c r="E21" s="43"/>
      <c r="F21" s="41" t="s">
        <v>163</v>
      </c>
      <c r="G21" s="41" t="s">
        <v>117</v>
      </c>
    </row>
    <row r="22" ht="22.5" customHeight="1">
      <c r="A22" s="40" t="s">
        <v>173</v>
      </c>
      <c r="B22" s="41" t="s">
        <v>174</v>
      </c>
      <c r="C22" s="42">
        <v>100.0</v>
      </c>
      <c r="D22" s="43" t="s">
        <v>175</v>
      </c>
      <c r="E22" s="43"/>
      <c r="F22" s="41" t="s">
        <v>132</v>
      </c>
      <c r="G22" s="41" t="s">
        <v>100</v>
      </c>
    </row>
    <row r="23" ht="22.5" customHeight="1">
      <c r="A23" s="41" t="s">
        <v>176</v>
      </c>
      <c r="B23" s="41" t="s">
        <v>177</v>
      </c>
      <c r="C23" s="42">
        <v>1295.0</v>
      </c>
      <c r="D23" s="43" t="s">
        <v>178</v>
      </c>
      <c r="E23" s="46" t="s">
        <v>178</v>
      </c>
      <c r="F23" s="41" t="s">
        <v>163</v>
      </c>
      <c r="G23" s="41" t="s">
        <v>117</v>
      </c>
    </row>
    <row r="24" ht="22.5" customHeight="1">
      <c r="A24" s="40" t="s">
        <v>179</v>
      </c>
      <c r="B24" s="41" t="s">
        <v>180</v>
      </c>
      <c r="C24" s="42">
        <v>1295.0</v>
      </c>
      <c r="D24" s="43" t="s">
        <v>178</v>
      </c>
      <c r="E24" s="46" t="s">
        <v>178</v>
      </c>
      <c r="F24" s="41" t="s">
        <v>163</v>
      </c>
      <c r="G24" s="41" t="s">
        <v>117</v>
      </c>
    </row>
    <row r="25" ht="22.5" customHeight="1">
      <c r="A25" s="40" t="s">
        <v>181</v>
      </c>
      <c r="B25" s="41" t="s">
        <v>182</v>
      </c>
      <c r="C25" s="42">
        <v>1195.0</v>
      </c>
      <c r="D25" s="45" t="s">
        <v>183</v>
      </c>
      <c r="E25" s="46" t="s">
        <v>183</v>
      </c>
      <c r="F25" s="41" t="s">
        <v>184</v>
      </c>
      <c r="G25" s="41" t="s">
        <v>122</v>
      </c>
    </row>
    <row r="26" ht="22.5" customHeight="1">
      <c r="A26" s="40" t="s">
        <v>185</v>
      </c>
      <c r="B26" s="41" t="s">
        <v>186</v>
      </c>
      <c r="C26" s="42">
        <v>1195.0</v>
      </c>
      <c r="D26" s="45" t="s">
        <v>187</v>
      </c>
      <c r="E26" s="46" t="s">
        <v>187</v>
      </c>
      <c r="F26" s="41" t="s">
        <v>184</v>
      </c>
      <c r="G26" s="41" t="s">
        <v>122</v>
      </c>
    </row>
    <row r="27" ht="22.5" customHeight="1">
      <c r="A27" s="40" t="s">
        <v>188</v>
      </c>
      <c r="B27" s="41" t="s">
        <v>189</v>
      </c>
      <c r="C27" s="42">
        <v>1195.0</v>
      </c>
      <c r="D27" s="43" t="s">
        <v>190</v>
      </c>
      <c r="E27" s="46" t="s">
        <v>190</v>
      </c>
      <c r="F27" s="41" t="s">
        <v>184</v>
      </c>
      <c r="G27" s="41" t="s">
        <v>122</v>
      </c>
    </row>
    <row r="28" ht="22.5" customHeight="1">
      <c r="A28" s="41" t="s">
        <v>191</v>
      </c>
      <c r="B28" s="41" t="s">
        <v>192</v>
      </c>
      <c r="C28" s="42">
        <v>1195.0</v>
      </c>
      <c r="D28" s="43" t="s">
        <v>193</v>
      </c>
      <c r="E28" s="46" t="s">
        <v>193</v>
      </c>
      <c r="F28" s="41" t="s">
        <v>184</v>
      </c>
      <c r="G28" s="41" t="s">
        <v>122</v>
      </c>
    </row>
    <row r="29" ht="22.5" customHeight="1">
      <c r="A29" s="40" t="s">
        <v>194</v>
      </c>
      <c r="B29" s="40" t="s">
        <v>195</v>
      </c>
      <c r="C29" s="42">
        <v>1195.0</v>
      </c>
      <c r="D29" s="45"/>
      <c r="E29" s="45"/>
      <c r="F29" s="41" t="s">
        <v>184</v>
      </c>
      <c r="G29" s="41" t="s">
        <v>122</v>
      </c>
    </row>
    <row r="30" ht="22.5" customHeight="1">
      <c r="A30" s="40" t="s">
        <v>196</v>
      </c>
      <c r="B30" s="41" t="s">
        <v>197</v>
      </c>
      <c r="C30" s="42">
        <v>1195.0</v>
      </c>
      <c r="D30" s="43" t="s">
        <v>190</v>
      </c>
      <c r="E30" s="46" t="s">
        <v>190</v>
      </c>
      <c r="F30" s="41" t="s">
        <v>184</v>
      </c>
      <c r="G30" s="41" t="s">
        <v>122</v>
      </c>
    </row>
    <row r="31" ht="22.5" customHeight="1">
      <c r="A31" s="40" t="s">
        <v>198</v>
      </c>
      <c r="B31" s="40" t="s">
        <v>199</v>
      </c>
      <c r="C31" s="42">
        <v>1195.0</v>
      </c>
      <c r="D31" s="43" t="s">
        <v>193</v>
      </c>
      <c r="E31" s="46" t="s">
        <v>193</v>
      </c>
      <c r="F31" s="41" t="s">
        <v>184</v>
      </c>
      <c r="G31" s="41" t="s">
        <v>122</v>
      </c>
    </row>
    <row r="32" ht="22.5" customHeight="1">
      <c r="A32" s="40" t="s">
        <v>200</v>
      </c>
      <c r="B32" s="41" t="s">
        <v>201</v>
      </c>
      <c r="C32" s="42">
        <v>1195.0</v>
      </c>
      <c r="D32" s="43" t="s">
        <v>187</v>
      </c>
      <c r="E32" s="46" t="s">
        <v>187</v>
      </c>
      <c r="F32" s="41" t="s">
        <v>184</v>
      </c>
      <c r="G32" s="41" t="s">
        <v>122</v>
      </c>
    </row>
    <row r="33" ht="22.5" customHeight="1">
      <c r="A33" s="40" t="s">
        <v>202</v>
      </c>
      <c r="B33" s="40" t="s">
        <v>203</v>
      </c>
      <c r="C33" s="42">
        <v>1195.0</v>
      </c>
      <c r="D33" s="45"/>
      <c r="E33" s="46"/>
      <c r="F33" s="41" t="s">
        <v>184</v>
      </c>
      <c r="G33" s="41" t="s">
        <v>122</v>
      </c>
    </row>
    <row r="34" ht="22.5" customHeight="1">
      <c r="A34" s="40" t="s">
        <v>204</v>
      </c>
      <c r="B34" s="41" t="s">
        <v>205</v>
      </c>
      <c r="C34" s="42">
        <v>1195.0</v>
      </c>
      <c r="D34" s="45"/>
      <c r="E34" s="46"/>
      <c r="F34" s="41" t="s">
        <v>184</v>
      </c>
      <c r="G34" s="41" t="s">
        <v>122</v>
      </c>
    </row>
    <row r="35" ht="22.5" customHeight="1">
      <c r="A35" s="40" t="s">
        <v>206</v>
      </c>
      <c r="B35" s="50" t="s">
        <v>207</v>
      </c>
      <c r="C35" s="42">
        <v>1195.0</v>
      </c>
      <c r="D35" s="45" t="s">
        <v>208</v>
      </c>
      <c r="E35" s="45" t="s">
        <v>208</v>
      </c>
      <c r="F35" s="41" t="s">
        <v>184</v>
      </c>
      <c r="G35" s="41" t="s">
        <v>122</v>
      </c>
    </row>
    <row r="36" ht="22.5" customHeight="1">
      <c r="A36" s="40" t="s">
        <v>209</v>
      </c>
      <c r="B36" s="41" t="s">
        <v>210</v>
      </c>
      <c r="C36" s="42">
        <v>1195.0</v>
      </c>
      <c r="D36" s="43" t="s">
        <v>183</v>
      </c>
      <c r="E36" s="46" t="s">
        <v>183</v>
      </c>
      <c r="F36" s="41" t="s">
        <v>184</v>
      </c>
      <c r="G36" s="41" t="s">
        <v>122</v>
      </c>
    </row>
    <row r="37" ht="22.5" customHeight="1">
      <c r="A37" s="40" t="s">
        <v>211</v>
      </c>
      <c r="B37" s="41" t="s">
        <v>212</v>
      </c>
      <c r="C37" s="42">
        <v>500.0</v>
      </c>
      <c r="D37" s="43" t="s">
        <v>187</v>
      </c>
      <c r="E37" s="46" t="s">
        <v>187</v>
      </c>
      <c r="F37" s="41" t="s">
        <v>184</v>
      </c>
      <c r="G37" s="41" t="s">
        <v>122</v>
      </c>
    </row>
    <row r="38" ht="22.5" customHeight="1">
      <c r="A38" s="40" t="s">
        <v>213</v>
      </c>
      <c r="B38" s="41" t="s">
        <v>214</v>
      </c>
      <c r="C38" s="42">
        <v>500.0</v>
      </c>
      <c r="D38" s="45"/>
      <c r="E38" s="46"/>
      <c r="F38" s="41" t="s">
        <v>184</v>
      </c>
      <c r="G38" s="41" t="s">
        <v>122</v>
      </c>
    </row>
    <row r="39" ht="22.5" customHeight="1">
      <c r="A39" s="40" t="s">
        <v>215</v>
      </c>
      <c r="B39" s="41" t="s">
        <v>216</v>
      </c>
      <c r="C39" s="42">
        <v>500.0</v>
      </c>
      <c r="D39" s="43" t="s">
        <v>193</v>
      </c>
      <c r="E39" s="46" t="s">
        <v>193</v>
      </c>
      <c r="F39" s="41" t="s">
        <v>184</v>
      </c>
      <c r="G39" s="41" t="s">
        <v>122</v>
      </c>
    </row>
    <row r="40" ht="22.5" customHeight="1">
      <c r="A40" s="47" t="s">
        <v>10</v>
      </c>
      <c r="B40" s="47" t="s">
        <v>217</v>
      </c>
      <c r="C40" s="42">
        <v>2595.0</v>
      </c>
      <c r="D40" s="45" t="s">
        <v>218</v>
      </c>
      <c r="E40" s="46" t="s">
        <v>218</v>
      </c>
      <c r="F40" s="48" t="s">
        <v>219</v>
      </c>
      <c r="G40" s="41" t="s">
        <v>127</v>
      </c>
    </row>
    <row r="41" ht="22.5" customHeight="1">
      <c r="A41" s="40" t="s">
        <v>220</v>
      </c>
      <c r="B41" s="41" t="s">
        <v>221</v>
      </c>
      <c r="C41" s="42">
        <v>0.0</v>
      </c>
      <c r="D41" s="43" t="s">
        <v>222</v>
      </c>
      <c r="E41" s="46"/>
      <c r="F41" s="48" t="s">
        <v>223</v>
      </c>
      <c r="G41" s="41" t="s">
        <v>133</v>
      </c>
    </row>
    <row r="42" ht="22.5" customHeight="1">
      <c r="A42" s="40" t="s">
        <v>224</v>
      </c>
      <c r="B42" s="40" t="s">
        <v>225</v>
      </c>
      <c r="C42" s="42">
        <v>995.0</v>
      </c>
      <c r="D42" s="43" t="s">
        <v>226</v>
      </c>
      <c r="E42" s="46" t="s">
        <v>227</v>
      </c>
      <c r="F42" s="41" t="s">
        <v>223</v>
      </c>
      <c r="G42" s="41" t="s">
        <v>133</v>
      </c>
    </row>
    <row r="43" ht="22.5" customHeight="1">
      <c r="A43" s="40" t="s">
        <v>228</v>
      </c>
      <c r="B43" s="41" t="s">
        <v>229</v>
      </c>
      <c r="C43" s="42">
        <v>100.0</v>
      </c>
      <c r="D43" s="43" t="s">
        <v>230</v>
      </c>
      <c r="E43" s="46"/>
      <c r="F43" s="41" t="s">
        <v>219</v>
      </c>
      <c r="G43" s="41" t="s">
        <v>127</v>
      </c>
    </row>
    <row r="44" ht="22.5" customHeight="1">
      <c r="A44" s="40" t="s">
        <v>231</v>
      </c>
      <c r="B44" s="40" t="s">
        <v>232</v>
      </c>
      <c r="C44" s="42">
        <v>295.0</v>
      </c>
      <c r="D44" s="43" t="s">
        <v>233</v>
      </c>
      <c r="E44" s="46"/>
      <c r="F44" s="41" t="s">
        <v>234</v>
      </c>
      <c r="G44" s="41" t="s">
        <v>139</v>
      </c>
    </row>
    <row r="45" ht="22.5" customHeight="1">
      <c r="A45" s="40" t="s">
        <v>235</v>
      </c>
      <c r="B45" s="40" t="s">
        <v>236</v>
      </c>
      <c r="C45" s="42">
        <v>0.0</v>
      </c>
      <c r="D45" s="43" t="s">
        <v>237</v>
      </c>
      <c r="E45" s="46"/>
      <c r="F45" s="41" t="s">
        <v>234</v>
      </c>
      <c r="G45" s="41" t="s">
        <v>139</v>
      </c>
    </row>
    <row r="46" ht="22.5" customHeight="1">
      <c r="A46" s="40" t="s">
        <v>246</v>
      </c>
      <c r="B46" s="41" t="s">
        <v>247</v>
      </c>
      <c r="C46" s="42">
        <v>995.0</v>
      </c>
      <c r="D46" s="43" t="s">
        <v>248</v>
      </c>
      <c r="E46" s="46"/>
      <c r="F46" s="41" t="s">
        <v>249</v>
      </c>
      <c r="G46" s="41" t="s">
        <v>142</v>
      </c>
    </row>
    <row r="47" ht="22.5" customHeight="1">
      <c r="A47" s="49" t="s">
        <v>250</v>
      </c>
      <c r="B47" s="50" t="s">
        <v>251</v>
      </c>
      <c r="C47" s="42">
        <v>500.0</v>
      </c>
      <c r="D47" s="45" t="s">
        <v>252</v>
      </c>
      <c r="E47" s="46"/>
      <c r="F47" s="41" t="s">
        <v>249</v>
      </c>
      <c r="G47" s="41" t="s">
        <v>142</v>
      </c>
    </row>
    <row r="48" ht="22.5" customHeight="1">
      <c r="A48" s="40" t="s">
        <v>253</v>
      </c>
      <c r="B48" s="41" t="s">
        <v>254</v>
      </c>
      <c r="C48" s="42">
        <v>0.0</v>
      </c>
      <c r="D48" s="45"/>
      <c r="E48" s="46"/>
      <c r="F48" s="41" t="s">
        <v>249</v>
      </c>
      <c r="G48" s="41" t="s">
        <v>142</v>
      </c>
    </row>
    <row r="49" ht="22.5" customHeight="1">
      <c r="A49" s="40" t="s">
        <v>255</v>
      </c>
      <c r="B49" s="40" t="s">
        <v>256</v>
      </c>
      <c r="C49" s="42">
        <v>0.0</v>
      </c>
      <c r="D49" s="45"/>
      <c r="E49" s="46"/>
      <c r="F49" s="41" t="s">
        <v>249</v>
      </c>
      <c r="G49" s="41" t="s">
        <v>142</v>
      </c>
    </row>
    <row r="50" ht="22.5" customHeight="1">
      <c r="A50" s="40" t="s">
        <v>257</v>
      </c>
      <c r="B50" s="40" t="s">
        <v>258</v>
      </c>
      <c r="C50" s="42">
        <v>995.0</v>
      </c>
      <c r="D50" s="43" t="s">
        <v>248</v>
      </c>
      <c r="E50" s="46"/>
      <c r="F50" s="41" t="s">
        <v>249</v>
      </c>
      <c r="G50" s="41" t="s">
        <v>142</v>
      </c>
    </row>
    <row r="51" ht="22.5" customHeight="1">
      <c r="A51" s="40" t="s">
        <v>259</v>
      </c>
      <c r="B51" s="40" t="s">
        <v>260</v>
      </c>
      <c r="C51" s="42">
        <v>0.0</v>
      </c>
      <c r="D51" s="45"/>
      <c r="E51" s="46"/>
      <c r="F51" s="41" t="s">
        <v>249</v>
      </c>
      <c r="G51" s="41" t="s">
        <v>142</v>
      </c>
    </row>
    <row r="52" ht="22.5" customHeight="1">
      <c r="A52" s="49" t="s">
        <v>261</v>
      </c>
      <c r="B52" s="49" t="s">
        <v>262</v>
      </c>
      <c r="C52" s="42">
        <v>0.0</v>
      </c>
      <c r="D52" s="45" t="s">
        <v>263</v>
      </c>
      <c r="E52" s="46"/>
      <c r="F52" s="41" t="s">
        <v>249</v>
      </c>
      <c r="G52" s="41" t="s">
        <v>142</v>
      </c>
    </row>
    <row r="53" ht="22.5" customHeight="1">
      <c r="A53" s="40" t="s">
        <v>264</v>
      </c>
      <c r="B53" s="40" t="s">
        <v>265</v>
      </c>
      <c r="C53" s="42">
        <v>0.0</v>
      </c>
      <c r="D53" s="45"/>
      <c r="E53" s="46"/>
      <c r="F53" s="41" t="s">
        <v>249</v>
      </c>
      <c r="G53" s="41" t="s">
        <v>142</v>
      </c>
    </row>
    <row r="54" ht="22.5" customHeight="1">
      <c r="A54" s="40" t="s">
        <v>266</v>
      </c>
      <c r="B54" s="41" t="s">
        <v>267</v>
      </c>
      <c r="C54" s="42">
        <v>995.0</v>
      </c>
      <c r="D54" s="43" t="s">
        <v>268</v>
      </c>
      <c r="E54" s="46"/>
      <c r="F54" s="41" t="s">
        <v>249</v>
      </c>
      <c r="G54" s="41" t="s">
        <v>142</v>
      </c>
    </row>
    <row r="55" ht="22.5" customHeight="1">
      <c r="A55" s="49" t="s">
        <v>269</v>
      </c>
      <c r="B55" s="50" t="s">
        <v>270</v>
      </c>
      <c r="C55" s="42">
        <v>0.0</v>
      </c>
      <c r="D55" s="45"/>
      <c r="E55" s="46"/>
      <c r="F55" s="41" t="s">
        <v>249</v>
      </c>
      <c r="G55" s="41" t="s">
        <v>142</v>
      </c>
    </row>
    <row r="56" ht="22.5" customHeight="1">
      <c r="A56" s="40" t="s">
        <v>1397</v>
      </c>
      <c r="B56" s="40" t="s">
        <v>1398</v>
      </c>
      <c r="C56" s="42">
        <v>9000.0</v>
      </c>
      <c r="D56" s="45" t="s">
        <v>1399</v>
      </c>
      <c r="E56" s="46"/>
      <c r="F56" s="41" t="s">
        <v>219</v>
      </c>
      <c r="G56" s="41" t="s">
        <v>127</v>
      </c>
    </row>
    <row r="57" ht="22.5" customHeight="1">
      <c r="A57" s="47" t="s">
        <v>271</v>
      </c>
      <c r="B57" s="50" t="s">
        <v>272</v>
      </c>
      <c r="C57" s="42">
        <v>0.0</v>
      </c>
      <c r="D57" s="45" t="s">
        <v>273</v>
      </c>
      <c r="E57" s="46" t="s">
        <v>274</v>
      </c>
      <c r="F57" s="41" t="s">
        <v>275</v>
      </c>
      <c r="G57" s="41" t="s">
        <v>146</v>
      </c>
    </row>
    <row r="58" ht="22.5" customHeight="1">
      <c r="A58" s="40" t="s">
        <v>1314</v>
      </c>
      <c r="B58" s="40" t="s">
        <v>1315</v>
      </c>
      <c r="C58" s="42">
        <v>695.0</v>
      </c>
      <c r="D58" s="43" t="s">
        <v>1316</v>
      </c>
      <c r="E58" s="46" t="s">
        <v>1316</v>
      </c>
      <c r="F58" s="41" t="s">
        <v>275</v>
      </c>
      <c r="G58" s="41" t="s">
        <v>146</v>
      </c>
    </row>
    <row r="59" ht="22.5" customHeight="1">
      <c r="A59" s="40" t="s">
        <v>1317</v>
      </c>
      <c r="B59" s="41" t="s">
        <v>1318</v>
      </c>
      <c r="C59" s="42">
        <v>0.0</v>
      </c>
      <c r="D59" s="43" t="s">
        <v>1319</v>
      </c>
      <c r="E59" s="46" t="s">
        <v>1316</v>
      </c>
      <c r="F59" s="41" t="s">
        <v>275</v>
      </c>
      <c r="G59" s="41" t="s">
        <v>146</v>
      </c>
    </row>
    <row r="60" ht="22.5" customHeight="1">
      <c r="A60" s="40" t="s">
        <v>13</v>
      </c>
      <c r="B60" s="40" t="s">
        <v>276</v>
      </c>
      <c r="C60" s="42">
        <v>695.0</v>
      </c>
      <c r="D60" s="45" t="s">
        <v>277</v>
      </c>
      <c r="E60" s="46"/>
      <c r="F60" s="41" t="s">
        <v>275</v>
      </c>
      <c r="G60" s="41" t="s">
        <v>146</v>
      </c>
    </row>
    <row r="61" ht="22.5" customHeight="1">
      <c r="A61" s="40" t="s">
        <v>278</v>
      </c>
      <c r="B61" s="40" t="s">
        <v>279</v>
      </c>
      <c r="C61" s="42">
        <v>695.0</v>
      </c>
      <c r="D61" s="43" t="s">
        <v>277</v>
      </c>
      <c r="E61" s="46"/>
      <c r="F61" s="41" t="s">
        <v>275</v>
      </c>
      <c r="G61" s="41" t="s">
        <v>146</v>
      </c>
    </row>
    <row r="62" ht="22.5" customHeight="1">
      <c r="A62" s="40" t="s">
        <v>1320</v>
      </c>
      <c r="B62" s="41" t="s">
        <v>1321</v>
      </c>
      <c r="C62" s="42">
        <v>695.0</v>
      </c>
      <c r="D62" s="43" t="s">
        <v>1316</v>
      </c>
      <c r="E62" s="46" t="s">
        <v>1316</v>
      </c>
      <c r="F62" s="41" t="s">
        <v>275</v>
      </c>
      <c r="G62" s="41" t="s">
        <v>146</v>
      </c>
    </row>
    <row r="63" ht="22.5" customHeight="1">
      <c r="A63" s="40" t="s">
        <v>280</v>
      </c>
      <c r="B63" s="40" t="s">
        <v>281</v>
      </c>
      <c r="C63" s="42">
        <v>695.0</v>
      </c>
      <c r="D63" s="43" t="s">
        <v>282</v>
      </c>
      <c r="E63" s="46"/>
      <c r="F63" s="41" t="s">
        <v>275</v>
      </c>
      <c r="G63" s="41" t="s">
        <v>146</v>
      </c>
    </row>
    <row r="64" ht="22.5" customHeight="1">
      <c r="A64" s="40" t="s">
        <v>6</v>
      </c>
      <c r="B64" s="41" t="s">
        <v>283</v>
      </c>
      <c r="C64" s="42">
        <v>395.0</v>
      </c>
      <c r="D64" s="43"/>
      <c r="E64" s="43"/>
      <c r="F64" s="41" t="s">
        <v>219</v>
      </c>
      <c r="G64" s="41" t="s">
        <v>127</v>
      </c>
    </row>
    <row r="65" ht="22.5" customHeight="1">
      <c r="A65" s="41" t="s">
        <v>1400</v>
      </c>
      <c r="B65" s="41" t="s">
        <v>294</v>
      </c>
      <c r="C65" s="42">
        <v>5050.0</v>
      </c>
      <c r="D65" s="43" t="s">
        <v>1401</v>
      </c>
      <c r="E65" s="46" t="s">
        <v>1402</v>
      </c>
      <c r="F65" s="41" t="s">
        <v>297</v>
      </c>
      <c r="G65" s="41" t="s">
        <v>148</v>
      </c>
    </row>
    <row r="66" ht="22.5" customHeight="1">
      <c r="A66" s="40" t="s">
        <v>1340</v>
      </c>
      <c r="B66" s="40" t="s">
        <v>1341</v>
      </c>
      <c r="C66" s="42">
        <v>925.0</v>
      </c>
      <c r="D66" s="43" t="s">
        <v>1342</v>
      </c>
      <c r="E66" s="46"/>
      <c r="F66" s="41" t="s">
        <v>301</v>
      </c>
      <c r="G66" s="41" t="s">
        <v>148</v>
      </c>
    </row>
    <row r="67" ht="22.5" customHeight="1">
      <c r="A67" s="40" t="s">
        <v>302</v>
      </c>
      <c r="B67" s="41" t="s">
        <v>303</v>
      </c>
      <c r="C67" s="42">
        <v>195.0</v>
      </c>
      <c r="D67" s="43" t="s">
        <v>304</v>
      </c>
      <c r="E67" s="46"/>
      <c r="F67" s="41" t="s">
        <v>99</v>
      </c>
      <c r="G67" s="41" t="s">
        <v>148</v>
      </c>
    </row>
    <row r="68" ht="22.5" customHeight="1">
      <c r="A68" s="40" t="s">
        <v>7</v>
      </c>
      <c r="B68" s="40" t="s">
        <v>305</v>
      </c>
      <c r="C68" s="42">
        <v>475.0</v>
      </c>
      <c r="D68" s="43" t="s">
        <v>306</v>
      </c>
      <c r="E68" s="46"/>
      <c r="F68" s="41" t="s">
        <v>99</v>
      </c>
      <c r="G68" s="41" t="s">
        <v>148</v>
      </c>
    </row>
    <row r="69" ht="22.5" customHeight="1">
      <c r="A69" s="40" t="s">
        <v>307</v>
      </c>
      <c r="B69" s="40" t="s">
        <v>308</v>
      </c>
      <c r="C69" s="42">
        <v>5000.0</v>
      </c>
      <c r="D69" s="43" t="s">
        <v>309</v>
      </c>
      <c r="E69" s="46"/>
      <c r="F69" s="41" t="s">
        <v>152</v>
      </c>
      <c r="G69" s="41" t="s">
        <v>103</v>
      </c>
    </row>
    <row r="70" ht="22.5" customHeight="1">
      <c r="A70" s="41" t="s">
        <v>327</v>
      </c>
      <c r="B70" s="43" t="s">
        <v>328</v>
      </c>
      <c r="C70" s="42">
        <v>475.0</v>
      </c>
      <c r="D70" s="43" t="s">
        <v>1332</v>
      </c>
      <c r="E70" s="43" t="s">
        <v>330</v>
      </c>
      <c r="F70" s="41" t="s">
        <v>99</v>
      </c>
      <c r="G70" s="41" t="s">
        <v>79</v>
      </c>
    </row>
    <row r="71" ht="22.5" customHeight="1">
      <c r="A71" s="40" t="s">
        <v>331</v>
      </c>
      <c r="B71" s="41" t="s">
        <v>332</v>
      </c>
      <c r="C71" s="42">
        <v>1495.0</v>
      </c>
      <c r="D71" s="43" t="s">
        <v>333</v>
      </c>
      <c r="E71" s="46"/>
      <c r="F71" s="41" t="s">
        <v>152</v>
      </c>
      <c r="G71" s="41" t="s">
        <v>103</v>
      </c>
    </row>
    <row r="72" ht="22.5" customHeight="1">
      <c r="A72" s="41" t="s">
        <v>24</v>
      </c>
      <c r="B72" s="41" t="s">
        <v>1403</v>
      </c>
      <c r="C72" s="42">
        <v>0.0</v>
      </c>
      <c r="D72" s="43" t="s">
        <v>1404</v>
      </c>
      <c r="E72" s="46"/>
      <c r="F72" s="41" t="s">
        <v>219</v>
      </c>
      <c r="G72" s="41" t="s">
        <v>1405</v>
      </c>
    </row>
    <row r="73" ht="22.5" customHeight="1">
      <c r="A73" s="50" t="s">
        <v>334</v>
      </c>
      <c r="B73" s="50" t="s">
        <v>335</v>
      </c>
      <c r="C73" s="42">
        <v>265.0</v>
      </c>
      <c r="D73" s="45" t="s">
        <v>336</v>
      </c>
      <c r="E73" s="46"/>
      <c r="F73" s="41" t="s">
        <v>99</v>
      </c>
      <c r="G73" s="41" t="s">
        <v>112</v>
      </c>
    </row>
    <row r="74" ht="22.5" customHeight="1">
      <c r="A74" s="40" t="s">
        <v>337</v>
      </c>
      <c r="B74" s="40" t="s">
        <v>338</v>
      </c>
      <c r="C74" s="42">
        <v>425.0</v>
      </c>
      <c r="D74" s="45" t="s">
        <v>339</v>
      </c>
      <c r="E74" s="46" t="s">
        <v>339</v>
      </c>
      <c r="F74" s="41" t="s">
        <v>99</v>
      </c>
      <c r="G74" s="41" t="s">
        <v>79</v>
      </c>
    </row>
    <row r="75" ht="22.5" customHeight="1">
      <c r="A75" s="40" t="s">
        <v>340</v>
      </c>
      <c r="B75" s="40" t="s">
        <v>341</v>
      </c>
      <c r="C75" s="42">
        <v>395.0</v>
      </c>
      <c r="D75" s="45" t="s">
        <v>342</v>
      </c>
      <c r="E75" s="46" t="s">
        <v>342</v>
      </c>
      <c r="F75" s="41" t="s">
        <v>99</v>
      </c>
      <c r="G75" s="41" t="s">
        <v>79</v>
      </c>
    </row>
    <row r="76" ht="22.5" customHeight="1">
      <c r="A76" s="41" t="s">
        <v>1372</v>
      </c>
      <c r="B76" s="41" t="s">
        <v>1373</v>
      </c>
      <c r="C76" s="42">
        <v>11995.0</v>
      </c>
      <c r="D76" s="43" t="s">
        <v>1374</v>
      </c>
      <c r="E76" s="46"/>
      <c r="F76" s="41" t="s">
        <v>1375</v>
      </c>
      <c r="G76" s="41" t="s">
        <v>153</v>
      </c>
    </row>
    <row r="77" ht="22.5" customHeight="1">
      <c r="A77" s="40" t="s">
        <v>1376</v>
      </c>
      <c r="B77" s="40" t="s">
        <v>1377</v>
      </c>
      <c r="C77" s="42">
        <v>13995.0</v>
      </c>
      <c r="D77" s="45" t="s">
        <v>1374</v>
      </c>
      <c r="E77" s="46"/>
      <c r="F77" s="41" t="s">
        <v>1375</v>
      </c>
      <c r="G77" s="41" t="s">
        <v>153</v>
      </c>
    </row>
    <row r="78" ht="22.5" customHeight="1">
      <c r="A78" s="50" t="s">
        <v>346</v>
      </c>
      <c r="B78" s="50" t="s">
        <v>347</v>
      </c>
      <c r="C78" s="42">
        <v>495.0</v>
      </c>
      <c r="D78" s="45"/>
      <c r="E78" s="46"/>
      <c r="F78" s="41" t="s">
        <v>99</v>
      </c>
      <c r="G78" s="41" t="s">
        <v>157</v>
      </c>
    </row>
    <row r="79" ht="22.5" customHeight="1">
      <c r="A79" s="79" t="s">
        <v>348</v>
      </c>
      <c r="B79" s="79" t="s">
        <v>1322</v>
      </c>
      <c r="C79" s="42">
        <v>495.0</v>
      </c>
      <c r="D79" s="45"/>
      <c r="E79" s="46"/>
      <c r="F79" s="41" t="s">
        <v>99</v>
      </c>
      <c r="G79" s="41" t="s">
        <v>157</v>
      </c>
    </row>
    <row r="80" ht="22.5" customHeight="1">
      <c r="A80" s="40" t="s">
        <v>350</v>
      </c>
      <c r="B80" s="40" t="s">
        <v>351</v>
      </c>
      <c r="C80" s="42">
        <v>175.0</v>
      </c>
      <c r="D80" s="45"/>
      <c r="E80" s="46"/>
      <c r="F80" s="41" t="s">
        <v>99</v>
      </c>
      <c r="G80" s="41" t="s">
        <v>112</v>
      </c>
    </row>
    <row r="81" ht="22.5" customHeight="1">
      <c r="A81" s="40" t="s">
        <v>1406</v>
      </c>
      <c r="B81" s="41" t="s">
        <v>1407</v>
      </c>
      <c r="C81" s="42">
        <v>2395.0</v>
      </c>
      <c r="D81" s="43" t="s">
        <v>1408</v>
      </c>
      <c r="E81" s="46"/>
      <c r="F81" s="41" t="s">
        <v>1409</v>
      </c>
      <c r="G81" s="41" t="s">
        <v>83</v>
      </c>
    </row>
    <row r="82" ht="22.5" customHeight="1">
      <c r="A82" s="40" t="s">
        <v>356</v>
      </c>
      <c r="B82" s="41" t="s">
        <v>357</v>
      </c>
      <c r="C82" s="42">
        <v>3995.0</v>
      </c>
      <c r="D82" s="43" t="s">
        <v>358</v>
      </c>
      <c r="E82" s="46" t="s">
        <v>358</v>
      </c>
      <c r="F82" s="41" t="s">
        <v>88</v>
      </c>
      <c r="G82" s="41" t="s">
        <v>83</v>
      </c>
    </row>
    <row r="83" ht="22.5" customHeight="1">
      <c r="A83" s="40" t="s">
        <v>359</v>
      </c>
      <c r="B83" s="41" t="s">
        <v>360</v>
      </c>
      <c r="C83" s="42">
        <v>60.0</v>
      </c>
      <c r="D83" s="43" t="s">
        <v>361</v>
      </c>
      <c r="E83" s="46"/>
      <c r="F83" s="41" t="s">
        <v>99</v>
      </c>
      <c r="G83" s="41" t="s">
        <v>112</v>
      </c>
    </row>
    <row r="84" ht="22.5" customHeight="1">
      <c r="A84" s="50" t="s">
        <v>365</v>
      </c>
      <c r="B84" s="50" t="s">
        <v>366</v>
      </c>
      <c r="C84" s="42">
        <v>150.0</v>
      </c>
      <c r="D84" s="45" t="s">
        <v>361</v>
      </c>
      <c r="E84" s="46"/>
      <c r="F84" s="41" t="s">
        <v>99</v>
      </c>
      <c r="G84" s="41" t="s">
        <v>112</v>
      </c>
    </row>
    <row r="85" ht="22.5" customHeight="1">
      <c r="A85" s="40" t="s">
        <v>367</v>
      </c>
      <c r="B85" s="41" t="s">
        <v>368</v>
      </c>
      <c r="C85" s="42">
        <v>1695.0</v>
      </c>
      <c r="D85" s="43" t="s">
        <v>369</v>
      </c>
      <c r="E85" s="46"/>
      <c r="F85" s="41" t="s">
        <v>99</v>
      </c>
      <c r="G85" s="41" t="s">
        <v>112</v>
      </c>
    </row>
    <row r="86" ht="22.5" customHeight="1">
      <c r="A86" s="40" t="s">
        <v>370</v>
      </c>
      <c r="B86" s="41" t="s">
        <v>371</v>
      </c>
      <c r="C86" s="42">
        <v>275.0</v>
      </c>
      <c r="D86" s="45"/>
      <c r="E86" s="46"/>
      <c r="F86" s="41" t="s">
        <v>78</v>
      </c>
      <c r="G86" s="41" t="s">
        <v>94</v>
      </c>
    </row>
    <row r="87" ht="22.5" customHeight="1">
      <c r="A87" s="40" t="s">
        <v>8</v>
      </c>
      <c r="B87" s="41" t="s">
        <v>1329</v>
      </c>
      <c r="C87" s="42">
        <v>2350.0</v>
      </c>
      <c r="D87" s="43" t="s">
        <v>1330</v>
      </c>
      <c r="E87" s="46"/>
      <c r="F87" s="41" t="s">
        <v>1331</v>
      </c>
      <c r="G87" s="41" t="s">
        <v>106</v>
      </c>
    </row>
    <row r="88" ht="22.5" customHeight="1">
      <c r="A88" s="40" t="s">
        <v>375</v>
      </c>
      <c r="B88" s="41" t="s">
        <v>376</v>
      </c>
      <c r="C88" s="42">
        <v>195.0</v>
      </c>
      <c r="D88" s="43" t="s">
        <v>1410</v>
      </c>
      <c r="E88" s="46"/>
      <c r="F88" s="41" t="s">
        <v>99</v>
      </c>
      <c r="G88" s="41" t="s">
        <v>79</v>
      </c>
    </row>
    <row r="89" ht="22.5" customHeight="1">
      <c r="A89" s="41" t="s">
        <v>379</v>
      </c>
      <c r="B89" s="41" t="s">
        <v>380</v>
      </c>
      <c r="C89" s="42">
        <v>125.0</v>
      </c>
      <c r="D89" s="45"/>
      <c r="E89" s="46"/>
      <c r="F89" s="41" t="s">
        <v>99</v>
      </c>
      <c r="G89" s="41" t="s">
        <v>79</v>
      </c>
    </row>
    <row r="90" ht="22.5" customHeight="1">
      <c r="A90" s="40" t="s">
        <v>381</v>
      </c>
      <c r="B90" s="41" t="s">
        <v>382</v>
      </c>
      <c r="C90" s="42">
        <v>125.0</v>
      </c>
      <c r="D90" s="45"/>
      <c r="E90" s="46"/>
      <c r="F90" s="41" t="s">
        <v>78</v>
      </c>
      <c r="G90" s="41" t="s">
        <v>94</v>
      </c>
    </row>
    <row r="91" ht="22.5" customHeight="1">
      <c r="A91" s="40" t="s">
        <v>383</v>
      </c>
      <c r="B91" s="41" t="s">
        <v>384</v>
      </c>
      <c r="C91" s="42">
        <v>275.0</v>
      </c>
      <c r="D91" s="43" t="s">
        <v>385</v>
      </c>
      <c r="E91" s="46" t="s">
        <v>385</v>
      </c>
      <c r="F91" s="41" t="s">
        <v>99</v>
      </c>
      <c r="G91" s="41" t="s">
        <v>79</v>
      </c>
    </row>
    <row r="92" ht="22.5" customHeight="1">
      <c r="A92" s="40" t="s">
        <v>1411</v>
      </c>
      <c r="B92" s="41" t="s">
        <v>1412</v>
      </c>
      <c r="C92" s="42">
        <v>275.0</v>
      </c>
      <c r="D92" s="45"/>
      <c r="E92" s="46"/>
      <c r="F92" s="41" t="s">
        <v>99</v>
      </c>
      <c r="G92" s="41" t="s">
        <v>79</v>
      </c>
    </row>
    <row r="93" ht="22.5" customHeight="1">
      <c r="A93" s="40" t="s">
        <v>388</v>
      </c>
      <c r="B93" s="41" t="s">
        <v>389</v>
      </c>
      <c r="C93" s="42">
        <v>495.0</v>
      </c>
      <c r="D93" s="43" t="s">
        <v>374</v>
      </c>
      <c r="E93" s="46"/>
      <c r="F93" s="41" t="s">
        <v>184</v>
      </c>
      <c r="G93" s="41" t="s">
        <v>122</v>
      </c>
    </row>
    <row r="94" ht="22.5" customHeight="1">
      <c r="A94" s="41" t="s">
        <v>1334</v>
      </c>
      <c r="B94" s="41" t="s">
        <v>1335</v>
      </c>
      <c r="C94" s="42">
        <v>425.0</v>
      </c>
      <c r="D94" s="43" t="s">
        <v>1336</v>
      </c>
      <c r="E94" s="46" t="s">
        <v>1336</v>
      </c>
      <c r="F94" s="41" t="s">
        <v>111</v>
      </c>
      <c r="G94" s="41" t="s">
        <v>79</v>
      </c>
    </row>
    <row r="95" ht="22.5" customHeight="1">
      <c r="A95" s="40" t="s">
        <v>394</v>
      </c>
      <c r="B95" s="41" t="s">
        <v>395</v>
      </c>
      <c r="C95" s="42">
        <v>395.0</v>
      </c>
      <c r="D95" s="43" t="s">
        <v>396</v>
      </c>
      <c r="E95" s="46" t="s">
        <v>396</v>
      </c>
      <c r="F95" s="41" t="s">
        <v>99</v>
      </c>
      <c r="G95" s="41" t="s">
        <v>79</v>
      </c>
    </row>
    <row r="96" ht="22.5" customHeight="1">
      <c r="A96" s="40" t="s">
        <v>397</v>
      </c>
      <c r="B96" s="41" t="s">
        <v>398</v>
      </c>
      <c r="C96" s="42">
        <v>95.0</v>
      </c>
      <c r="D96" s="43" t="s">
        <v>399</v>
      </c>
      <c r="E96" s="46"/>
      <c r="F96" s="41" t="s">
        <v>132</v>
      </c>
      <c r="G96" s="41" t="s">
        <v>100</v>
      </c>
    </row>
    <row r="97" ht="22.5" customHeight="1">
      <c r="A97" s="47" t="s">
        <v>400</v>
      </c>
      <c r="B97" s="50" t="s">
        <v>401</v>
      </c>
      <c r="C97" s="42">
        <v>1995.0</v>
      </c>
      <c r="D97" s="45" t="s">
        <v>402</v>
      </c>
      <c r="E97" s="46"/>
      <c r="F97" s="48" t="s">
        <v>138</v>
      </c>
      <c r="G97" s="41" t="s">
        <v>100</v>
      </c>
    </row>
    <row r="98" ht="22.5" customHeight="1">
      <c r="A98" s="40" t="s">
        <v>403</v>
      </c>
      <c r="B98" s="41" t="s">
        <v>404</v>
      </c>
      <c r="C98" s="42">
        <v>2895.0</v>
      </c>
      <c r="D98" s="43" t="s">
        <v>405</v>
      </c>
      <c r="E98" s="46" t="s">
        <v>405</v>
      </c>
      <c r="F98" s="41" t="s">
        <v>406</v>
      </c>
      <c r="G98" s="41" t="s">
        <v>83</v>
      </c>
    </row>
    <row r="99" ht="22.5" customHeight="1">
      <c r="A99" s="40" t="s">
        <v>1360</v>
      </c>
      <c r="B99" s="41" t="s">
        <v>1361</v>
      </c>
      <c r="C99" s="42">
        <v>595.0</v>
      </c>
      <c r="D99" s="43" t="s">
        <v>374</v>
      </c>
      <c r="E99" s="46"/>
      <c r="F99" s="41" t="s">
        <v>184</v>
      </c>
      <c r="G99" s="41" t="s">
        <v>122</v>
      </c>
    </row>
    <row r="100" ht="22.5" customHeight="1">
      <c r="A100" s="40" t="s">
        <v>1413</v>
      </c>
      <c r="B100" s="41" t="s">
        <v>1414</v>
      </c>
      <c r="C100" s="42">
        <v>995.0</v>
      </c>
      <c r="D100" s="43" t="s">
        <v>1371</v>
      </c>
      <c r="E100" s="46"/>
      <c r="F100" s="41" t="s">
        <v>313</v>
      </c>
      <c r="G100" s="41" t="s">
        <v>153</v>
      </c>
    </row>
    <row r="101" ht="22.5" customHeight="1">
      <c r="A101" s="40" t="s">
        <v>1415</v>
      </c>
      <c r="B101" s="41" t="s">
        <v>1416</v>
      </c>
      <c r="C101" s="42">
        <v>0.0</v>
      </c>
      <c r="D101" s="43" t="s">
        <v>1368</v>
      </c>
      <c r="E101" s="46"/>
      <c r="F101" s="41" t="s">
        <v>313</v>
      </c>
      <c r="G101" s="41" t="s">
        <v>153</v>
      </c>
    </row>
    <row r="102" ht="22.5" customHeight="1">
      <c r="A102" s="40" t="s">
        <v>15</v>
      </c>
      <c r="B102" s="41" t="s">
        <v>409</v>
      </c>
      <c r="C102" s="42">
        <v>295.0</v>
      </c>
      <c r="D102" s="45"/>
      <c r="E102" s="46"/>
      <c r="F102" s="41" t="s">
        <v>78</v>
      </c>
      <c r="G102" s="41" t="s">
        <v>94</v>
      </c>
    </row>
    <row r="103" ht="22.5" customHeight="1">
      <c r="A103" s="40" t="s">
        <v>410</v>
      </c>
      <c r="B103" s="41" t="s">
        <v>411</v>
      </c>
      <c r="C103" s="42">
        <v>175.0</v>
      </c>
      <c r="D103" s="45"/>
      <c r="E103" s="46" t="s">
        <v>412</v>
      </c>
      <c r="F103" s="41" t="s">
        <v>78</v>
      </c>
      <c r="G103" s="41" t="s">
        <v>94</v>
      </c>
    </row>
    <row r="104" ht="22.5" customHeight="1">
      <c r="A104" s="40" t="s">
        <v>1417</v>
      </c>
      <c r="B104" s="41" t="s">
        <v>1418</v>
      </c>
      <c r="C104" s="42">
        <v>995.0</v>
      </c>
      <c r="D104" s="43" t="s">
        <v>1419</v>
      </c>
      <c r="E104" s="46"/>
      <c r="F104" s="41" t="s">
        <v>313</v>
      </c>
      <c r="G104" s="41" t="s">
        <v>153</v>
      </c>
    </row>
    <row r="105" ht="22.5" customHeight="1">
      <c r="A105" s="40" t="s">
        <v>1420</v>
      </c>
      <c r="B105" s="41" t="s">
        <v>1421</v>
      </c>
      <c r="C105" s="42">
        <v>995.0</v>
      </c>
      <c r="D105" s="43" t="s">
        <v>1419</v>
      </c>
      <c r="E105" s="46"/>
      <c r="F105" s="41" t="s">
        <v>313</v>
      </c>
      <c r="G105" s="41" t="s">
        <v>153</v>
      </c>
    </row>
    <row r="106" ht="22.5" customHeight="1">
      <c r="A106" s="40" t="s">
        <v>1422</v>
      </c>
      <c r="B106" s="41" t="s">
        <v>1423</v>
      </c>
      <c r="C106" s="42">
        <v>1995.0</v>
      </c>
      <c r="D106" s="43" t="s">
        <v>1419</v>
      </c>
      <c r="E106" s="46"/>
      <c r="F106" s="41" t="s">
        <v>313</v>
      </c>
      <c r="G106" s="41" t="s">
        <v>153</v>
      </c>
    </row>
    <row r="107" ht="22.5" customHeight="1">
      <c r="A107" s="40" t="s">
        <v>1424</v>
      </c>
      <c r="B107" s="41" t="s">
        <v>1425</v>
      </c>
      <c r="C107" s="42">
        <v>1995.0</v>
      </c>
      <c r="D107" s="43" t="s">
        <v>1419</v>
      </c>
      <c r="E107" s="46"/>
      <c r="F107" s="41" t="s">
        <v>313</v>
      </c>
      <c r="G107" s="41" t="s">
        <v>153</v>
      </c>
    </row>
    <row r="108" ht="22.5" customHeight="1">
      <c r="A108" s="40" t="s">
        <v>1382</v>
      </c>
      <c r="B108" s="41" t="s">
        <v>1383</v>
      </c>
      <c r="C108" s="42">
        <v>15500.0</v>
      </c>
      <c r="D108" s="43" t="s">
        <v>1374</v>
      </c>
      <c r="E108" s="46"/>
      <c r="F108" s="41" t="s">
        <v>1375</v>
      </c>
      <c r="G108" s="41" t="s">
        <v>153</v>
      </c>
    </row>
    <row r="109" ht="22.5" customHeight="1">
      <c r="A109" s="40" t="s">
        <v>416</v>
      </c>
      <c r="B109" s="41" t="s">
        <v>417</v>
      </c>
      <c r="C109" s="42">
        <v>1950.0</v>
      </c>
      <c r="D109" s="45"/>
      <c r="E109" s="46"/>
      <c r="F109" s="41" t="s">
        <v>99</v>
      </c>
      <c r="G109" s="41" t="s">
        <v>112</v>
      </c>
    </row>
    <row r="110" ht="22.5" customHeight="1">
      <c r="A110" s="41" t="s">
        <v>418</v>
      </c>
      <c r="B110" s="41" t="s">
        <v>419</v>
      </c>
      <c r="C110" s="42">
        <v>1950.0</v>
      </c>
      <c r="D110" s="45"/>
      <c r="E110" s="46"/>
      <c r="F110" s="41" t="s">
        <v>99</v>
      </c>
      <c r="G110" s="41" t="s">
        <v>112</v>
      </c>
    </row>
    <row r="111" ht="22.5" customHeight="1">
      <c r="A111" s="47" t="s">
        <v>420</v>
      </c>
      <c r="B111" s="50" t="s">
        <v>421</v>
      </c>
      <c r="C111" s="42">
        <v>2295.0</v>
      </c>
      <c r="D111" s="45"/>
      <c r="E111" s="46"/>
      <c r="F111" s="41" t="s">
        <v>99</v>
      </c>
      <c r="G111" s="41" t="s">
        <v>112</v>
      </c>
    </row>
    <row r="112" ht="22.5" customHeight="1">
      <c r="A112" s="40" t="s">
        <v>1355</v>
      </c>
      <c r="B112" s="41" t="s">
        <v>1356</v>
      </c>
      <c r="C112" s="42">
        <v>0.0</v>
      </c>
      <c r="D112" s="45" t="s">
        <v>1357</v>
      </c>
      <c r="E112" s="46"/>
      <c r="F112" s="41" t="s">
        <v>425</v>
      </c>
      <c r="G112" s="41" t="s">
        <v>89</v>
      </c>
    </row>
    <row r="113" ht="22.5" customHeight="1">
      <c r="A113" s="40" t="s">
        <v>1426</v>
      </c>
      <c r="B113" s="41" t="s">
        <v>1427</v>
      </c>
      <c r="C113" s="42">
        <v>8495.0</v>
      </c>
      <c r="D113" s="43" t="s">
        <v>1428</v>
      </c>
      <c r="E113" s="46"/>
      <c r="F113" s="41" t="s">
        <v>93</v>
      </c>
      <c r="G113" s="41" t="s">
        <v>89</v>
      </c>
    </row>
    <row r="114" ht="22.5" customHeight="1">
      <c r="A114" s="40" t="s">
        <v>1429</v>
      </c>
      <c r="B114" s="41" t="s">
        <v>1430</v>
      </c>
      <c r="C114" s="42">
        <v>10495.0</v>
      </c>
      <c r="D114" s="43" t="s">
        <v>1431</v>
      </c>
      <c r="E114" s="46"/>
      <c r="F114" s="41" t="s">
        <v>93</v>
      </c>
      <c r="G114" s="41" t="s">
        <v>89</v>
      </c>
    </row>
    <row r="115" ht="22.5" customHeight="1">
      <c r="A115" s="40" t="s">
        <v>429</v>
      </c>
      <c r="B115" s="41" t="s">
        <v>430</v>
      </c>
      <c r="C115" s="42">
        <v>1995.0</v>
      </c>
      <c r="D115" s="43" t="s">
        <v>431</v>
      </c>
      <c r="E115" s="46"/>
      <c r="F115" s="41" t="s">
        <v>88</v>
      </c>
      <c r="G115" s="41" t="s">
        <v>83</v>
      </c>
    </row>
    <row r="116" ht="22.5" customHeight="1">
      <c r="A116" s="40" t="s">
        <v>432</v>
      </c>
      <c r="B116" s="41" t="s">
        <v>433</v>
      </c>
      <c r="C116" s="42">
        <v>40.0</v>
      </c>
      <c r="D116" s="43" t="s">
        <v>434</v>
      </c>
      <c r="E116" s="46"/>
      <c r="F116" s="41" t="s">
        <v>99</v>
      </c>
      <c r="G116" s="41" t="s">
        <v>79</v>
      </c>
    </row>
    <row r="117" ht="22.5" customHeight="1">
      <c r="A117" s="40" t="s">
        <v>1362</v>
      </c>
      <c r="B117" s="41" t="s">
        <v>1363</v>
      </c>
      <c r="C117" s="42">
        <v>650.0</v>
      </c>
      <c r="D117" s="43" t="s">
        <v>374</v>
      </c>
      <c r="E117" s="46"/>
      <c r="F117" s="41" t="s">
        <v>184</v>
      </c>
      <c r="G117" s="41" t="s">
        <v>122</v>
      </c>
    </row>
    <row r="118" ht="22.5" customHeight="1">
      <c r="A118" s="40" t="s">
        <v>1364</v>
      </c>
      <c r="B118" s="41" t="s">
        <v>1365</v>
      </c>
      <c r="C118" s="42">
        <v>550.0</v>
      </c>
      <c r="D118" s="43" t="s">
        <v>374</v>
      </c>
      <c r="E118" s="46"/>
      <c r="F118" s="41" t="s">
        <v>184</v>
      </c>
      <c r="G118" s="41" t="s">
        <v>122</v>
      </c>
    </row>
    <row r="119" ht="22.5" customHeight="1">
      <c r="A119" s="40" t="s">
        <v>437</v>
      </c>
      <c r="B119" s="41" t="s">
        <v>438</v>
      </c>
      <c r="C119" s="42">
        <v>150.0</v>
      </c>
      <c r="D119" s="43"/>
      <c r="E119" s="46"/>
      <c r="F119" s="41" t="s">
        <v>99</v>
      </c>
      <c r="G119" s="41" t="s">
        <v>112</v>
      </c>
    </row>
    <row r="120" ht="22.5" customHeight="1">
      <c r="A120" s="40" t="s">
        <v>439</v>
      </c>
      <c r="B120" s="41" t="s">
        <v>440</v>
      </c>
      <c r="C120" s="42">
        <v>570.0</v>
      </c>
      <c r="D120" s="43" t="s">
        <v>402</v>
      </c>
      <c r="E120" s="46"/>
      <c r="F120" s="41" t="s">
        <v>441</v>
      </c>
      <c r="G120" s="41" t="s">
        <v>100</v>
      </c>
    </row>
    <row r="121" ht="22.5" customHeight="1">
      <c r="A121" s="40" t="s">
        <v>1339</v>
      </c>
      <c r="B121" s="41" t="s">
        <v>445</v>
      </c>
      <c r="C121" s="42">
        <v>650.0</v>
      </c>
      <c r="D121" s="45"/>
      <c r="E121" s="46"/>
      <c r="F121" s="41" t="s">
        <v>99</v>
      </c>
      <c r="G121" s="41" t="s">
        <v>79</v>
      </c>
    </row>
    <row r="122" ht="22.5" customHeight="1">
      <c r="A122" s="40" t="s">
        <v>446</v>
      </c>
      <c r="B122" s="41" t="s">
        <v>447</v>
      </c>
      <c r="C122" s="42">
        <v>298.0</v>
      </c>
      <c r="D122" s="45" t="s">
        <v>448</v>
      </c>
      <c r="E122" s="46"/>
      <c r="F122" s="41" t="s">
        <v>99</v>
      </c>
      <c r="G122" s="41" t="s">
        <v>112</v>
      </c>
    </row>
    <row r="123" ht="22.5" customHeight="1">
      <c r="A123" s="40" t="s">
        <v>449</v>
      </c>
      <c r="B123" s="41" t="s">
        <v>450</v>
      </c>
      <c r="C123" s="42">
        <v>95.0</v>
      </c>
      <c r="D123" s="45" t="s">
        <v>451</v>
      </c>
      <c r="E123" s="46" t="s">
        <v>452</v>
      </c>
      <c r="F123" s="41" t="s">
        <v>99</v>
      </c>
      <c r="G123" s="41" t="s">
        <v>112</v>
      </c>
    </row>
    <row r="124" ht="22.5" customHeight="1">
      <c r="A124" s="79" t="s">
        <v>455</v>
      </c>
      <c r="B124" s="79" t="s">
        <v>456</v>
      </c>
      <c r="C124" s="42">
        <v>495.0</v>
      </c>
      <c r="D124" s="45"/>
      <c r="E124" s="46"/>
      <c r="F124" s="41" t="s">
        <v>99</v>
      </c>
      <c r="G124" s="41" t="s">
        <v>157</v>
      </c>
    </row>
    <row r="125" ht="22.5" customHeight="1">
      <c r="A125" s="40" t="s">
        <v>1432</v>
      </c>
      <c r="B125" s="41" t="s">
        <v>1433</v>
      </c>
      <c r="C125" s="42">
        <v>495.0</v>
      </c>
      <c r="D125" s="45"/>
      <c r="E125" s="46"/>
      <c r="F125" s="41" t="s">
        <v>99</v>
      </c>
      <c r="G125" s="41" t="s">
        <v>157</v>
      </c>
    </row>
    <row r="126" ht="22.5" customHeight="1">
      <c r="A126" s="40" t="s">
        <v>1434</v>
      </c>
      <c r="B126" s="41" t="s">
        <v>1435</v>
      </c>
      <c r="C126" s="42">
        <v>9500.0</v>
      </c>
      <c r="D126" s="45" t="s">
        <v>1436</v>
      </c>
      <c r="E126" s="46" t="s">
        <v>1437</v>
      </c>
      <c r="F126" s="41" t="s">
        <v>460</v>
      </c>
      <c r="G126" s="41" t="s">
        <v>127</v>
      </c>
    </row>
    <row r="127" ht="22.5" customHeight="1">
      <c r="A127" s="40" t="s">
        <v>14</v>
      </c>
      <c r="B127" s="41" t="s">
        <v>463</v>
      </c>
      <c r="C127" s="42">
        <v>195.0</v>
      </c>
      <c r="D127" s="43" t="s">
        <v>464</v>
      </c>
      <c r="E127" s="46"/>
      <c r="F127" s="41" t="s">
        <v>425</v>
      </c>
      <c r="G127" s="41" t="s">
        <v>89</v>
      </c>
    </row>
    <row r="128" ht="22.5" customHeight="1">
      <c r="A128" s="40" t="s">
        <v>465</v>
      </c>
      <c r="B128" s="41" t="s">
        <v>466</v>
      </c>
      <c r="C128" s="42">
        <v>1095.0</v>
      </c>
      <c r="D128" s="45" t="s">
        <v>467</v>
      </c>
      <c r="E128" s="46"/>
      <c r="F128" s="41" t="s">
        <v>126</v>
      </c>
      <c r="G128" s="41" t="s">
        <v>100</v>
      </c>
    </row>
  </sheetData>
  <printOptions gridLines="1" horizontalCentered="1"/>
  <pageMargins bottom="0.75" footer="0.0" header="0.0" left="0.25" right="0.25" top="0.75"/>
  <pageSetup fitToHeight="0" cellComments="atEnd" orientation="landscape"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0"/>
    <col customWidth="1" min="2" max="2" width="65.43"/>
    <col customWidth="1" min="3" max="3" width="14.43"/>
    <col customWidth="1" min="4" max="4" width="48.57"/>
    <col customWidth="1" min="5" max="5" width="48.14"/>
    <col customWidth="1" min="6" max="6" width="26.0"/>
    <col customWidth="1" min="7" max="7" width="21.86"/>
  </cols>
  <sheetData>
    <row r="1" ht="22.5" customHeight="1">
      <c r="A1" s="34" t="s">
        <v>67</v>
      </c>
      <c r="B1" s="34" t="s">
        <v>68</v>
      </c>
      <c r="C1" s="35" t="s">
        <v>2</v>
      </c>
      <c r="D1" s="36" t="s">
        <v>69</v>
      </c>
      <c r="E1" s="37" t="s">
        <v>70</v>
      </c>
      <c r="F1" s="38" t="s">
        <v>71</v>
      </c>
      <c r="G1" s="38" t="s">
        <v>72</v>
      </c>
    </row>
    <row r="2" ht="22.5" customHeight="1">
      <c r="A2" s="40" t="s">
        <v>84</v>
      </c>
      <c r="B2" s="41" t="s">
        <v>85</v>
      </c>
      <c r="C2" s="42">
        <v>1250.0</v>
      </c>
      <c r="D2" s="43" t="s">
        <v>1438</v>
      </c>
      <c r="E2" s="46" t="s">
        <v>87</v>
      </c>
      <c r="F2" s="41" t="s">
        <v>88</v>
      </c>
      <c r="G2" s="41" t="s">
        <v>83</v>
      </c>
    </row>
    <row r="3" ht="22.5" customHeight="1">
      <c r="A3" s="41" t="s">
        <v>101</v>
      </c>
      <c r="B3" s="41" t="s">
        <v>102</v>
      </c>
      <c r="C3" s="42">
        <v>250.0</v>
      </c>
      <c r="D3" s="45"/>
      <c r="E3" s="43"/>
      <c r="F3" s="41" t="s">
        <v>78</v>
      </c>
      <c r="G3" s="41" t="s">
        <v>94</v>
      </c>
    </row>
    <row r="4" ht="22.5" customHeight="1">
      <c r="A4" s="40" t="s">
        <v>149</v>
      </c>
      <c r="B4" s="40" t="s">
        <v>150</v>
      </c>
      <c r="C4" s="42">
        <v>295.0</v>
      </c>
      <c r="D4" s="45" t="s">
        <v>151</v>
      </c>
      <c r="E4" s="43"/>
      <c r="F4" s="41" t="s">
        <v>152</v>
      </c>
      <c r="G4" s="41" t="s">
        <v>103</v>
      </c>
    </row>
    <row r="5" ht="22.5" customHeight="1">
      <c r="A5" s="47" t="s">
        <v>1439</v>
      </c>
      <c r="B5" s="47" t="s">
        <v>155</v>
      </c>
      <c r="C5" s="42">
        <v>0.0</v>
      </c>
      <c r="D5" s="45" t="s">
        <v>1440</v>
      </c>
      <c r="E5" s="46"/>
      <c r="F5" s="48" t="s">
        <v>156</v>
      </c>
      <c r="G5" s="41" t="s">
        <v>106</v>
      </c>
    </row>
    <row r="6" ht="22.5" customHeight="1">
      <c r="A6" s="40" t="s">
        <v>158</v>
      </c>
      <c r="B6" s="41" t="s">
        <v>159</v>
      </c>
      <c r="C6" s="42">
        <v>195.0</v>
      </c>
      <c r="D6" s="43" t="s">
        <v>1441</v>
      </c>
      <c r="E6" s="46"/>
      <c r="F6" s="48" t="s">
        <v>99</v>
      </c>
      <c r="G6" s="41" t="s">
        <v>112</v>
      </c>
    </row>
    <row r="7" ht="22.5" customHeight="1">
      <c r="A7" s="40" t="s">
        <v>167</v>
      </c>
      <c r="B7" s="40" t="s">
        <v>168</v>
      </c>
      <c r="C7" s="42">
        <v>3000.0</v>
      </c>
      <c r="D7" s="45" t="s">
        <v>169</v>
      </c>
      <c r="E7" s="46" t="s">
        <v>170</v>
      </c>
      <c r="F7" s="41" t="s">
        <v>163</v>
      </c>
      <c r="G7" s="41" t="s">
        <v>106</v>
      </c>
    </row>
    <row r="8" ht="22.5" customHeight="1">
      <c r="A8" s="40" t="s">
        <v>1442</v>
      </c>
      <c r="B8" s="41" t="s">
        <v>1443</v>
      </c>
      <c r="C8" s="42">
        <v>0.0</v>
      </c>
      <c r="D8" s="43" t="s">
        <v>1444</v>
      </c>
      <c r="E8" s="46"/>
      <c r="F8" s="41" t="s">
        <v>163</v>
      </c>
      <c r="G8" s="41" t="s">
        <v>117</v>
      </c>
    </row>
    <row r="9" ht="22.5" customHeight="1">
      <c r="A9" s="40" t="s">
        <v>181</v>
      </c>
      <c r="B9" s="40" t="s">
        <v>182</v>
      </c>
      <c r="C9" s="42">
        <v>1195.0</v>
      </c>
      <c r="D9" s="43" t="s">
        <v>183</v>
      </c>
      <c r="E9" s="46" t="s">
        <v>183</v>
      </c>
      <c r="F9" s="41" t="s">
        <v>184</v>
      </c>
      <c r="G9" s="41" t="s">
        <v>122</v>
      </c>
    </row>
    <row r="10" ht="22.5" customHeight="1">
      <c r="A10" s="40" t="s">
        <v>185</v>
      </c>
      <c r="B10" s="40" t="s">
        <v>186</v>
      </c>
      <c r="C10" s="42">
        <v>1195.0</v>
      </c>
      <c r="D10" s="43" t="s">
        <v>187</v>
      </c>
      <c r="E10" s="46" t="s">
        <v>187</v>
      </c>
      <c r="F10" s="41" t="s">
        <v>184</v>
      </c>
      <c r="G10" s="41" t="s">
        <v>122</v>
      </c>
    </row>
    <row r="11" ht="22.5" customHeight="1">
      <c r="A11" s="40" t="s">
        <v>188</v>
      </c>
      <c r="B11" s="41" t="s">
        <v>189</v>
      </c>
      <c r="C11" s="42">
        <v>1195.0</v>
      </c>
      <c r="D11" s="43" t="s">
        <v>190</v>
      </c>
      <c r="E11" s="46" t="s">
        <v>190</v>
      </c>
      <c r="F11" s="41" t="s">
        <v>184</v>
      </c>
      <c r="G11" s="41" t="s">
        <v>122</v>
      </c>
    </row>
    <row r="12" ht="22.5" customHeight="1">
      <c r="A12" s="40" t="s">
        <v>191</v>
      </c>
      <c r="B12" s="40" t="s">
        <v>192</v>
      </c>
      <c r="C12" s="42">
        <v>1195.0</v>
      </c>
      <c r="D12" s="43" t="s">
        <v>193</v>
      </c>
      <c r="E12" s="46" t="s">
        <v>193</v>
      </c>
      <c r="F12" s="41" t="s">
        <v>184</v>
      </c>
      <c r="G12" s="41" t="s">
        <v>122</v>
      </c>
    </row>
    <row r="13" ht="22.5" customHeight="1">
      <c r="A13" s="40" t="s">
        <v>194</v>
      </c>
      <c r="B13" s="41" t="s">
        <v>195</v>
      </c>
      <c r="C13" s="42">
        <v>1195.0</v>
      </c>
      <c r="D13" s="45"/>
      <c r="E13" s="45"/>
      <c r="F13" s="41" t="s">
        <v>184</v>
      </c>
      <c r="G13" s="41" t="s">
        <v>122</v>
      </c>
    </row>
    <row r="14" ht="22.5" customHeight="1">
      <c r="A14" s="40" t="s">
        <v>196</v>
      </c>
      <c r="B14" s="40" t="s">
        <v>197</v>
      </c>
      <c r="C14" s="42">
        <v>1195.0</v>
      </c>
      <c r="D14" s="43" t="s">
        <v>190</v>
      </c>
      <c r="E14" s="46" t="s">
        <v>190</v>
      </c>
      <c r="F14" s="41" t="s">
        <v>184</v>
      </c>
      <c r="G14" s="41" t="s">
        <v>122</v>
      </c>
    </row>
    <row r="15" ht="22.5" customHeight="1">
      <c r="A15" s="40" t="s">
        <v>198</v>
      </c>
      <c r="B15" s="40" t="s">
        <v>199</v>
      </c>
      <c r="C15" s="42">
        <v>1195.0</v>
      </c>
      <c r="D15" s="43" t="s">
        <v>193</v>
      </c>
      <c r="E15" s="46" t="s">
        <v>193</v>
      </c>
      <c r="F15" s="41" t="s">
        <v>184</v>
      </c>
      <c r="G15" s="41" t="s">
        <v>122</v>
      </c>
    </row>
    <row r="16" ht="22.5" customHeight="1">
      <c r="A16" s="40" t="s">
        <v>200</v>
      </c>
      <c r="B16" s="40" t="s">
        <v>201</v>
      </c>
      <c r="C16" s="42">
        <v>1195.0</v>
      </c>
      <c r="D16" s="45" t="s">
        <v>187</v>
      </c>
      <c r="E16" s="46" t="s">
        <v>187</v>
      </c>
      <c r="F16" s="41" t="s">
        <v>184</v>
      </c>
      <c r="G16" s="41" t="s">
        <v>122</v>
      </c>
    </row>
    <row r="17" ht="22.5" customHeight="1">
      <c r="A17" s="40" t="s">
        <v>202</v>
      </c>
      <c r="B17" s="40" t="s">
        <v>203</v>
      </c>
      <c r="C17" s="42">
        <v>1195.0</v>
      </c>
      <c r="D17" s="45"/>
      <c r="E17" s="46"/>
      <c r="F17" s="41" t="s">
        <v>184</v>
      </c>
      <c r="G17" s="41" t="s">
        <v>122</v>
      </c>
    </row>
    <row r="18" ht="22.5" customHeight="1">
      <c r="A18" s="40" t="s">
        <v>204</v>
      </c>
      <c r="B18" s="41" t="s">
        <v>205</v>
      </c>
      <c r="C18" s="42">
        <v>1195.0</v>
      </c>
      <c r="D18" s="45"/>
      <c r="E18" s="46"/>
      <c r="F18" s="41" t="s">
        <v>184</v>
      </c>
      <c r="G18" s="41" t="s">
        <v>122</v>
      </c>
    </row>
    <row r="19" ht="22.5" customHeight="1">
      <c r="A19" s="41" t="s">
        <v>206</v>
      </c>
      <c r="B19" s="50" t="s">
        <v>207</v>
      </c>
      <c r="C19" s="42">
        <v>1195.0</v>
      </c>
      <c r="D19" s="45" t="s">
        <v>208</v>
      </c>
      <c r="E19" s="45" t="s">
        <v>208</v>
      </c>
      <c r="F19" s="41" t="s">
        <v>184</v>
      </c>
      <c r="G19" s="41" t="s">
        <v>122</v>
      </c>
    </row>
    <row r="20" ht="22.5" customHeight="1">
      <c r="A20" s="40" t="s">
        <v>209</v>
      </c>
      <c r="B20" s="40" t="s">
        <v>210</v>
      </c>
      <c r="C20" s="42">
        <v>1195.0</v>
      </c>
      <c r="D20" s="45" t="s">
        <v>183</v>
      </c>
      <c r="E20" s="46" t="s">
        <v>183</v>
      </c>
      <c r="F20" s="41" t="s">
        <v>184</v>
      </c>
      <c r="G20" s="41" t="s">
        <v>122</v>
      </c>
    </row>
    <row r="21" ht="22.5" customHeight="1">
      <c r="A21" s="47" t="s">
        <v>10</v>
      </c>
      <c r="B21" s="47" t="s">
        <v>217</v>
      </c>
      <c r="C21" s="42">
        <v>2595.0</v>
      </c>
      <c r="D21" s="45"/>
      <c r="E21" s="43" t="s">
        <v>1445</v>
      </c>
      <c r="F21" s="48" t="s">
        <v>219</v>
      </c>
      <c r="G21" s="41" t="s">
        <v>127</v>
      </c>
    </row>
    <row r="22" ht="22.5" customHeight="1">
      <c r="A22" s="50" t="s">
        <v>220</v>
      </c>
      <c r="B22" s="50" t="s">
        <v>221</v>
      </c>
      <c r="C22" s="42">
        <v>0.0</v>
      </c>
      <c r="D22" s="45" t="s">
        <v>1446</v>
      </c>
      <c r="E22" s="46"/>
      <c r="F22" s="41" t="s">
        <v>223</v>
      </c>
      <c r="G22" s="41" t="s">
        <v>133</v>
      </c>
    </row>
    <row r="23" ht="22.5" customHeight="1">
      <c r="A23" s="40" t="s">
        <v>228</v>
      </c>
      <c r="B23" s="41" t="s">
        <v>229</v>
      </c>
      <c r="C23" s="42">
        <v>100.0</v>
      </c>
      <c r="D23" s="43" t="s">
        <v>230</v>
      </c>
      <c r="E23" s="46"/>
      <c r="F23" s="41" t="s">
        <v>219</v>
      </c>
      <c r="G23" s="41" t="s">
        <v>127</v>
      </c>
    </row>
    <row r="24" ht="22.5" customHeight="1">
      <c r="A24" s="40" t="s">
        <v>11</v>
      </c>
      <c r="B24" s="40" t="s">
        <v>1447</v>
      </c>
      <c r="C24" s="42">
        <v>995.0</v>
      </c>
      <c r="D24" s="43"/>
      <c r="E24" s="43" t="s">
        <v>1448</v>
      </c>
      <c r="F24" s="41" t="s">
        <v>223</v>
      </c>
      <c r="G24" s="41"/>
    </row>
    <row r="25" ht="22.5" customHeight="1">
      <c r="A25" s="41" t="s">
        <v>231</v>
      </c>
      <c r="B25" s="40" t="s">
        <v>232</v>
      </c>
      <c r="C25" s="42">
        <v>295.0</v>
      </c>
      <c r="D25" s="43" t="s">
        <v>233</v>
      </c>
      <c r="E25" s="46"/>
      <c r="F25" s="41" t="s">
        <v>234</v>
      </c>
      <c r="G25" s="41" t="s">
        <v>139</v>
      </c>
    </row>
    <row r="26" ht="22.5" customHeight="1">
      <c r="A26" s="40" t="s">
        <v>235</v>
      </c>
      <c r="B26" s="41" t="s">
        <v>236</v>
      </c>
      <c r="C26" s="42">
        <v>0.0</v>
      </c>
      <c r="D26" s="43" t="s">
        <v>237</v>
      </c>
      <c r="E26" s="43"/>
      <c r="F26" s="41" t="s">
        <v>234</v>
      </c>
      <c r="G26" s="41" t="s">
        <v>139</v>
      </c>
    </row>
    <row r="27" ht="22.5" customHeight="1">
      <c r="A27" s="40" t="s">
        <v>246</v>
      </c>
      <c r="B27" s="41" t="s">
        <v>247</v>
      </c>
      <c r="C27" s="42">
        <v>995.0</v>
      </c>
      <c r="D27" s="43" t="s">
        <v>248</v>
      </c>
      <c r="E27" s="46"/>
      <c r="F27" s="41" t="s">
        <v>249</v>
      </c>
      <c r="G27" s="41" t="s">
        <v>142</v>
      </c>
    </row>
    <row r="28" ht="22.5" customHeight="1">
      <c r="A28" s="49" t="s">
        <v>250</v>
      </c>
      <c r="B28" s="50" t="s">
        <v>251</v>
      </c>
      <c r="C28" s="42">
        <v>500.0</v>
      </c>
      <c r="D28" s="45" t="s">
        <v>252</v>
      </c>
      <c r="E28" s="46"/>
      <c r="F28" s="41" t="s">
        <v>249</v>
      </c>
      <c r="G28" s="41" t="s">
        <v>142</v>
      </c>
    </row>
    <row r="29" ht="22.5" customHeight="1">
      <c r="A29" s="40" t="s">
        <v>253</v>
      </c>
      <c r="B29" s="41" t="s">
        <v>254</v>
      </c>
      <c r="C29" s="42">
        <v>0.0</v>
      </c>
      <c r="D29" s="45"/>
      <c r="E29" s="43"/>
      <c r="F29" s="41" t="s">
        <v>249</v>
      </c>
      <c r="G29" s="41" t="s">
        <v>142</v>
      </c>
    </row>
    <row r="30" ht="22.5" customHeight="1">
      <c r="A30" s="40" t="s">
        <v>255</v>
      </c>
      <c r="B30" s="41" t="s">
        <v>256</v>
      </c>
      <c r="C30" s="42">
        <v>0.0</v>
      </c>
      <c r="D30" s="45"/>
      <c r="E30" s="46"/>
      <c r="F30" s="41" t="s">
        <v>249</v>
      </c>
      <c r="G30" s="41" t="s">
        <v>142</v>
      </c>
    </row>
    <row r="31" ht="22.5" customHeight="1">
      <c r="A31" s="40" t="s">
        <v>257</v>
      </c>
      <c r="B31" s="40" t="s">
        <v>258</v>
      </c>
      <c r="C31" s="42">
        <v>995.0</v>
      </c>
      <c r="D31" s="43" t="s">
        <v>248</v>
      </c>
      <c r="E31" s="46"/>
      <c r="F31" s="41" t="s">
        <v>249</v>
      </c>
      <c r="G31" s="41" t="s">
        <v>142</v>
      </c>
    </row>
    <row r="32" ht="22.5" customHeight="1">
      <c r="A32" s="40" t="s">
        <v>259</v>
      </c>
      <c r="B32" s="41" t="s">
        <v>260</v>
      </c>
      <c r="C32" s="42">
        <v>0.0</v>
      </c>
      <c r="D32" s="45"/>
      <c r="E32" s="46"/>
      <c r="F32" s="41" t="s">
        <v>249</v>
      </c>
      <c r="G32" s="41" t="s">
        <v>142</v>
      </c>
    </row>
    <row r="33" ht="22.5" customHeight="1">
      <c r="A33" s="49" t="s">
        <v>261</v>
      </c>
      <c r="B33" s="50" t="s">
        <v>262</v>
      </c>
      <c r="C33" s="42">
        <v>0.0</v>
      </c>
      <c r="D33" s="45" t="s">
        <v>263</v>
      </c>
      <c r="E33" s="46"/>
      <c r="F33" s="41" t="s">
        <v>249</v>
      </c>
      <c r="G33" s="41" t="s">
        <v>142</v>
      </c>
    </row>
    <row r="34" ht="22.5" customHeight="1">
      <c r="A34" s="40" t="s">
        <v>264</v>
      </c>
      <c r="B34" s="40" t="s">
        <v>265</v>
      </c>
      <c r="C34" s="42">
        <v>0.0</v>
      </c>
      <c r="D34" s="45"/>
      <c r="E34" s="46"/>
      <c r="F34" s="41" t="s">
        <v>249</v>
      </c>
      <c r="G34" s="41" t="s">
        <v>142</v>
      </c>
    </row>
    <row r="35" ht="22.5" customHeight="1">
      <c r="A35" s="40" t="s">
        <v>266</v>
      </c>
      <c r="B35" s="40" t="s">
        <v>267</v>
      </c>
      <c r="C35" s="42">
        <v>995.0</v>
      </c>
      <c r="D35" s="45" t="s">
        <v>268</v>
      </c>
      <c r="E35" s="46"/>
      <c r="F35" s="41" t="s">
        <v>249</v>
      </c>
      <c r="G35" s="41" t="s">
        <v>142</v>
      </c>
    </row>
    <row r="36" ht="22.5" customHeight="1">
      <c r="A36" s="49" t="s">
        <v>269</v>
      </c>
      <c r="B36" s="49" t="s">
        <v>270</v>
      </c>
      <c r="C36" s="42">
        <v>0.0</v>
      </c>
      <c r="D36" s="45"/>
      <c r="E36" s="46"/>
      <c r="F36" s="41" t="s">
        <v>249</v>
      </c>
      <c r="G36" s="41" t="s">
        <v>142</v>
      </c>
    </row>
    <row r="37" ht="22.5" customHeight="1">
      <c r="A37" s="41" t="s">
        <v>1314</v>
      </c>
      <c r="B37" s="41" t="s">
        <v>1315</v>
      </c>
      <c r="C37" s="42">
        <v>695.0</v>
      </c>
      <c r="D37" s="43" t="s">
        <v>1316</v>
      </c>
      <c r="E37" s="46" t="s">
        <v>1316</v>
      </c>
      <c r="F37" s="41" t="s">
        <v>275</v>
      </c>
      <c r="G37" s="41" t="s">
        <v>146</v>
      </c>
    </row>
    <row r="38" ht="22.5" customHeight="1">
      <c r="A38" s="40" t="s">
        <v>1317</v>
      </c>
      <c r="B38" s="40" t="s">
        <v>1318</v>
      </c>
      <c r="C38" s="42">
        <v>0.0</v>
      </c>
      <c r="D38" s="43" t="s">
        <v>1319</v>
      </c>
      <c r="E38" s="46" t="s">
        <v>1316</v>
      </c>
      <c r="F38" s="41" t="s">
        <v>275</v>
      </c>
      <c r="G38" s="41" t="s">
        <v>146</v>
      </c>
    </row>
    <row r="39" ht="22.5" customHeight="1">
      <c r="A39" s="40" t="s">
        <v>13</v>
      </c>
      <c r="B39" s="40" t="s">
        <v>276</v>
      </c>
      <c r="C39" s="42">
        <v>695.0</v>
      </c>
      <c r="D39" s="45" t="s">
        <v>277</v>
      </c>
      <c r="E39" s="46"/>
      <c r="F39" s="41" t="s">
        <v>275</v>
      </c>
      <c r="G39" s="41" t="s">
        <v>146</v>
      </c>
    </row>
    <row r="40" ht="22.5" customHeight="1">
      <c r="A40" s="40" t="s">
        <v>278</v>
      </c>
      <c r="B40" s="40" t="s">
        <v>279</v>
      </c>
      <c r="C40" s="42">
        <v>695.0</v>
      </c>
      <c r="D40" s="43" t="s">
        <v>277</v>
      </c>
      <c r="E40" s="46"/>
      <c r="F40" s="41" t="s">
        <v>275</v>
      </c>
      <c r="G40" s="41" t="s">
        <v>146</v>
      </c>
    </row>
    <row r="41" ht="22.5" customHeight="1">
      <c r="A41" s="40" t="s">
        <v>1320</v>
      </c>
      <c r="B41" s="41" t="s">
        <v>1321</v>
      </c>
      <c r="C41" s="42">
        <v>695.0</v>
      </c>
      <c r="D41" s="43" t="s">
        <v>1316</v>
      </c>
      <c r="E41" s="43" t="s">
        <v>1316</v>
      </c>
      <c r="F41" s="41" t="s">
        <v>275</v>
      </c>
      <c r="G41" s="41" t="s">
        <v>146</v>
      </c>
    </row>
    <row r="42" ht="22.5" customHeight="1">
      <c r="A42" s="40" t="s">
        <v>280</v>
      </c>
      <c r="B42" s="40" t="s">
        <v>281</v>
      </c>
      <c r="C42" s="42">
        <v>695.0</v>
      </c>
      <c r="D42" s="43" t="s">
        <v>282</v>
      </c>
      <c r="E42" s="46"/>
      <c r="F42" s="41" t="s">
        <v>275</v>
      </c>
      <c r="G42" s="41" t="s">
        <v>146</v>
      </c>
    </row>
    <row r="43" ht="22.5" customHeight="1">
      <c r="A43" s="40" t="s">
        <v>1449</v>
      </c>
      <c r="B43" s="41" t="s">
        <v>1450</v>
      </c>
      <c r="C43" s="42">
        <v>695.0</v>
      </c>
      <c r="D43" s="43" t="s">
        <v>1451</v>
      </c>
      <c r="E43" s="46"/>
      <c r="F43" s="41" t="s">
        <v>275</v>
      </c>
      <c r="G43" s="41" t="s">
        <v>146</v>
      </c>
    </row>
    <row r="44" ht="22.5" customHeight="1">
      <c r="A44" s="40" t="s">
        <v>6</v>
      </c>
      <c r="B44" s="41" t="s">
        <v>283</v>
      </c>
      <c r="C44" s="42">
        <v>395.0</v>
      </c>
      <c r="D44" s="43"/>
      <c r="E44" s="43"/>
      <c r="F44" s="41" t="s">
        <v>219</v>
      </c>
      <c r="G44" s="41" t="s">
        <v>127</v>
      </c>
    </row>
    <row r="45" ht="22.5" customHeight="1">
      <c r="A45" s="40" t="s">
        <v>302</v>
      </c>
      <c r="B45" s="41" t="s">
        <v>303</v>
      </c>
      <c r="C45" s="42">
        <v>195.0</v>
      </c>
      <c r="D45" s="43" t="s">
        <v>304</v>
      </c>
      <c r="E45" s="46"/>
      <c r="F45" s="41" t="s">
        <v>99</v>
      </c>
      <c r="G45" s="41" t="s">
        <v>148</v>
      </c>
    </row>
    <row r="46" ht="22.5" customHeight="1">
      <c r="A46" s="40" t="s">
        <v>7</v>
      </c>
      <c r="B46" s="41" t="s">
        <v>305</v>
      </c>
      <c r="C46" s="42">
        <v>475.0</v>
      </c>
      <c r="D46" s="43" t="s">
        <v>306</v>
      </c>
      <c r="E46" s="46"/>
      <c r="F46" s="41" t="s">
        <v>99</v>
      </c>
      <c r="G46" s="41" t="s">
        <v>148</v>
      </c>
    </row>
    <row r="47" ht="22.5" customHeight="1">
      <c r="A47" s="40" t="s">
        <v>307</v>
      </c>
      <c r="B47" s="40" t="s">
        <v>308</v>
      </c>
      <c r="C47" s="42">
        <v>5000.0</v>
      </c>
      <c r="D47" s="45" t="s">
        <v>309</v>
      </c>
      <c r="E47" s="46"/>
      <c r="F47" s="41" t="s">
        <v>152</v>
      </c>
      <c r="G47" s="41" t="s">
        <v>103</v>
      </c>
    </row>
    <row r="48" ht="22.5" customHeight="1">
      <c r="A48" s="41" t="s">
        <v>327</v>
      </c>
      <c r="B48" s="43" t="s">
        <v>328</v>
      </c>
      <c r="C48" s="42">
        <v>475.0</v>
      </c>
      <c r="D48" s="43" t="s">
        <v>1332</v>
      </c>
      <c r="E48" s="43" t="s">
        <v>330</v>
      </c>
      <c r="F48" s="41" t="s">
        <v>99</v>
      </c>
      <c r="G48" s="41" t="s">
        <v>79</v>
      </c>
    </row>
    <row r="49" ht="22.5" customHeight="1">
      <c r="A49" s="47" t="s">
        <v>331</v>
      </c>
      <c r="B49" s="50" t="s">
        <v>332</v>
      </c>
      <c r="C49" s="42">
        <v>1495.0</v>
      </c>
      <c r="D49" s="45" t="s">
        <v>333</v>
      </c>
      <c r="E49" s="46"/>
      <c r="F49" s="41" t="s">
        <v>152</v>
      </c>
      <c r="G49" s="41" t="s">
        <v>103</v>
      </c>
    </row>
    <row r="50" ht="22.5" customHeight="1">
      <c r="A50" s="40" t="s">
        <v>24</v>
      </c>
      <c r="B50" s="41" t="s">
        <v>1403</v>
      </c>
      <c r="C50" s="42">
        <v>0.0</v>
      </c>
      <c r="D50" s="43" t="s">
        <v>1404</v>
      </c>
      <c r="E50" s="46"/>
      <c r="F50" s="41" t="s">
        <v>219</v>
      </c>
      <c r="G50" s="41" t="s">
        <v>1405</v>
      </c>
    </row>
    <row r="51" ht="22.5" customHeight="1">
      <c r="A51" s="40" t="s">
        <v>334</v>
      </c>
      <c r="B51" s="41" t="s">
        <v>335</v>
      </c>
      <c r="C51" s="42">
        <v>265.0</v>
      </c>
      <c r="D51" s="43" t="s">
        <v>336</v>
      </c>
      <c r="E51" s="46"/>
      <c r="F51" s="41" t="s">
        <v>99</v>
      </c>
      <c r="G51" s="41" t="s">
        <v>112</v>
      </c>
    </row>
    <row r="52" ht="22.5" customHeight="1">
      <c r="A52" s="50" t="s">
        <v>337</v>
      </c>
      <c r="B52" s="50" t="s">
        <v>338</v>
      </c>
      <c r="C52" s="42">
        <v>425.0</v>
      </c>
      <c r="D52" s="45" t="s">
        <v>339</v>
      </c>
      <c r="E52" s="46" t="s">
        <v>339</v>
      </c>
      <c r="F52" s="41" t="s">
        <v>99</v>
      </c>
      <c r="G52" s="41" t="s">
        <v>79</v>
      </c>
    </row>
    <row r="53" ht="22.5" customHeight="1">
      <c r="A53" s="40" t="s">
        <v>340</v>
      </c>
      <c r="B53" s="41" t="s">
        <v>341</v>
      </c>
      <c r="C53" s="42">
        <v>395.0</v>
      </c>
      <c r="D53" s="43" t="s">
        <v>342</v>
      </c>
      <c r="E53" s="46" t="s">
        <v>342</v>
      </c>
      <c r="F53" s="41" t="s">
        <v>99</v>
      </c>
      <c r="G53" s="41" t="s">
        <v>79</v>
      </c>
    </row>
    <row r="54" ht="22.5" customHeight="1">
      <c r="A54" s="40" t="s">
        <v>346</v>
      </c>
      <c r="B54" s="41" t="s">
        <v>347</v>
      </c>
      <c r="C54" s="42">
        <v>495.0</v>
      </c>
      <c r="D54" s="45"/>
      <c r="E54" s="46"/>
      <c r="F54" s="41" t="s">
        <v>99</v>
      </c>
      <c r="G54" s="41" t="s">
        <v>157</v>
      </c>
    </row>
    <row r="55" ht="22.5" customHeight="1">
      <c r="A55" s="79" t="s">
        <v>348</v>
      </c>
      <c r="B55" s="79" t="s">
        <v>1322</v>
      </c>
      <c r="C55" s="42">
        <v>495.0</v>
      </c>
      <c r="D55" s="45"/>
      <c r="E55" s="46"/>
      <c r="F55" s="41" t="s">
        <v>99</v>
      </c>
      <c r="G55" s="41" t="s">
        <v>157</v>
      </c>
    </row>
    <row r="56" ht="22.5" customHeight="1">
      <c r="A56" s="41" t="s">
        <v>350</v>
      </c>
      <c r="B56" s="40" t="s">
        <v>351</v>
      </c>
      <c r="C56" s="42">
        <v>175.0</v>
      </c>
      <c r="D56" s="45"/>
      <c r="E56" s="43"/>
      <c r="F56" s="41" t="s">
        <v>99</v>
      </c>
      <c r="G56" s="41" t="s">
        <v>112</v>
      </c>
    </row>
    <row r="57" ht="22.5" customHeight="1">
      <c r="A57" s="40" t="s">
        <v>359</v>
      </c>
      <c r="B57" s="40" t="s">
        <v>360</v>
      </c>
      <c r="C57" s="42">
        <v>60.0</v>
      </c>
      <c r="D57" s="43" t="s">
        <v>361</v>
      </c>
      <c r="E57" s="43"/>
      <c r="F57" s="41" t="s">
        <v>99</v>
      </c>
      <c r="G57" s="41" t="s">
        <v>112</v>
      </c>
    </row>
    <row r="58" ht="22.5" customHeight="1">
      <c r="A58" s="41" t="s">
        <v>365</v>
      </c>
      <c r="B58" s="40" t="s">
        <v>366</v>
      </c>
      <c r="C58" s="42">
        <v>150.0</v>
      </c>
      <c r="D58" s="43" t="s">
        <v>361</v>
      </c>
      <c r="E58" s="43"/>
      <c r="F58" s="41" t="s">
        <v>99</v>
      </c>
      <c r="G58" s="41" t="s">
        <v>112</v>
      </c>
    </row>
    <row r="59" ht="22.5" customHeight="1">
      <c r="A59" s="41" t="s">
        <v>367</v>
      </c>
      <c r="B59" s="41" t="s">
        <v>368</v>
      </c>
      <c r="C59" s="42">
        <v>1695.0</v>
      </c>
      <c r="D59" s="43" t="s">
        <v>369</v>
      </c>
      <c r="E59" s="46"/>
      <c r="F59" s="41" t="s">
        <v>99</v>
      </c>
      <c r="G59" s="41" t="s">
        <v>112</v>
      </c>
    </row>
    <row r="60" ht="22.5" customHeight="1">
      <c r="A60" s="40" t="s">
        <v>370</v>
      </c>
      <c r="B60" s="41" t="s">
        <v>371</v>
      </c>
      <c r="C60" s="42">
        <v>275.0</v>
      </c>
      <c r="D60" s="45"/>
      <c r="E60" s="46"/>
      <c r="F60" s="41" t="s">
        <v>78</v>
      </c>
      <c r="G60" s="41" t="s">
        <v>94</v>
      </c>
    </row>
    <row r="61" ht="22.5" customHeight="1">
      <c r="A61" s="40" t="s">
        <v>8</v>
      </c>
      <c r="B61" s="41" t="s">
        <v>1329</v>
      </c>
      <c r="C61" s="42">
        <v>2350.0</v>
      </c>
      <c r="D61" s="45" t="s">
        <v>1330</v>
      </c>
      <c r="E61" s="46"/>
      <c r="F61" s="41" t="s">
        <v>1331</v>
      </c>
      <c r="G61" s="41" t="s">
        <v>106</v>
      </c>
    </row>
    <row r="62" ht="22.5" customHeight="1">
      <c r="A62" s="40" t="s">
        <v>375</v>
      </c>
      <c r="B62" s="41" t="s">
        <v>376</v>
      </c>
      <c r="C62" s="42">
        <v>195.0</v>
      </c>
      <c r="D62" s="45" t="s">
        <v>1410</v>
      </c>
      <c r="E62" s="46"/>
      <c r="F62" s="41" t="s">
        <v>99</v>
      </c>
      <c r="G62" s="41" t="s">
        <v>79</v>
      </c>
    </row>
    <row r="63" ht="22.5" customHeight="1">
      <c r="A63" s="41" t="s">
        <v>379</v>
      </c>
      <c r="B63" s="41" t="s">
        <v>380</v>
      </c>
      <c r="C63" s="42">
        <v>125.0</v>
      </c>
      <c r="D63" s="45"/>
      <c r="E63" s="46"/>
      <c r="F63" s="41" t="s">
        <v>99</v>
      </c>
      <c r="G63" s="41" t="s">
        <v>79</v>
      </c>
    </row>
    <row r="64" ht="22.5" customHeight="1">
      <c r="A64" s="40" t="s">
        <v>381</v>
      </c>
      <c r="B64" s="40" t="s">
        <v>382</v>
      </c>
      <c r="C64" s="42">
        <v>125.0</v>
      </c>
      <c r="D64" s="45"/>
      <c r="E64" s="46"/>
      <c r="F64" s="41" t="s">
        <v>78</v>
      </c>
      <c r="G64" s="41" t="s">
        <v>94</v>
      </c>
    </row>
    <row r="65" ht="22.5" customHeight="1">
      <c r="A65" s="41" t="s">
        <v>383</v>
      </c>
      <c r="B65" s="41" t="s">
        <v>384</v>
      </c>
      <c r="C65" s="42">
        <v>275.0</v>
      </c>
      <c r="D65" s="43" t="s">
        <v>385</v>
      </c>
      <c r="E65" s="46" t="s">
        <v>385</v>
      </c>
      <c r="F65" s="41" t="s">
        <v>99</v>
      </c>
      <c r="G65" s="41" t="s">
        <v>79</v>
      </c>
    </row>
    <row r="66" ht="22.5" customHeight="1">
      <c r="A66" s="40" t="s">
        <v>1334</v>
      </c>
      <c r="B66" s="41" t="s">
        <v>1335</v>
      </c>
      <c r="C66" s="42">
        <v>425.0</v>
      </c>
      <c r="D66" s="43" t="s">
        <v>1336</v>
      </c>
      <c r="E66" s="43" t="s">
        <v>1336</v>
      </c>
      <c r="F66" s="41" t="s">
        <v>111</v>
      </c>
      <c r="G66" s="41" t="s">
        <v>79</v>
      </c>
    </row>
    <row r="67" ht="22.5" customHeight="1">
      <c r="A67" s="40" t="s">
        <v>394</v>
      </c>
      <c r="B67" s="41" t="s">
        <v>395</v>
      </c>
      <c r="C67" s="42">
        <v>395.0</v>
      </c>
      <c r="D67" s="45" t="s">
        <v>396</v>
      </c>
      <c r="E67" s="46" t="s">
        <v>396</v>
      </c>
      <c r="F67" s="41" t="s">
        <v>99</v>
      </c>
      <c r="G67" s="41" t="s">
        <v>79</v>
      </c>
    </row>
    <row r="68" ht="22.5" customHeight="1">
      <c r="A68" s="40" t="s">
        <v>400</v>
      </c>
      <c r="B68" s="41" t="s">
        <v>401</v>
      </c>
      <c r="C68" s="42">
        <v>1995.0</v>
      </c>
      <c r="D68" s="45" t="s">
        <v>402</v>
      </c>
      <c r="E68" s="46"/>
      <c r="F68" s="41" t="s">
        <v>138</v>
      </c>
      <c r="G68" s="41" t="s">
        <v>100</v>
      </c>
    </row>
    <row r="69" ht="22.5" customHeight="1">
      <c r="A69" s="40" t="s">
        <v>403</v>
      </c>
      <c r="B69" s="41" t="s">
        <v>404</v>
      </c>
      <c r="C69" s="42">
        <v>2895.0</v>
      </c>
      <c r="D69" s="43" t="s">
        <v>405</v>
      </c>
      <c r="E69" s="43" t="s">
        <v>405</v>
      </c>
      <c r="F69" s="41" t="s">
        <v>406</v>
      </c>
      <c r="G69" s="41" t="s">
        <v>83</v>
      </c>
    </row>
    <row r="70" ht="22.5" customHeight="1">
      <c r="A70" s="40" t="s">
        <v>1452</v>
      </c>
      <c r="B70" s="41" t="s">
        <v>1453</v>
      </c>
      <c r="C70" s="42">
        <v>1495.0</v>
      </c>
      <c r="D70" s="43" t="s">
        <v>1371</v>
      </c>
      <c r="E70" s="43"/>
      <c r="F70" s="41" t="s">
        <v>313</v>
      </c>
      <c r="G70" s="41" t="s">
        <v>153</v>
      </c>
    </row>
    <row r="71" ht="22.5" customHeight="1">
      <c r="A71" s="40" t="s">
        <v>16</v>
      </c>
      <c r="B71" s="41" t="s">
        <v>1454</v>
      </c>
      <c r="C71" s="42">
        <v>1495.0</v>
      </c>
      <c r="D71" s="45" t="s">
        <v>1371</v>
      </c>
      <c r="E71" s="43"/>
      <c r="F71" s="41" t="s">
        <v>313</v>
      </c>
      <c r="G71" s="41" t="s">
        <v>153</v>
      </c>
    </row>
    <row r="72" ht="22.5" customHeight="1">
      <c r="A72" s="40" t="s">
        <v>1455</v>
      </c>
      <c r="B72" s="41" t="s">
        <v>1456</v>
      </c>
      <c r="C72" s="42">
        <v>1995.0</v>
      </c>
      <c r="D72" s="43" t="s">
        <v>1371</v>
      </c>
      <c r="E72" s="46"/>
      <c r="F72" s="41" t="s">
        <v>313</v>
      </c>
      <c r="G72" s="41" t="s">
        <v>153</v>
      </c>
    </row>
    <row r="73" ht="22.5" customHeight="1">
      <c r="A73" s="41" t="s">
        <v>1457</v>
      </c>
      <c r="B73" s="41" t="s">
        <v>1458</v>
      </c>
      <c r="C73" s="42">
        <v>0.0</v>
      </c>
      <c r="D73" s="43" t="s">
        <v>1368</v>
      </c>
      <c r="E73" s="43"/>
      <c r="F73" s="41" t="s">
        <v>313</v>
      </c>
      <c r="G73" s="41" t="s">
        <v>153</v>
      </c>
    </row>
    <row r="74" ht="22.5" customHeight="1">
      <c r="A74" s="40" t="s">
        <v>15</v>
      </c>
      <c r="B74" s="41" t="s">
        <v>409</v>
      </c>
      <c r="C74" s="42">
        <v>295.0</v>
      </c>
      <c r="D74" s="45"/>
      <c r="E74" s="46"/>
      <c r="F74" s="41" t="s">
        <v>78</v>
      </c>
      <c r="G74" s="41" t="s">
        <v>94</v>
      </c>
    </row>
    <row r="75" ht="22.5" customHeight="1">
      <c r="A75" s="40" t="s">
        <v>410</v>
      </c>
      <c r="B75" s="41" t="s">
        <v>411</v>
      </c>
      <c r="C75" s="42">
        <v>175.0</v>
      </c>
      <c r="D75" s="45"/>
      <c r="E75" s="43" t="s">
        <v>412</v>
      </c>
      <c r="F75" s="41" t="s">
        <v>78</v>
      </c>
      <c r="G75" s="41" t="s">
        <v>94</v>
      </c>
    </row>
    <row r="76" ht="22.5" customHeight="1">
      <c r="A76" s="40" t="s">
        <v>1459</v>
      </c>
      <c r="B76" s="41" t="s">
        <v>1460</v>
      </c>
      <c r="C76" s="42">
        <v>13995.0</v>
      </c>
      <c r="D76" s="43" t="s">
        <v>1461</v>
      </c>
      <c r="E76" s="46"/>
      <c r="F76" s="41" t="s">
        <v>1375</v>
      </c>
      <c r="G76" s="41" t="s">
        <v>153</v>
      </c>
    </row>
    <row r="77" ht="22.5" customHeight="1">
      <c r="A77" s="40" t="s">
        <v>416</v>
      </c>
      <c r="B77" s="41" t="s">
        <v>417</v>
      </c>
      <c r="C77" s="42">
        <v>1950.0</v>
      </c>
      <c r="D77" s="45"/>
      <c r="E77" s="46"/>
      <c r="F77" s="41" t="s">
        <v>99</v>
      </c>
      <c r="G77" s="41" t="s">
        <v>112</v>
      </c>
    </row>
    <row r="78" ht="22.5" customHeight="1">
      <c r="A78" s="41" t="s">
        <v>418</v>
      </c>
      <c r="B78" s="41" t="s">
        <v>419</v>
      </c>
      <c r="C78" s="42">
        <v>1950.0</v>
      </c>
      <c r="D78" s="45"/>
      <c r="E78" s="46"/>
      <c r="F78" s="41" t="s">
        <v>99</v>
      </c>
      <c r="G78" s="41" t="s">
        <v>112</v>
      </c>
    </row>
    <row r="79" ht="22.5" customHeight="1">
      <c r="A79" s="47" t="s">
        <v>420</v>
      </c>
      <c r="B79" s="50" t="s">
        <v>421</v>
      </c>
      <c r="C79" s="42">
        <v>2295.0</v>
      </c>
      <c r="D79" s="45"/>
      <c r="E79" s="46"/>
      <c r="F79" s="41" t="s">
        <v>99</v>
      </c>
      <c r="G79" s="41" t="s">
        <v>112</v>
      </c>
    </row>
    <row r="80" ht="22.5" customHeight="1">
      <c r="A80" s="40" t="s">
        <v>1355</v>
      </c>
      <c r="B80" s="41" t="s">
        <v>1356</v>
      </c>
      <c r="C80" s="42">
        <v>0.0</v>
      </c>
      <c r="D80" s="45" t="s">
        <v>1357</v>
      </c>
      <c r="E80" s="46"/>
      <c r="F80" s="41" t="s">
        <v>425</v>
      </c>
      <c r="G80" s="41" t="s">
        <v>89</v>
      </c>
    </row>
    <row r="81" ht="22.5" customHeight="1">
      <c r="A81" s="40" t="s">
        <v>1462</v>
      </c>
      <c r="B81" s="41" t="s">
        <v>1463</v>
      </c>
      <c r="C81" s="42">
        <v>10495.0</v>
      </c>
      <c r="D81" s="43" t="s">
        <v>1464</v>
      </c>
      <c r="E81" s="46"/>
      <c r="F81" s="41" t="s">
        <v>93</v>
      </c>
      <c r="G81" s="41" t="s">
        <v>89</v>
      </c>
    </row>
    <row r="82" ht="22.5" customHeight="1">
      <c r="A82" s="40" t="s">
        <v>429</v>
      </c>
      <c r="B82" s="41" t="s">
        <v>430</v>
      </c>
      <c r="C82" s="42">
        <v>1995.0</v>
      </c>
      <c r="D82" s="43" t="s">
        <v>431</v>
      </c>
      <c r="E82" s="43"/>
      <c r="F82" s="41" t="s">
        <v>88</v>
      </c>
      <c r="G82" s="41" t="s">
        <v>83</v>
      </c>
    </row>
    <row r="83" ht="22.5" customHeight="1">
      <c r="A83" s="40" t="s">
        <v>432</v>
      </c>
      <c r="B83" s="40" t="s">
        <v>433</v>
      </c>
      <c r="C83" s="42">
        <v>40.0</v>
      </c>
      <c r="D83" s="43" t="s">
        <v>434</v>
      </c>
      <c r="E83" s="46"/>
      <c r="F83" s="41" t="s">
        <v>99</v>
      </c>
      <c r="G83" s="41" t="s">
        <v>79</v>
      </c>
    </row>
    <row r="84" ht="22.5" customHeight="1">
      <c r="A84" s="40" t="s">
        <v>437</v>
      </c>
      <c r="B84" s="41" t="s">
        <v>438</v>
      </c>
      <c r="C84" s="42">
        <v>150.0</v>
      </c>
      <c r="D84" s="43"/>
      <c r="E84" s="46"/>
      <c r="F84" s="41" t="s">
        <v>99</v>
      </c>
      <c r="G84" s="41" t="s">
        <v>112</v>
      </c>
    </row>
    <row r="85" ht="22.5" customHeight="1">
      <c r="A85" s="50" t="s">
        <v>439</v>
      </c>
      <c r="B85" s="50" t="s">
        <v>440</v>
      </c>
      <c r="C85" s="42">
        <v>570.0</v>
      </c>
      <c r="D85" s="45" t="s">
        <v>402</v>
      </c>
      <c r="E85" s="46"/>
      <c r="F85" s="41" t="s">
        <v>441</v>
      </c>
      <c r="G85" s="41" t="s">
        <v>100</v>
      </c>
    </row>
    <row r="86" ht="22.5" customHeight="1">
      <c r="A86" s="40" t="s">
        <v>446</v>
      </c>
      <c r="B86" s="40" t="s">
        <v>447</v>
      </c>
      <c r="C86" s="42">
        <v>298.0</v>
      </c>
      <c r="D86" s="45" t="s">
        <v>448</v>
      </c>
      <c r="E86" s="46"/>
      <c r="F86" s="41" t="s">
        <v>99</v>
      </c>
      <c r="G86" s="41" t="s">
        <v>112</v>
      </c>
    </row>
    <row r="87" ht="22.5" customHeight="1">
      <c r="A87" s="40" t="s">
        <v>449</v>
      </c>
      <c r="B87" s="40" t="s">
        <v>450</v>
      </c>
      <c r="C87" s="42">
        <v>95.0</v>
      </c>
      <c r="D87" s="45" t="s">
        <v>451</v>
      </c>
      <c r="E87" s="46" t="s">
        <v>452</v>
      </c>
      <c r="F87" s="41" t="s">
        <v>99</v>
      </c>
      <c r="G87" s="41" t="s">
        <v>112</v>
      </c>
    </row>
    <row r="88" ht="22.5" customHeight="1">
      <c r="A88" s="79" t="s">
        <v>455</v>
      </c>
      <c r="B88" s="79" t="s">
        <v>456</v>
      </c>
      <c r="C88" s="42" t="s">
        <v>1353</v>
      </c>
      <c r="D88" s="45"/>
      <c r="E88" s="46"/>
      <c r="F88" s="41" t="s">
        <v>99</v>
      </c>
      <c r="G88" s="41" t="s">
        <v>157</v>
      </c>
    </row>
    <row r="89" ht="22.5" customHeight="1">
      <c r="A89" s="40" t="s">
        <v>1465</v>
      </c>
      <c r="B89" s="40" t="s">
        <v>1466</v>
      </c>
      <c r="C89" s="42">
        <v>4395.0</v>
      </c>
      <c r="D89" s="43" t="s">
        <v>1467</v>
      </c>
      <c r="E89" s="46" t="s">
        <v>1468</v>
      </c>
      <c r="F89" s="41" t="s">
        <v>460</v>
      </c>
      <c r="G89" s="41" t="s">
        <v>127</v>
      </c>
    </row>
    <row r="90" ht="22.5" customHeight="1">
      <c r="A90" s="40" t="s">
        <v>14</v>
      </c>
      <c r="B90" s="41" t="s">
        <v>463</v>
      </c>
      <c r="C90" s="42">
        <v>195.0</v>
      </c>
      <c r="D90" s="43" t="s">
        <v>1469</v>
      </c>
      <c r="E90" s="43" t="s">
        <v>1470</v>
      </c>
      <c r="F90" s="41" t="s">
        <v>425</v>
      </c>
      <c r="G90" s="41" t="s">
        <v>89</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5.0"/>
    <col customWidth="1" min="2" max="2" width="65.43"/>
    <col customWidth="1" min="3" max="3" width="14.43"/>
    <col customWidth="1" min="4" max="4" width="48.57"/>
    <col customWidth="1" min="5" max="5" width="48.14"/>
    <col customWidth="1" min="6" max="6" width="26.0"/>
    <col customWidth="1" min="7" max="7" width="21.86"/>
  </cols>
  <sheetData>
    <row r="1" ht="22.5" customHeight="1">
      <c r="A1" s="34" t="s">
        <v>67</v>
      </c>
      <c r="B1" s="34" t="s">
        <v>68</v>
      </c>
      <c r="C1" s="35" t="s">
        <v>2</v>
      </c>
      <c r="D1" s="36" t="s">
        <v>69</v>
      </c>
      <c r="E1" s="37" t="s">
        <v>70</v>
      </c>
      <c r="F1" s="38" t="s">
        <v>71</v>
      </c>
      <c r="G1" s="38" t="s">
        <v>72</v>
      </c>
    </row>
    <row r="2" ht="22.5" customHeight="1">
      <c r="A2" s="50" t="s">
        <v>220</v>
      </c>
      <c r="B2" s="50" t="s">
        <v>221</v>
      </c>
      <c r="C2" s="42">
        <v>0.0</v>
      </c>
      <c r="D2" s="45" t="s">
        <v>1446</v>
      </c>
      <c r="E2" s="46"/>
      <c r="F2" s="41" t="s">
        <v>223</v>
      </c>
      <c r="G2" s="41" t="s">
        <v>133</v>
      </c>
    </row>
    <row r="3" ht="22.5" customHeight="1">
      <c r="A3" s="41" t="s">
        <v>231</v>
      </c>
      <c r="B3" s="40" t="s">
        <v>232</v>
      </c>
      <c r="C3" s="42">
        <v>295.0</v>
      </c>
      <c r="D3" s="43" t="s">
        <v>233</v>
      </c>
      <c r="E3" s="46"/>
      <c r="F3" s="41" t="s">
        <v>234</v>
      </c>
      <c r="G3" s="41" t="s">
        <v>139</v>
      </c>
    </row>
    <row r="4" ht="22.5" customHeight="1">
      <c r="A4" s="40" t="s">
        <v>235</v>
      </c>
      <c r="B4" s="41" t="s">
        <v>236</v>
      </c>
      <c r="C4" s="42">
        <v>0.0</v>
      </c>
      <c r="D4" s="43" t="s">
        <v>237</v>
      </c>
      <c r="E4" s="43"/>
      <c r="F4" s="41" t="s">
        <v>234</v>
      </c>
      <c r="G4" s="41" t="s">
        <v>139</v>
      </c>
    </row>
    <row r="5" ht="22.5" customHeight="1">
      <c r="A5" s="41" t="s">
        <v>1314</v>
      </c>
      <c r="B5" s="41" t="s">
        <v>1315</v>
      </c>
      <c r="C5" s="42">
        <v>695.0</v>
      </c>
      <c r="D5" s="43" t="s">
        <v>1316</v>
      </c>
      <c r="E5" s="46" t="s">
        <v>1316</v>
      </c>
      <c r="F5" s="41" t="s">
        <v>275</v>
      </c>
      <c r="G5" s="41" t="s">
        <v>146</v>
      </c>
    </row>
    <row r="6" ht="22.5" customHeight="1">
      <c r="A6" s="40" t="s">
        <v>1317</v>
      </c>
      <c r="B6" s="40" t="s">
        <v>1318</v>
      </c>
      <c r="C6" s="42">
        <v>0.0</v>
      </c>
      <c r="D6" s="43" t="s">
        <v>1319</v>
      </c>
      <c r="E6" s="46" t="s">
        <v>1316</v>
      </c>
      <c r="F6" s="41" t="s">
        <v>275</v>
      </c>
      <c r="G6" s="41" t="s">
        <v>146</v>
      </c>
    </row>
    <row r="7" ht="22.5" customHeight="1">
      <c r="A7" s="40" t="s">
        <v>13</v>
      </c>
      <c r="B7" s="40" t="s">
        <v>276</v>
      </c>
      <c r="C7" s="42">
        <v>695.0</v>
      </c>
      <c r="D7" s="45" t="s">
        <v>277</v>
      </c>
      <c r="E7" s="46"/>
      <c r="F7" s="41" t="s">
        <v>275</v>
      </c>
      <c r="G7" s="41" t="s">
        <v>146</v>
      </c>
    </row>
    <row r="8" ht="22.5" customHeight="1">
      <c r="A8" s="40" t="s">
        <v>278</v>
      </c>
      <c r="B8" s="40" t="s">
        <v>279</v>
      </c>
      <c r="C8" s="42">
        <v>695.0</v>
      </c>
      <c r="D8" s="43" t="s">
        <v>277</v>
      </c>
      <c r="E8" s="46"/>
      <c r="F8" s="41" t="s">
        <v>275</v>
      </c>
      <c r="G8" s="41" t="s">
        <v>146</v>
      </c>
    </row>
    <row r="9" ht="22.5" customHeight="1">
      <c r="A9" s="40" t="s">
        <v>1320</v>
      </c>
      <c r="B9" s="41" t="s">
        <v>1321</v>
      </c>
      <c r="C9" s="42">
        <v>695.0</v>
      </c>
      <c r="D9" s="43" t="s">
        <v>1316</v>
      </c>
      <c r="E9" s="43" t="s">
        <v>1316</v>
      </c>
      <c r="F9" s="41" t="s">
        <v>275</v>
      </c>
      <c r="G9" s="41" t="s">
        <v>146</v>
      </c>
    </row>
    <row r="10" ht="22.5" customHeight="1">
      <c r="A10" s="40" t="s">
        <v>280</v>
      </c>
      <c r="B10" s="40" t="s">
        <v>281</v>
      </c>
      <c r="C10" s="42">
        <v>695.0</v>
      </c>
      <c r="D10" s="43" t="s">
        <v>282</v>
      </c>
      <c r="E10" s="46"/>
      <c r="F10" s="41" t="s">
        <v>275</v>
      </c>
      <c r="G10" s="41" t="s">
        <v>146</v>
      </c>
    </row>
    <row r="11" ht="22.5" customHeight="1">
      <c r="A11" s="40" t="s">
        <v>1449</v>
      </c>
      <c r="B11" s="41" t="s">
        <v>1450</v>
      </c>
      <c r="C11" s="42">
        <v>695.0</v>
      </c>
      <c r="D11" s="43" t="s">
        <v>1451</v>
      </c>
      <c r="E11" s="46"/>
      <c r="F11" s="41" t="s">
        <v>275</v>
      </c>
      <c r="G11" s="41" t="s">
        <v>146</v>
      </c>
    </row>
    <row r="12" ht="22.5" customHeight="1">
      <c r="A12" s="40" t="s">
        <v>346</v>
      </c>
      <c r="B12" s="41" t="s">
        <v>347</v>
      </c>
      <c r="C12" s="42">
        <v>495.0</v>
      </c>
      <c r="D12" s="45"/>
      <c r="E12" s="46"/>
      <c r="F12" s="41" t="s">
        <v>99</v>
      </c>
      <c r="G12" s="41" t="s">
        <v>157</v>
      </c>
    </row>
    <row r="13" ht="22.5" customHeight="1">
      <c r="A13" s="79" t="s">
        <v>348</v>
      </c>
      <c r="B13" s="79" t="s">
        <v>1322</v>
      </c>
      <c r="C13" s="42">
        <v>495.0</v>
      </c>
      <c r="D13" s="45"/>
      <c r="E13" s="46"/>
      <c r="F13" s="41" t="s">
        <v>99</v>
      </c>
      <c r="G13" s="41" t="s">
        <v>157</v>
      </c>
    </row>
    <row r="14" ht="22.5" customHeight="1">
      <c r="A14" s="79" t="s">
        <v>455</v>
      </c>
      <c r="B14" s="79" t="s">
        <v>456</v>
      </c>
      <c r="C14" s="42" t="s">
        <v>1353</v>
      </c>
      <c r="D14" s="45"/>
      <c r="E14" s="46"/>
      <c r="F14" s="41" t="s">
        <v>99</v>
      </c>
      <c r="G14" s="41" t="s">
        <v>157</v>
      </c>
    </row>
    <row r="15" ht="22.5" customHeight="1">
      <c r="A15" s="40" t="s">
        <v>84</v>
      </c>
      <c r="B15" s="41" t="s">
        <v>85</v>
      </c>
      <c r="C15" s="42">
        <v>1250.0</v>
      </c>
      <c r="D15" s="43" t="s">
        <v>1438</v>
      </c>
      <c r="E15" s="46" t="s">
        <v>87</v>
      </c>
      <c r="F15" s="41" t="s">
        <v>88</v>
      </c>
      <c r="G15" s="41" t="s">
        <v>83</v>
      </c>
    </row>
    <row r="16" ht="22.5" customHeight="1">
      <c r="A16" s="40" t="s">
        <v>403</v>
      </c>
      <c r="B16" s="41" t="s">
        <v>404</v>
      </c>
      <c r="C16" s="42">
        <v>2895.0</v>
      </c>
      <c r="D16" s="43" t="s">
        <v>405</v>
      </c>
      <c r="E16" s="43" t="s">
        <v>405</v>
      </c>
      <c r="F16" s="41" t="s">
        <v>406</v>
      </c>
      <c r="G16" s="41" t="s">
        <v>83</v>
      </c>
    </row>
    <row r="17" ht="22.5" customHeight="1">
      <c r="A17" s="40" t="s">
        <v>429</v>
      </c>
      <c r="B17" s="41" t="s">
        <v>430</v>
      </c>
      <c r="C17" s="42">
        <v>1995.0</v>
      </c>
      <c r="D17" s="43" t="s">
        <v>431</v>
      </c>
      <c r="E17" s="43"/>
      <c r="F17" s="41" t="s">
        <v>88</v>
      </c>
      <c r="G17" s="41" t="s">
        <v>83</v>
      </c>
    </row>
    <row r="18" ht="22.5" customHeight="1">
      <c r="A18" s="40" t="s">
        <v>1442</v>
      </c>
      <c r="B18" s="41" t="s">
        <v>1443</v>
      </c>
      <c r="C18" s="42">
        <v>0.0</v>
      </c>
      <c r="D18" s="43" t="s">
        <v>1444</v>
      </c>
      <c r="E18" s="46"/>
      <c r="F18" s="41" t="s">
        <v>163</v>
      </c>
      <c r="G18" s="41" t="s">
        <v>117</v>
      </c>
    </row>
    <row r="19" ht="22.5" customHeight="1">
      <c r="A19" s="47" t="s">
        <v>1439</v>
      </c>
      <c r="B19" s="47" t="s">
        <v>155</v>
      </c>
      <c r="C19" s="42">
        <v>0.0</v>
      </c>
      <c r="D19" s="45" t="s">
        <v>1440</v>
      </c>
      <c r="E19" s="46"/>
      <c r="F19" s="48" t="s">
        <v>156</v>
      </c>
      <c r="G19" s="41" t="s">
        <v>106</v>
      </c>
    </row>
    <row r="20" ht="22.5" customHeight="1">
      <c r="A20" s="40" t="s">
        <v>167</v>
      </c>
      <c r="B20" s="40" t="s">
        <v>168</v>
      </c>
      <c r="C20" s="42">
        <v>3000.0</v>
      </c>
      <c r="D20" s="45" t="s">
        <v>169</v>
      </c>
      <c r="E20" s="46" t="s">
        <v>170</v>
      </c>
      <c r="F20" s="41" t="s">
        <v>163</v>
      </c>
      <c r="G20" s="41" t="s">
        <v>106</v>
      </c>
    </row>
    <row r="21" ht="22.5" customHeight="1">
      <c r="A21" s="40" t="s">
        <v>8</v>
      </c>
      <c r="B21" s="41" t="s">
        <v>1329</v>
      </c>
      <c r="C21" s="42">
        <v>2350.0</v>
      </c>
      <c r="D21" s="45" t="s">
        <v>1330</v>
      </c>
      <c r="E21" s="46"/>
      <c r="F21" s="41" t="s">
        <v>1331</v>
      </c>
      <c r="G21" s="41" t="s">
        <v>106</v>
      </c>
    </row>
    <row r="22" ht="22.5" customHeight="1">
      <c r="A22" s="40" t="s">
        <v>149</v>
      </c>
      <c r="B22" s="40" t="s">
        <v>150</v>
      </c>
      <c r="C22" s="42">
        <v>295.0</v>
      </c>
      <c r="D22" s="45" t="s">
        <v>151</v>
      </c>
      <c r="E22" s="43"/>
      <c r="F22" s="41" t="s">
        <v>152</v>
      </c>
      <c r="G22" s="41" t="s">
        <v>103</v>
      </c>
    </row>
    <row r="23" ht="22.5" customHeight="1">
      <c r="A23" s="40" t="s">
        <v>307</v>
      </c>
      <c r="B23" s="40" t="s">
        <v>308</v>
      </c>
      <c r="C23" s="42">
        <v>5000.0</v>
      </c>
      <c r="D23" s="45" t="s">
        <v>309</v>
      </c>
      <c r="E23" s="46"/>
      <c r="F23" s="41" t="s">
        <v>152</v>
      </c>
      <c r="G23" s="41" t="s">
        <v>103</v>
      </c>
    </row>
    <row r="24" ht="22.5" customHeight="1">
      <c r="A24" s="47" t="s">
        <v>331</v>
      </c>
      <c r="B24" s="50" t="s">
        <v>332</v>
      </c>
      <c r="C24" s="42">
        <v>1495.0</v>
      </c>
      <c r="D24" s="45" t="s">
        <v>333</v>
      </c>
      <c r="E24" s="46"/>
      <c r="F24" s="41" t="s">
        <v>152</v>
      </c>
      <c r="G24" s="41" t="s">
        <v>103</v>
      </c>
    </row>
    <row r="25" ht="22.5" customHeight="1">
      <c r="A25" s="40" t="s">
        <v>400</v>
      </c>
      <c r="B25" s="41" t="s">
        <v>401</v>
      </c>
      <c r="C25" s="42">
        <v>1995.0</v>
      </c>
      <c r="D25" s="45" t="s">
        <v>402</v>
      </c>
      <c r="E25" s="46"/>
      <c r="F25" s="41" t="s">
        <v>138</v>
      </c>
      <c r="G25" s="41" t="s">
        <v>100</v>
      </c>
    </row>
    <row r="26" ht="22.5" customHeight="1">
      <c r="A26" s="50" t="s">
        <v>439</v>
      </c>
      <c r="B26" s="50" t="s">
        <v>440</v>
      </c>
      <c r="C26" s="42">
        <v>570.0</v>
      </c>
      <c r="D26" s="45" t="s">
        <v>402</v>
      </c>
      <c r="E26" s="46"/>
      <c r="F26" s="41" t="s">
        <v>441</v>
      </c>
      <c r="G26" s="41" t="s">
        <v>100</v>
      </c>
    </row>
    <row r="27" ht="22.5" customHeight="1">
      <c r="A27" s="41" t="s">
        <v>327</v>
      </c>
      <c r="B27" s="43" t="s">
        <v>328</v>
      </c>
      <c r="C27" s="42">
        <v>475.0</v>
      </c>
      <c r="D27" s="43" t="s">
        <v>1332</v>
      </c>
      <c r="E27" s="43" t="s">
        <v>330</v>
      </c>
      <c r="F27" s="41" t="s">
        <v>99</v>
      </c>
      <c r="G27" s="41" t="s">
        <v>79</v>
      </c>
    </row>
    <row r="28" ht="22.5" customHeight="1">
      <c r="A28" s="50" t="s">
        <v>337</v>
      </c>
      <c r="B28" s="50" t="s">
        <v>338</v>
      </c>
      <c r="C28" s="42">
        <v>425.0</v>
      </c>
      <c r="D28" s="45" t="s">
        <v>339</v>
      </c>
      <c r="E28" s="46" t="s">
        <v>339</v>
      </c>
      <c r="F28" s="41" t="s">
        <v>99</v>
      </c>
      <c r="G28" s="41" t="s">
        <v>79</v>
      </c>
    </row>
    <row r="29" ht="22.5" customHeight="1">
      <c r="A29" s="40" t="s">
        <v>340</v>
      </c>
      <c r="B29" s="41" t="s">
        <v>341</v>
      </c>
      <c r="C29" s="42">
        <v>395.0</v>
      </c>
      <c r="D29" s="43" t="s">
        <v>342</v>
      </c>
      <c r="E29" s="46" t="s">
        <v>342</v>
      </c>
      <c r="F29" s="41" t="s">
        <v>99</v>
      </c>
      <c r="G29" s="41" t="s">
        <v>79</v>
      </c>
    </row>
    <row r="30" ht="22.5" customHeight="1">
      <c r="A30" s="40" t="s">
        <v>375</v>
      </c>
      <c r="B30" s="41" t="s">
        <v>376</v>
      </c>
      <c r="C30" s="42">
        <v>195.0</v>
      </c>
      <c r="D30" s="45" t="s">
        <v>1410</v>
      </c>
      <c r="E30" s="46"/>
      <c r="F30" s="41" t="s">
        <v>99</v>
      </c>
      <c r="G30" s="41" t="s">
        <v>79</v>
      </c>
    </row>
    <row r="31" ht="22.5" customHeight="1">
      <c r="A31" s="41" t="s">
        <v>379</v>
      </c>
      <c r="B31" s="41" t="s">
        <v>380</v>
      </c>
      <c r="C31" s="42">
        <v>125.0</v>
      </c>
      <c r="D31" s="45"/>
      <c r="E31" s="46"/>
      <c r="F31" s="41" t="s">
        <v>99</v>
      </c>
      <c r="G31" s="41" t="s">
        <v>79</v>
      </c>
    </row>
    <row r="32" ht="22.5" customHeight="1">
      <c r="A32" s="41" t="s">
        <v>383</v>
      </c>
      <c r="B32" s="41" t="s">
        <v>384</v>
      </c>
      <c r="C32" s="42">
        <v>275.0</v>
      </c>
      <c r="D32" s="43" t="s">
        <v>385</v>
      </c>
      <c r="E32" s="46" t="s">
        <v>385</v>
      </c>
      <c r="F32" s="41" t="s">
        <v>99</v>
      </c>
      <c r="G32" s="41" t="s">
        <v>79</v>
      </c>
    </row>
    <row r="33" ht="22.5" customHeight="1">
      <c r="A33" s="40" t="s">
        <v>1334</v>
      </c>
      <c r="B33" s="41" t="s">
        <v>1335</v>
      </c>
      <c r="C33" s="42">
        <v>425.0</v>
      </c>
      <c r="D33" s="43" t="s">
        <v>1336</v>
      </c>
      <c r="E33" s="43" t="s">
        <v>1336</v>
      </c>
      <c r="F33" s="41" t="s">
        <v>111</v>
      </c>
      <c r="G33" s="41" t="s">
        <v>79</v>
      </c>
    </row>
    <row r="34" ht="22.5" customHeight="1">
      <c r="A34" s="40" t="s">
        <v>394</v>
      </c>
      <c r="B34" s="41" t="s">
        <v>395</v>
      </c>
      <c r="C34" s="42">
        <v>395.0</v>
      </c>
      <c r="D34" s="45" t="s">
        <v>396</v>
      </c>
      <c r="E34" s="46" t="s">
        <v>396</v>
      </c>
      <c r="F34" s="41" t="s">
        <v>99</v>
      </c>
      <c r="G34" s="41" t="s">
        <v>79</v>
      </c>
    </row>
    <row r="35" ht="22.5" customHeight="1">
      <c r="A35" s="40" t="s">
        <v>432</v>
      </c>
      <c r="B35" s="40" t="s">
        <v>433</v>
      </c>
      <c r="C35" s="42">
        <v>40.0</v>
      </c>
      <c r="D35" s="43" t="s">
        <v>434</v>
      </c>
      <c r="E35" s="46"/>
      <c r="F35" s="41" t="s">
        <v>99</v>
      </c>
      <c r="G35" s="41" t="s">
        <v>79</v>
      </c>
    </row>
    <row r="36" ht="22.5" customHeight="1">
      <c r="A36" s="40" t="s">
        <v>24</v>
      </c>
      <c r="B36" s="41" t="s">
        <v>1403</v>
      </c>
      <c r="C36" s="42">
        <v>0.0</v>
      </c>
      <c r="D36" s="43" t="s">
        <v>1404</v>
      </c>
      <c r="E36" s="46"/>
      <c r="F36" s="41" t="s">
        <v>219</v>
      </c>
      <c r="G36" s="41" t="s">
        <v>1405</v>
      </c>
    </row>
    <row r="37" ht="22.5" customHeight="1">
      <c r="A37" s="40" t="s">
        <v>158</v>
      </c>
      <c r="B37" s="41" t="s">
        <v>159</v>
      </c>
      <c r="C37" s="42">
        <v>195.0</v>
      </c>
      <c r="D37" s="43" t="s">
        <v>1441</v>
      </c>
      <c r="E37" s="46"/>
      <c r="F37" s="48" t="s">
        <v>99</v>
      </c>
      <c r="G37" s="41" t="s">
        <v>112</v>
      </c>
    </row>
    <row r="38" ht="22.5" customHeight="1">
      <c r="A38" s="40" t="s">
        <v>334</v>
      </c>
      <c r="B38" s="41" t="s">
        <v>335</v>
      </c>
      <c r="C38" s="42">
        <v>265.0</v>
      </c>
      <c r="D38" s="43" t="s">
        <v>336</v>
      </c>
      <c r="E38" s="46"/>
      <c r="F38" s="41" t="s">
        <v>99</v>
      </c>
      <c r="G38" s="41" t="s">
        <v>112</v>
      </c>
    </row>
    <row r="39" ht="22.5" customHeight="1">
      <c r="A39" s="41" t="s">
        <v>350</v>
      </c>
      <c r="B39" s="40" t="s">
        <v>351</v>
      </c>
      <c r="C39" s="42">
        <v>175.0</v>
      </c>
      <c r="D39" s="45"/>
      <c r="E39" s="43"/>
      <c r="F39" s="41" t="s">
        <v>99</v>
      </c>
      <c r="G39" s="41" t="s">
        <v>112</v>
      </c>
    </row>
    <row r="40" ht="22.5" customHeight="1">
      <c r="A40" s="40" t="s">
        <v>359</v>
      </c>
      <c r="B40" s="40" t="s">
        <v>360</v>
      </c>
      <c r="C40" s="42">
        <v>60.0</v>
      </c>
      <c r="D40" s="43" t="s">
        <v>361</v>
      </c>
      <c r="E40" s="43"/>
      <c r="F40" s="41" t="s">
        <v>99</v>
      </c>
      <c r="G40" s="41" t="s">
        <v>112</v>
      </c>
    </row>
    <row r="41" ht="22.5" customHeight="1">
      <c r="A41" s="41" t="s">
        <v>365</v>
      </c>
      <c r="B41" s="40" t="s">
        <v>366</v>
      </c>
      <c r="C41" s="42">
        <v>150.0</v>
      </c>
      <c r="D41" s="43" t="s">
        <v>361</v>
      </c>
      <c r="E41" s="43"/>
      <c r="F41" s="41" t="s">
        <v>99</v>
      </c>
      <c r="G41" s="41" t="s">
        <v>112</v>
      </c>
    </row>
    <row r="42" ht="22.5" customHeight="1">
      <c r="A42" s="41" t="s">
        <v>367</v>
      </c>
      <c r="B42" s="41" t="s">
        <v>368</v>
      </c>
      <c r="C42" s="42">
        <v>1695.0</v>
      </c>
      <c r="D42" s="43" t="s">
        <v>369</v>
      </c>
      <c r="E42" s="46"/>
      <c r="F42" s="41" t="s">
        <v>99</v>
      </c>
      <c r="G42" s="41" t="s">
        <v>112</v>
      </c>
    </row>
    <row r="43" ht="22.5" customHeight="1">
      <c r="A43" s="40" t="s">
        <v>416</v>
      </c>
      <c r="B43" s="41" t="s">
        <v>417</v>
      </c>
      <c r="C43" s="42">
        <v>1950.0</v>
      </c>
      <c r="D43" s="45"/>
      <c r="E43" s="46"/>
      <c r="F43" s="41" t="s">
        <v>99</v>
      </c>
      <c r="G43" s="41" t="s">
        <v>112</v>
      </c>
    </row>
    <row r="44" ht="22.5" customHeight="1">
      <c r="A44" s="41" t="s">
        <v>418</v>
      </c>
      <c r="B44" s="41" t="s">
        <v>419</v>
      </c>
      <c r="C44" s="42">
        <v>1950.0</v>
      </c>
      <c r="D44" s="45"/>
      <c r="E44" s="46"/>
      <c r="F44" s="41" t="s">
        <v>99</v>
      </c>
      <c r="G44" s="41" t="s">
        <v>112</v>
      </c>
    </row>
    <row r="45" ht="22.5" customHeight="1">
      <c r="A45" s="47" t="s">
        <v>420</v>
      </c>
      <c r="B45" s="50" t="s">
        <v>421</v>
      </c>
      <c r="C45" s="42">
        <v>2295.0</v>
      </c>
      <c r="D45" s="45"/>
      <c r="E45" s="46"/>
      <c r="F45" s="41" t="s">
        <v>99</v>
      </c>
      <c r="G45" s="41" t="s">
        <v>112</v>
      </c>
    </row>
    <row r="46" ht="22.5" customHeight="1">
      <c r="A46" s="40" t="s">
        <v>437</v>
      </c>
      <c r="B46" s="41" t="s">
        <v>438</v>
      </c>
      <c r="C46" s="42">
        <v>150.0</v>
      </c>
      <c r="D46" s="43"/>
      <c r="E46" s="46"/>
      <c r="F46" s="41" t="s">
        <v>99</v>
      </c>
      <c r="G46" s="41" t="s">
        <v>112</v>
      </c>
    </row>
    <row r="47" ht="22.5" customHeight="1">
      <c r="A47" s="40" t="s">
        <v>446</v>
      </c>
      <c r="B47" s="40" t="s">
        <v>447</v>
      </c>
      <c r="C47" s="42">
        <v>298.0</v>
      </c>
      <c r="D47" s="45" t="s">
        <v>448</v>
      </c>
      <c r="E47" s="46"/>
      <c r="F47" s="41" t="s">
        <v>99</v>
      </c>
      <c r="G47" s="41" t="s">
        <v>112</v>
      </c>
    </row>
    <row r="48" ht="22.5" customHeight="1">
      <c r="A48" s="40" t="s">
        <v>449</v>
      </c>
      <c r="B48" s="40" t="s">
        <v>450</v>
      </c>
      <c r="C48" s="42">
        <v>95.0</v>
      </c>
      <c r="D48" s="45" t="s">
        <v>451</v>
      </c>
      <c r="E48" s="46" t="s">
        <v>452</v>
      </c>
      <c r="F48" s="41" t="s">
        <v>99</v>
      </c>
      <c r="G48" s="41" t="s">
        <v>112</v>
      </c>
    </row>
    <row r="49" ht="22.5" customHeight="1">
      <c r="A49" s="40" t="s">
        <v>302</v>
      </c>
      <c r="B49" s="41" t="s">
        <v>303</v>
      </c>
      <c r="C49" s="42">
        <v>195.0</v>
      </c>
      <c r="D49" s="43" t="s">
        <v>304</v>
      </c>
      <c r="E49" s="46"/>
      <c r="F49" s="41" t="s">
        <v>99</v>
      </c>
      <c r="G49" s="41" t="s">
        <v>148</v>
      </c>
    </row>
    <row r="50" ht="22.5" customHeight="1">
      <c r="A50" s="40" t="s">
        <v>7</v>
      </c>
      <c r="B50" s="41" t="s">
        <v>305</v>
      </c>
      <c r="C50" s="42">
        <v>475.0</v>
      </c>
      <c r="D50" s="43" t="s">
        <v>306</v>
      </c>
      <c r="E50" s="46"/>
      <c r="F50" s="41" t="s">
        <v>99</v>
      </c>
      <c r="G50" s="41" t="s">
        <v>148</v>
      </c>
    </row>
    <row r="51" ht="22.5" customHeight="1">
      <c r="A51" s="47" t="s">
        <v>10</v>
      </c>
      <c r="B51" s="47" t="s">
        <v>217</v>
      </c>
      <c r="C51" s="42">
        <v>2595.0</v>
      </c>
      <c r="D51" s="45"/>
      <c r="E51" s="43" t="s">
        <v>1445</v>
      </c>
      <c r="F51" s="48" t="s">
        <v>219</v>
      </c>
      <c r="G51" s="41" t="s">
        <v>127</v>
      </c>
    </row>
    <row r="52" ht="22.5" customHeight="1">
      <c r="A52" s="40" t="s">
        <v>228</v>
      </c>
      <c r="B52" s="41" t="s">
        <v>229</v>
      </c>
      <c r="C52" s="42">
        <v>100.0</v>
      </c>
      <c r="D52" s="43" t="s">
        <v>230</v>
      </c>
      <c r="E52" s="46"/>
      <c r="F52" s="41" t="s">
        <v>219</v>
      </c>
      <c r="G52" s="41" t="s">
        <v>127</v>
      </c>
    </row>
    <row r="53" ht="22.5" customHeight="1">
      <c r="A53" s="40" t="s">
        <v>6</v>
      </c>
      <c r="B53" s="41" t="s">
        <v>283</v>
      </c>
      <c r="C53" s="42">
        <v>395.0</v>
      </c>
      <c r="D53" s="43"/>
      <c r="E53" s="43"/>
      <c r="F53" s="41" t="s">
        <v>219</v>
      </c>
      <c r="G53" s="41" t="s">
        <v>127</v>
      </c>
    </row>
    <row r="54" ht="22.5" customHeight="1">
      <c r="A54" s="40" t="s">
        <v>1465</v>
      </c>
      <c r="B54" s="40" t="s">
        <v>1466</v>
      </c>
      <c r="C54" s="42">
        <v>4395.0</v>
      </c>
      <c r="D54" s="43" t="s">
        <v>1467</v>
      </c>
      <c r="E54" s="46" t="s">
        <v>1468</v>
      </c>
      <c r="F54" s="41" t="s">
        <v>460</v>
      </c>
      <c r="G54" s="41" t="s">
        <v>127</v>
      </c>
    </row>
    <row r="55" ht="22.5" customHeight="1">
      <c r="A55" s="40" t="s">
        <v>246</v>
      </c>
      <c r="B55" s="41" t="s">
        <v>247</v>
      </c>
      <c r="C55" s="42">
        <v>995.0</v>
      </c>
      <c r="D55" s="43" t="s">
        <v>248</v>
      </c>
      <c r="E55" s="46"/>
      <c r="F55" s="41" t="s">
        <v>249</v>
      </c>
      <c r="G55" s="41" t="s">
        <v>142</v>
      </c>
    </row>
    <row r="56" ht="22.5" customHeight="1">
      <c r="A56" s="49" t="s">
        <v>250</v>
      </c>
      <c r="B56" s="50" t="s">
        <v>251</v>
      </c>
      <c r="C56" s="42">
        <v>500.0</v>
      </c>
      <c r="D56" s="45" t="s">
        <v>252</v>
      </c>
      <c r="E56" s="46"/>
      <c r="F56" s="41" t="s">
        <v>249</v>
      </c>
      <c r="G56" s="41" t="s">
        <v>142</v>
      </c>
    </row>
    <row r="57" ht="22.5" customHeight="1">
      <c r="A57" s="40" t="s">
        <v>253</v>
      </c>
      <c r="B57" s="41" t="s">
        <v>254</v>
      </c>
      <c r="C57" s="42">
        <v>0.0</v>
      </c>
      <c r="D57" s="45"/>
      <c r="E57" s="43"/>
      <c r="F57" s="41" t="s">
        <v>249</v>
      </c>
      <c r="G57" s="41" t="s">
        <v>142</v>
      </c>
    </row>
    <row r="58" ht="22.5" customHeight="1">
      <c r="A58" s="40" t="s">
        <v>255</v>
      </c>
      <c r="B58" s="41" t="s">
        <v>256</v>
      </c>
      <c r="C58" s="42">
        <v>0.0</v>
      </c>
      <c r="D58" s="45"/>
      <c r="E58" s="46"/>
      <c r="F58" s="41" t="s">
        <v>249</v>
      </c>
      <c r="G58" s="41" t="s">
        <v>142</v>
      </c>
    </row>
    <row r="59" ht="22.5" customHeight="1">
      <c r="A59" s="40" t="s">
        <v>257</v>
      </c>
      <c r="B59" s="40" t="s">
        <v>258</v>
      </c>
      <c r="C59" s="42">
        <v>995.0</v>
      </c>
      <c r="D59" s="43" t="s">
        <v>248</v>
      </c>
      <c r="E59" s="46"/>
      <c r="F59" s="41" t="s">
        <v>249</v>
      </c>
      <c r="G59" s="41" t="s">
        <v>142</v>
      </c>
    </row>
    <row r="60" ht="22.5" customHeight="1">
      <c r="A60" s="40" t="s">
        <v>259</v>
      </c>
      <c r="B60" s="41" t="s">
        <v>260</v>
      </c>
      <c r="C60" s="42">
        <v>0.0</v>
      </c>
      <c r="D60" s="45"/>
      <c r="E60" s="46"/>
      <c r="F60" s="41" t="s">
        <v>249</v>
      </c>
      <c r="G60" s="41" t="s">
        <v>142</v>
      </c>
    </row>
    <row r="61" ht="22.5" customHeight="1">
      <c r="A61" s="49" t="s">
        <v>261</v>
      </c>
      <c r="B61" s="50" t="s">
        <v>262</v>
      </c>
      <c r="C61" s="42">
        <v>0.0</v>
      </c>
      <c r="D61" s="45" t="s">
        <v>263</v>
      </c>
      <c r="E61" s="46"/>
      <c r="F61" s="41" t="s">
        <v>249</v>
      </c>
      <c r="G61" s="41" t="s">
        <v>142</v>
      </c>
    </row>
    <row r="62" ht="22.5" customHeight="1">
      <c r="A62" s="40" t="s">
        <v>264</v>
      </c>
      <c r="B62" s="40" t="s">
        <v>265</v>
      </c>
      <c r="C62" s="42">
        <v>0.0</v>
      </c>
      <c r="D62" s="45"/>
      <c r="E62" s="46"/>
      <c r="F62" s="41" t="s">
        <v>249</v>
      </c>
      <c r="G62" s="41" t="s">
        <v>142</v>
      </c>
    </row>
    <row r="63" ht="22.5" customHeight="1">
      <c r="A63" s="40" t="s">
        <v>266</v>
      </c>
      <c r="B63" s="40" t="s">
        <v>267</v>
      </c>
      <c r="C63" s="42">
        <v>995.0</v>
      </c>
      <c r="D63" s="45" t="s">
        <v>268</v>
      </c>
      <c r="E63" s="46"/>
      <c r="F63" s="41" t="s">
        <v>249</v>
      </c>
      <c r="G63" s="41" t="s">
        <v>142</v>
      </c>
    </row>
    <row r="64" ht="22.5" customHeight="1">
      <c r="A64" s="49" t="s">
        <v>269</v>
      </c>
      <c r="B64" s="49" t="s">
        <v>270</v>
      </c>
      <c r="C64" s="42">
        <v>0.0</v>
      </c>
      <c r="D64" s="45"/>
      <c r="E64" s="46"/>
      <c r="F64" s="41" t="s">
        <v>249</v>
      </c>
      <c r="G64" s="41" t="s">
        <v>142</v>
      </c>
    </row>
    <row r="65" ht="22.5" customHeight="1">
      <c r="A65" s="40" t="s">
        <v>1355</v>
      </c>
      <c r="B65" s="41" t="s">
        <v>1356</v>
      </c>
      <c r="C65" s="42">
        <v>0.0</v>
      </c>
      <c r="D65" s="45" t="s">
        <v>1357</v>
      </c>
      <c r="E65" s="46"/>
      <c r="F65" s="41" t="s">
        <v>425</v>
      </c>
      <c r="G65" s="41" t="s">
        <v>89</v>
      </c>
    </row>
    <row r="66" ht="22.5" customHeight="1">
      <c r="A66" s="40" t="s">
        <v>1462</v>
      </c>
      <c r="B66" s="41" t="s">
        <v>1463</v>
      </c>
      <c r="C66" s="42">
        <v>10495.0</v>
      </c>
      <c r="D66" s="43" t="s">
        <v>1464</v>
      </c>
      <c r="E66" s="46"/>
      <c r="F66" s="41" t="s">
        <v>93</v>
      </c>
      <c r="G66" s="41" t="s">
        <v>89</v>
      </c>
    </row>
    <row r="67" ht="22.5" customHeight="1">
      <c r="A67" s="40" t="s">
        <v>14</v>
      </c>
      <c r="B67" s="41" t="s">
        <v>463</v>
      </c>
      <c r="C67" s="42">
        <v>195.0</v>
      </c>
      <c r="D67" s="43" t="s">
        <v>1469</v>
      </c>
      <c r="E67" s="43" t="s">
        <v>1470</v>
      </c>
      <c r="F67" s="41" t="s">
        <v>425</v>
      </c>
      <c r="G67" s="41" t="s">
        <v>89</v>
      </c>
    </row>
    <row r="68" ht="22.5" customHeight="1">
      <c r="A68" s="40" t="s">
        <v>181</v>
      </c>
      <c r="B68" s="40" t="s">
        <v>182</v>
      </c>
      <c r="C68" s="42">
        <v>1195.0</v>
      </c>
      <c r="D68" s="43" t="s">
        <v>183</v>
      </c>
      <c r="E68" s="46" t="s">
        <v>183</v>
      </c>
      <c r="F68" s="41" t="s">
        <v>184</v>
      </c>
      <c r="G68" s="41" t="s">
        <v>122</v>
      </c>
    </row>
    <row r="69" ht="22.5" customHeight="1">
      <c r="A69" s="40" t="s">
        <v>185</v>
      </c>
      <c r="B69" s="40" t="s">
        <v>186</v>
      </c>
      <c r="C69" s="42">
        <v>1195.0</v>
      </c>
      <c r="D69" s="43" t="s">
        <v>187</v>
      </c>
      <c r="E69" s="46" t="s">
        <v>187</v>
      </c>
      <c r="F69" s="41" t="s">
        <v>184</v>
      </c>
      <c r="G69" s="41" t="s">
        <v>122</v>
      </c>
    </row>
    <row r="70" ht="22.5" customHeight="1">
      <c r="A70" s="40" t="s">
        <v>188</v>
      </c>
      <c r="B70" s="41" t="s">
        <v>189</v>
      </c>
      <c r="C70" s="42">
        <v>1195.0</v>
      </c>
      <c r="D70" s="43" t="s">
        <v>190</v>
      </c>
      <c r="E70" s="46" t="s">
        <v>190</v>
      </c>
      <c r="F70" s="41" t="s">
        <v>184</v>
      </c>
      <c r="G70" s="41" t="s">
        <v>122</v>
      </c>
    </row>
    <row r="71" ht="22.5" customHeight="1">
      <c r="A71" s="40" t="s">
        <v>191</v>
      </c>
      <c r="B71" s="40" t="s">
        <v>192</v>
      </c>
      <c r="C71" s="42">
        <v>1195.0</v>
      </c>
      <c r="D71" s="43" t="s">
        <v>193</v>
      </c>
      <c r="E71" s="46" t="s">
        <v>193</v>
      </c>
      <c r="F71" s="41" t="s">
        <v>184</v>
      </c>
      <c r="G71" s="41" t="s">
        <v>122</v>
      </c>
    </row>
    <row r="72" ht="22.5" customHeight="1">
      <c r="A72" s="40" t="s">
        <v>194</v>
      </c>
      <c r="B72" s="41" t="s">
        <v>195</v>
      </c>
      <c r="C72" s="42">
        <v>1195.0</v>
      </c>
      <c r="D72" s="45"/>
      <c r="E72" s="45"/>
      <c r="F72" s="41" t="s">
        <v>184</v>
      </c>
      <c r="G72" s="41" t="s">
        <v>122</v>
      </c>
    </row>
    <row r="73" ht="22.5" customHeight="1">
      <c r="A73" s="40" t="s">
        <v>196</v>
      </c>
      <c r="B73" s="40" t="s">
        <v>197</v>
      </c>
      <c r="C73" s="42">
        <v>1195.0</v>
      </c>
      <c r="D73" s="43" t="s">
        <v>190</v>
      </c>
      <c r="E73" s="46" t="s">
        <v>190</v>
      </c>
      <c r="F73" s="41" t="s">
        <v>184</v>
      </c>
      <c r="G73" s="41" t="s">
        <v>122</v>
      </c>
    </row>
    <row r="74" ht="22.5" customHeight="1">
      <c r="A74" s="40" t="s">
        <v>198</v>
      </c>
      <c r="B74" s="40" t="s">
        <v>199</v>
      </c>
      <c r="C74" s="42">
        <v>1195.0</v>
      </c>
      <c r="D74" s="43" t="s">
        <v>193</v>
      </c>
      <c r="E74" s="46" t="s">
        <v>193</v>
      </c>
      <c r="F74" s="41" t="s">
        <v>184</v>
      </c>
      <c r="G74" s="41" t="s">
        <v>122</v>
      </c>
    </row>
    <row r="75" ht="22.5" customHeight="1">
      <c r="A75" s="40" t="s">
        <v>200</v>
      </c>
      <c r="B75" s="40" t="s">
        <v>201</v>
      </c>
      <c r="C75" s="42">
        <v>1195.0</v>
      </c>
      <c r="D75" s="45" t="s">
        <v>187</v>
      </c>
      <c r="E75" s="46" t="s">
        <v>187</v>
      </c>
      <c r="F75" s="41" t="s">
        <v>184</v>
      </c>
      <c r="G75" s="41" t="s">
        <v>122</v>
      </c>
    </row>
    <row r="76" ht="22.5" customHeight="1">
      <c r="A76" s="40" t="s">
        <v>202</v>
      </c>
      <c r="B76" s="40" t="s">
        <v>203</v>
      </c>
      <c r="C76" s="42">
        <v>1195.0</v>
      </c>
      <c r="D76" s="45"/>
      <c r="E76" s="46"/>
      <c r="F76" s="41" t="s">
        <v>184</v>
      </c>
      <c r="G76" s="41" t="s">
        <v>122</v>
      </c>
    </row>
    <row r="77" ht="22.5" customHeight="1">
      <c r="A77" s="40" t="s">
        <v>204</v>
      </c>
      <c r="B77" s="41" t="s">
        <v>205</v>
      </c>
      <c r="C77" s="42">
        <v>1195.0</v>
      </c>
      <c r="D77" s="45"/>
      <c r="E77" s="46"/>
      <c r="F77" s="41" t="s">
        <v>184</v>
      </c>
      <c r="G77" s="41" t="s">
        <v>122</v>
      </c>
    </row>
    <row r="78" ht="22.5" customHeight="1">
      <c r="A78" s="41" t="s">
        <v>206</v>
      </c>
      <c r="B78" s="50" t="s">
        <v>207</v>
      </c>
      <c r="C78" s="42">
        <v>1195.0</v>
      </c>
      <c r="D78" s="45" t="s">
        <v>208</v>
      </c>
      <c r="E78" s="45" t="s">
        <v>208</v>
      </c>
      <c r="F78" s="41" t="s">
        <v>184</v>
      </c>
      <c r="G78" s="41" t="s">
        <v>122</v>
      </c>
    </row>
    <row r="79" ht="22.5" customHeight="1">
      <c r="A79" s="40" t="s">
        <v>209</v>
      </c>
      <c r="B79" s="40" t="s">
        <v>210</v>
      </c>
      <c r="C79" s="42">
        <v>1195.0</v>
      </c>
      <c r="D79" s="45" t="s">
        <v>183</v>
      </c>
      <c r="E79" s="46" t="s">
        <v>183</v>
      </c>
      <c r="F79" s="41" t="s">
        <v>184</v>
      </c>
      <c r="G79" s="41" t="s">
        <v>122</v>
      </c>
    </row>
    <row r="80" ht="22.5" customHeight="1">
      <c r="A80" s="41" t="s">
        <v>101</v>
      </c>
      <c r="B80" s="41" t="s">
        <v>102</v>
      </c>
      <c r="C80" s="42">
        <v>250.0</v>
      </c>
      <c r="D80" s="45"/>
      <c r="E80" s="43"/>
      <c r="F80" s="41" t="s">
        <v>78</v>
      </c>
      <c r="G80" s="41" t="s">
        <v>94</v>
      </c>
    </row>
    <row r="81" ht="22.5" customHeight="1">
      <c r="A81" s="40" t="s">
        <v>370</v>
      </c>
      <c r="B81" s="41" t="s">
        <v>371</v>
      </c>
      <c r="C81" s="42">
        <v>275.0</v>
      </c>
      <c r="D81" s="45"/>
      <c r="E81" s="46"/>
      <c r="F81" s="41" t="s">
        <v>78</v>
      </c>
      <c r="G81" s="41" t="s">
        <v>94</v>
      </c>
    </row>
    <row r="82" ht="22.5" customHeight="1">
      <c r="A82" s="40" t="s">
        <v>381</v>
      </c>
      <c r="B82" s="40" t="s">
        <v>382</v>
      </c>
      <c r="C82" s="42">
        <v>125.0</v>
      </c>
      <c r="D82" s="45"/>
      <c r="E82" s="46"/>
      <c r="F82" s="41" t="s">
        <v>78</v>
      </c>
      <c r="G82" s="41" t="s">
        <v>94</v>
      </c>
    </row>
    <row r="83" ht="22.5" customHeight="1">
      <c r="A83" s="40" t="s">
        <v>15</v>
      </c>
      <c r="B83" s="41" t="s">
        <v>409</v>
      </c>
      <c r="C83" s="42">
        <v>295.0</v>
      </c>
      <c r="D83" s="45"/>
      <c r="E83" s="46"/>
      <c r="F83" s="41" t="s">
        <v>78</v>
      </c>
      <c r="G83" s="41" t="s">
        <v>94</v>
      </c>
    </row>
    <row r="84" ht="22.5" customHeight="1">
      <c r="A84" s="40" t="s">
        <v>410</v>
      </c>
      <c r="B84" s="41" t="s">
        <v>411</v>
      </c>
      <c r="C84" s="42">
        <v>175.0</v>
      </c>
      <c r="D84" s="45"/>
      <c r="E84" s="43" t="s">
        <v>412</v>
      </c>
      <c r="F84" s="41" t="s">
        <v>78</v>
      </c>
      <c r="G84" s="41" t="s">
        <v>94</v>
      </c>
    </row>
    <row r="85" ht="22.5" customHeight="1">
      <c r="A85" s="40" t="s">
        <v>1452</v>
      </c>
      <c r="B85" s="41" t="s">
        <v>1453</v>
      </c>
      <c r="C85" s="42">
        <v>1495.0</v>
      </c>
      <c r="D85" s="43" t="s">
        <v>1371</v>
      </c>
      <c r="E85" s="43"/>
      <c r="F85" s="41" t="s">
        <v>313</v>
      </c>
      <c r="G85" s="41" t="s">
        <v>153</v>
      </c>
    </row>
    <row r="86" ht="22.5" customHeight="1">
      <c r="A86" s="40" t="s">
        <v>16</v>
      </c>
      <c r="B86" s="41" t="s">
        <v>1454</v>
      </c>
      <c r="C86" s="42">
        <v>1495.0</v>
      </c>
      <c r="D86" s="45" t="s">
        <v>1371</v>
      </c>
      <c r="E86" s="43"/>
      <c r="F86" s="41" t="s">
        <v>313</v>
      </c>
      <c r="G86" s="41" t="s">
        <v>153</v>
      </c>
    </row>
    <row r="87" ht="22.5" customHeight="1">
      <c r="A87" s="40" t="s">
        <v>1455</v>
      </c>
      <c r="B87" s="41" t="s">
        <v>1456</v>
      </c>
      <c r="C87" s="42">
        <v>1995.0</v>
      </c>
      <c r="D87" s="43" t="s">
        <v>1371</v>
      </c>
      <c r="E87" s="46"/>
      <c r="F87" s="41" t="s">
        <v>313</v>
      </c>
      <c r="G87" s="41" t="s">
        <v>153</v>
      </c>
    </row>
    <row r="88" ht="22.5" customHeight="1">
      <c r="A88" s="41" t="s">
        <v>1457</v>
      </c>
      <c r="B88" s="41" t="s">
        <v>1458</v>
      </c>
      <c r="C88" s="42">
        <v>0.0</v>
      </c>
      <c r="D88" s="43" t="s">
        <v>1368</v>
      </c>
      <c r="E88" s="43"/>
      <c r="F88" s="41" t="s">
        <v>313</v>
      </c>
      <c r="G88" s="41" t="s">
        <v>153</v>
      </c>
    </row>
    <row r="89" ht="22.5" customHeight="1">
      <c r="A89" s="40" t="s">
        <v>1459</v>
      </c>
      <c r="B89" s="41" t="s">
        <v>1460</v>
      </c>
      <c r="C89" s="42">
        <v>13995.0</v>
      </c>
      <c r="D89" s="43" t="s">
        <v>1461</v>
      </c>
      <c r="E89" s="46"/>
      <c r="F89" s="41" t="s">
        <v>1375</v>
      </c>
      <c r="G89" s="41" t="s">
        <v>153</v>
      </c>
    </row>
    <row r="90" ht="22.5" customHeight="1">
      <c r="A90" s="40" t="s">
        <v>11</v>
      </c>
      <c r="B90" s="40" t="s">
        <v>1447</v>
      </c>
      <c r="C90" s="42">
        <v>995.0</v>
      </c>
      <c r="D90" s="43"/>
      <c r="E90" s="43" t="s">
        <v>1448</v>
      </c>
      <c r="F90" s="41" t="s">
        <v>223</v>
      </c>
      <c r="G90" s="41"/>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3.57"/>
    <col customWidth="1" min="2" max="3" width="8.29"/>
    <col customWidth="1" min="4" max="4" width="8.14"/>
    <col customWidth="1" min="5" max="5" width="9.57"/>
    <col customWidth="1" min="6" max="6" width="11.71"/>
    <col customWidth="1" min="7" max="7" width="12.14"/>
    <col customWidth="1" min="8" max="8" width="68.71"/>
    <col customWidth="1" min="9" max="9" width="71.57"/>
    <col customWidth="1" min="10" max="10" width="11.71"/>
    <col customWidth="1" min="11" max="11" width="22.57"/>
    <col customWidth="1" min="12" max="12" width="8.86"/>
  </cols>
  <sheetData>
    <row r="1">
      <c r="A1" s="55" t="s">
        <v>72</v>
      </c>
      <c r="B1" s="56" t="s">
        <v>713</v>
      </c>
      <c r="C1" s="56" t="s">
        <v>714</v>
      </c>
      <c r="D1" s="56" t="s">
        <v>1</v>
      </c>
      <c r="E1" s="56" t="s">
        <v>715</v>
      </c>
      <c r="F1" s="57" t="s">
        <v>716</v>
      </c>
      <c r="G1" s="56" t="s">
        <v>717</v>
      </c>
      <c r="H1" s="55" t="s">
        <v>68</v>
      </c>
      <c r="I1" s="55" t="s">
        <v>69</v>
      </c>
      <c r="J1" s="58" t="s">
        <v>71</v>
      </c>
      <c r="K1" s="59" t="s">
        <v>718</v>
      </c>
      <c r="L1" s="58" t="s">
        <v>2</v>
      </c>
    </row>
    <row r="2">
      <c r="A2" s="60" t="s">
        <v>1471</v>
      </c>
      <c r="B2" s="61" t="s">
        <v>1472</v>
      </c>
      <c r="C2" s="61" t="s">
        <v>721</v>
      </c>
      <c r="D2" s="61" t="s">
        <v>722</v>
      </c>
      <c r="E2" s="61"/>
      <c r="F2" s="61"/>
      <c r="G2" s="61"/>
      <c r="H2" s="62" t="s">
        <v>723</v>
      </c>
      <c r="I2" s="63" t="s">
        <v>724</v>
      </c>
      <c r="J2" s="65" t="s">
        <v>725</v>
      </c>
      <c r="K2" s="66" t="str">
        <f t="shared" ref="K2:K158" si="1">textjoin(" ",true,B2,C2,D2,F2,E2,G2)</f>
        <v>1LZ AQ9 HTA</v>
      </c>
      <c r="L2" s="64">
        <f>SUM(
  SUMIFS(
    PriceRef!$D$2:$D158,
    PriceRef!$A$2:$A158, "Seat",
    PriceRef!$B$2:$B158, $B2,
    PriceRef!$C$2:$C158, $C2
  ),
  SUMIFS(
    PriceRef!$D$2:$D158,
    PriceRef!$A$2:$A158, "Stitching",
    PriceRef!$C$2:$C158, $F2
  ),
  SUMIFS(
    PriceRef!$D$2:$D158,
    PriceRef!$A$2:$A158, "Suede",
    PriceRef!$C$2:$C158, $E2
  ),
  SUMIFS(
    PriceRef!$D$2:$D158,
    PriceRef!$A$2:$A158, "TwoTone",
    PriceRef!$C$2:$C158, $G2
  )
)</f>
        <v>0</v>
      </c>
    </row>
    <row r="3">
      <c r="A3" s="60" t="s">
        <v>1471</v>
      </c>
      <c r="B3" s="61" t="s">
        <v>1472</v>
      </c>
      <c r="C3" s="61" t="s">
        <v>726</v>
      </c>
      <c r="D3" s="61" t="s">
        <v>727</v>
      </c>
      <c r="E3" s="61" t="s">
        <v>728</v>
      </c>
      <c r="F3" s="61"/>
      <c r="G3" s="61"/>
      <c r="H3" s="62" t="s">
        <v>729</v>
      </c>
      <c r="I3" s="63" t="s">
        <v>730</v>
      </c>
      <c r="J3" s="65" t="s">
        <v>725</v>
      </c>
      <c r="K3" s="66" t="str">
        <f t="shared" si="1"/>
        <v>1LZ AE4 HTJ N26</v>
      </c>
      <c r="L3" s="64">
        <f>SUM(
  SUMIFS(
    PriceRef!$D$2:$D158,
    PriceRef!$A$2:$A158, "Seat",
    PriceRef!$B$2:$B158, $B3,
    PriceRef!$C$2:$C158, $C3
  ),
  SUMIFS(
    PriceRef!$D$2:$D158,
    PriceRef!$A$2:$A158, "Stitching",
    PriceRef!$C$2:$C158, $F3
  ),
  SUMIFS(
    PriceRef!$D$2:$D158,
    PriceRef!$A$2:$A158, "Suede",
    PriceRef!$C$2:$C158, $E3
  ),
  SUMIFS(
    PriceRef!$D$2:$D158,
    PriceRef!$A$2:$A158, "TwoTone",
    PriceRef!$C$2:$C158, $G3
  )
)</f>
        <v>1690</v>
      </c>
    </row>
    <row r="4">
      <c r="A4" s="60" t="s">
        <v>1471</v>
      </c>
      <c r="B4" s="61" t="s">
        <v>1472</v>
      </c>
      <c r="C4" s="61" t="s">
        <v>721</v>
      </c>
      <c r="D4" s="61" t="s">
        <v>731</v>
      </c>
      <c r="E4" s="61"/>
      <c r="F4" s="61"/>
      <c r="G4" s="61"/>
      <c r="H4" s="62" t="s">
        <v>732</v>
      </c>
      <c r="I4" s="63" t="s">
        <v>733</v>
      </c>
      <c r="J4" s="65" t="s">
        <v>725</v>
      </c>
      <c r="K4" s="66" t="str">
        <f t="shared" si="1"/>
        <v>1LZ AQ9 HUP</v>
      </c>
      <c r="L4" s="64">
        <f>SUM(
  SUMIFS(
    PriceRef!$D$2:$D158,
    PriceRef!$A$2:$A158, "Seat",
    PriceRef!$B$2:$B158, $B4,
    PriceRef!$C$2:$C158, $C4
  ),
  SUMIFS(
    PriceRef!$D$2:$D158,
    PriceRef!$A$2:$A158, "Stitching",
    PriceRef!$C$2:$C158, $F4
  ),
  SUMIFS(
    PriceRef!$D$2:$D158,
    PriceRef!$A$2:$A158, "Suede",
    PriceRef!$C$2:$C158, $E4
  ),
  SUMIFS(
    PriceRef!$D$2:$D158,
    PriceRef!$A$2:$A158, "TwoTone",
    PriceRef!$C$2:$C158, $G4
  )
)</f>
        <v>0</v>
      </c>
    </row>
    <row r="5">
      <c r="A5" s="60" t="s">
        <v>1471</v>
      </c>
      <c r="B5" s="61" t="s">
        <v>1472</v>
      </c>
      <c r="C5" s="61" t="s">
        <v>721</v>
      </c>
      <c r="D5" s="61" t="s">
        <v>734</v>
      </c>
      <c r="E5" s="61"/>
      <c r="F5" s="61"/>
      <c r="G5" s="61"/>
      <c r="H5" s="62" t="s">
        <v>735</v>
      </c>
      <c r="I5" s="63" t="s">
        <v>733</v>
      </c>
      <c r="J5" s="65" t="s">
        <v>725</v>
      </c>
      <c r="K5" s="66" t="str">
        <f t="shared" si="1"/>
        <v>1LZ AQ9 HUQ</v>
      </c>
      <c r="L5" s="64">
        <f>SUM(
  SUMIFS(
    PriceRef!$D$2:$D158,
    PriceRef!$A$2:$A158, "Seat",
    PriceRef!$B$2:$B158, $B5,
    PriceRef!$C$2:$C158, $C5
  ),
  SUMIFS(
    PriceRef!$D$2:$D158,
    PriceRef!$A$2:$A158, "Stitching",
    PriceRef!$C$2:$C158, $F5
  ),
  SUMIFS(
    PriceRef!$D$2:$D158,
    PriceRef!$A$2:$A158, "Suede",
    PriceRef!$C$2:$C158, $E5
  ),
  SUMIFS(
    PriceRef!$D$2:$D158,
    PriceRef!$A$2:$A158, "TwoTone",
    PriceRef!$C$2:$C158, $G5
  )
)</f>
        <v>0</v>
      </c>
    </row>
    <row r="6">
      <c r="A6" s="60" t="s">
        <v>1473</v>
      </c>
      <c r="B6" s="61" t="s">
        <v>1472</v>
      </c>
      <c r="C6" s="61" t="s">
        <v>726</v>
      </c>
      <c r="D6" s="61" t="s">
        <v>726</v>
      </c>
      <c r="E6" s="61"/>
      <c r="F6" s="61"/>
      <c r="G6" s="61"/>
      <c r="H6" s="62" t="s">
        <v>736</v>
      </c>
      <c r="I6" s="63" t="s">
        <v>737</v>
      </c>
      <c r="J6" s="65" t="s">
        <v>738</v>
      </c>
      <c r="K6" s="66" t="str">
        <f t="shared" si="1"/>
        <v>1LZ AE4 AE4</v>
      </c>
      <c r="L6" s="64">
        <f>SUM(
  SUMIFS(
    PriceRef!$D$2:$D158,
    PriceRef!$A$2:$A158, "Seat",
    PriceRef!$B$2:$B158, $B6,
    PriceRef!$C$2:$C158, $C6
  ),
  SUMIFS(
    PriceRef!$D$2:$D158,
    PriceRef!$A$2:$A158, "Stitching",
    PriceRef!$C$2:$C158, $F6
  ),
  SUMIFS(
    PriceRef!$D$2:$D158,
    PriceRef!$A$2:$A158, "Suede",
    PriceRef!$C$2:$C158, $E6
  ),
  SUMIFS(
    PriceRef!$D$2:$D158,
    PriceRef!$A$2:$A158, "TwoTone",
    PriceRef!$C$2:$C158, $G6
  )
)</f>
        <v>995</v>
      </c>
    </row>
    <row r="7">
      <c r="A7" s="60" t="s">
        <v>1473</v>
      </c>
      <c r="B7" s="61" t="s">
        <v>1472</v>
      </c>
      <c r="C7" s="61" t="s">
        <v>721</v>
      </c>
      <c r="D7" s="61" t="s">
        <v>721</v>
      </c>
      <c r="E7" s="61"/>
      <c r="F7" s="61"/>
      <c r="G7" s="61"/>
      <c r="H7" s="62" t="s">
        <v>739</v>
      </c>
      <c r="I7" s="63" t="s">
        <v>740</v>
      </c>
      <c r="J7" s="65" t="s">
        <v>738</v>
      </c>
      <c r="K7" s="66" t="str">
        <f t="shared" si="1"/>
        <v>1LZ AQ9 AQ9</v>
      </c>
      <c r="L7" s="64">
        <f>SUM(
  SUMIFS(
    PriceRef!$D$2:$D158,
    PriceRef!$A$2:$A158, "Seat",
    PriceRef!$B$2:$B158, $B7,
    PriceRef!$C$2:$C158, $C7
  ),
  SUMIFS(
    PriceRef!$D$2:$D158,
    PriceRef!$A$2:$A158, "Stitching",
    PriceRef!$C$2:$C158, $F7
  ),
  SUMIFS(
    PriceRef!$D$2:$D158,
    PriceRef!$A$2:$A158, "Suede",
    PriceRef!$C$2:$C158, $E7
  ),
  SUMIFS(
    PriceRef!$D$2:$D158,
    PriceRef!$A$2:$A158, "TwoTone",
    PriceRef!$C$2:$C158, $G7
  )
)</f>
        <v>0</v>
      </c>
    </row>
    <row r="8">
      <c r="A8" s="60" t="s">
        <v>1474</v>
      </c>
      <c r="B8" s="61" t="s">
        <v>1475</v>
      </c>
      <c r="C8" s="61" t="s">
        <v>721</v>
      </c>
      <c r="D8" s="61" t="s">
        <v>743</v>
      </c>
      <c r="E8" s="61"/>
      <c r="F8" s="61"/>
      <c r="G8" s="61"/>
      <c r="H8" s="62" t="s">
        <v>723</v>
      </c>
      <c r="I8" s="63" t="s">
        <v>744</v>
      </c>
      <c r="J8" s="65" t="s">
        <v>745</v>
      </c>
      <c r="K8" s="66" t="str">
        <f t="shared" si="1"/>
        <v>2LZ AQ9 H1Y</v>
      </c>
      <c r="L8" s="64">
        <f>SUM(
  SUMIFS(
    PriceRef!$D$2:$D158,
    PriceRef!$A$2:$A158, "Seat",
    PriceRef!$B$2:$B158, $B8,
    PriceRef!$C$2:$C158, $C8
  ),
  SUMIFS(
    PriceRef!$D$2:$D158,
    PriceRef!$A$2:$A158, "Stitching",
    PriceRef!$C$2:$C158, $F8
  ),
  SUMIFS(
    PriceRef!$D$2:$D158,
    PriceRef!$A$2:$A158, "Suede",
    PriceRef!$C$2:$C158, $E8
  ),
  SUMIFS(
    PriceRef!$D$2:$D158,
    PriceRef!$A$2:$A158, "TwoTone",
    PriceRef!$C$2:$C158, $G8
  )
)</f>
        <v>0</v>
      </c>
    </row>
    <row r="9">
      <c r="A9" s="60" t="s">
        <v>1474</v>
      </c>
      <c r="B9" s="61" t="s">
        <v>1475</v>
      </c>
      <c r="C9" s="61" t="s">
        <v>721</v>
      </c>
      <c r="D9" s="61" t="s">
        <v>743</v>
      </c>
      <c r="E9" s="61"/>
      <c r="F9" s="61" t="s">
        <v>746</v>
      </c>
      <c r="G9" s="61"/>
      <c r="H9" s="62" t="s">
        <v>747</v>
      </c>
      <c r="I9" s="63" t="s">
        <v>748</v>
      </c>
      <c r="J9" s="65" t="s">
        <v>745</v>
      </c>
      <c r="K9" s="66" t="str">
        <f t="shared" si="1"/>
        <v>2LZ AQ9 H1Y 38S</v>
      </c>
      <c r="L9" s="64">
        <f>SUM(
  SUMIFS(
    PriceRef!$D$2:$D158,
    PriceRef!$A$2:$A158, "Seat",
    PriceRef!$B$2:$B158, $B9,
    PriceRef!$C$2:$C158, $C9
  ),
  SUMIFS(
    PriceRef!$D$2:$D158,
    PriceRef!$A$2:$A158, "Stitching",
    PriceRef!$C$2:$C158, $F9
  ),
  SUMIFS(
    PriceRef!$D$2:$D158,
    PriceRef!$A$2:$A158, "Suede",
    PriceRef!$C$2:$C158, $E9
  ),
  SUMIFS(
    PriceRef!$D$2:$D158,
    PriceRef!$A$2:$A158, "TwoTone",
    PriceRef!$C$2:$C158, $G9
  )
)</f>
        <v>495</v>
      </c>
    </row>
    <row r="10">
      <c r="A10" s="60" t="s">
        <v>1474</v>
      </c>
      <c r="B10" s="61" t="s">
        <v>1475</v>
      </c>
      <c r="C10" s="61" t="s">
        <v>721</v>
      </c>
      <c r="D10" s="61" t="s">
        <v>743</v>
      </c>
      <c r="E10" s="61"/>
      <c r="F10" s="61" t="s">
        <v>749</v>
      </c>
      <c r="G10" s="61"/>
      <c r="H10" s="62" t="s">
        <v>750</v>
      </c>
      <c r="I10" s="63" t="s">
        <v>748</v>
      </c>
      <c r="J10" s="65" t="s">
        <v>745</v>
      </c>
      <c r="K10" s="66" t="str">
        <f t="shared" si="1"/>
        <v>2LZ AQ9 H1Y 36S</v>
      </c>
      <c r="L10" s="64">
        <f>SUM(
  SUMIFS(
    PriceRef!$D$2:$D158,
    PriceRef!$A$2:$A158, "Seat",
    PriceRef!$B$2:$B158, $B10,
    PriceRef!$C$2:$C158, $C10
  ),
  SUMIFS(
    PriceRef!$D$2:$D158,
    PriceRef!$A$2:$A158, "Stitching",
    PriceRef!$C$2:$C158, $F10
  ),
  SUMIFS(
    PriceRef!$D$2:$D158,
    PriceRef!$A$2:$A158, "Suede",
    PriceRef!$C$2:$C158, $E10
  ),
  SUMIFS(
    PriceRef!$D$2:$D158,
    PriceRef!$A$2:$A158, "TwoTone",
    PriceRef!$C$2:$C158, $G10
  )
)</f>
        <v>495</v>
      </c>
    </row>
    <row r="11">
      <c r="A11" s="60" t="s">
        <v>1474</v>
      </c>
      <c r="B11" s="61" t="s">
        <v>1475</v>
      </c>
      <c r="C11" s="61" t="s">
        <v>721</v>
      </c>
      <c r="D11" s="61" t="s">
        <v>743</v>
      </c>
      <c r="E11" s="61"/>
      <c r="F11" s="61" t="s">
        <v>751</v>
      </c>
      <c r="G11" s="61"/>
      <c r="H11" s="62" t="s">
        <v>752</v>
      </c>
      <c r="I11" s="63" t="s">
        <v>748</v>
      </c>
      <c r="J11" s="65" t="s">
        <v>745</v>
      </c>
      <c r="K11" s="66" t="str">
        <f t="shared" si="1"/>
        <v>2LZ AQ9 H1Y 37S</v>
      </c>
      <c r="L11" s="64">
        <f>SUM(
  SUMIFS(
    PriceRef!$D$2:$D158,
    PriceRef!$A$2:$A158, "Seat",
    PriceRef!$B$2:$B158, $B11,
    PriceRef!$C$2:$C158, $C11
  ),
  SUMIFS(
    PriceRef!$D$2:$D158,
    PriceRef!$A$2:$A158, "Stitching",
    PriceRef!$C$2:$C158, $F11
  ),
  SUMIFS(
    PriceRef!$D$2:$D158,
    PriceRef!$A$2:$A158, "Suede",
    PriceRef!$C$2:$C158, $E11
  ),
  SUMIFS(
    PriceRef!$D$2:$D158,
    PriceRef!$A$2:$A158, "TwoTone",
    PriceRef!$C$2:$C158, $G11
  )
)</f>
        <v>495</v>
      </c>
    </row>
    <row r="12">
      <c r="A12" s="60" t="s">
        <v>1474</v>
      </c>
      <c r="B12" s="61" t="s">
        <v>1475</v>
      </c>
      <c r="C12" s="61" t="s">
        <v>753</v>
      </c>
      <c r="D12" s="61" t="s">
        <v>754</v>
      </c>
      <c r="E12" s="61"/>
      <c r="F12" s="61"/>
      <c r="G12" s="61"/>
      <c r="H12" s="62" t="s">
        <v>755</v>
      </c>
      <c r="I12" s="63" t="s">
        <v>756</v>
      </c>
      <c r="J12" s="65" t="s">
        <v>745</v>
      </c>
      <c r="K12" s="66" t="str">
        <f t="shared" si="1"/>
        <v>2LZ AH2 HTM</v>
      </c>
      <c r="L12" s="64">
        <f>SUM(
  SUMIFS(
    PriceRef!$D$2:$D158,
    PriceRef!$A$2:$A158, "Seat",
    PriceRef!$B$2:$B158, $B12,
    PriceRef!$C$2:$C158, $C12
  ),
  SUMIFS(
    PriceRef!$D$2:$D158,
    PriceRef!$A$2:$A158, "Stitching",
    PriceRef!$C$2:$C158, $F12
  ),
  SUMIFS(
    PriceRef!$D$2:$D158,
    PriceRef!$A$2:$A158, "Suede",
    PriceRef!$C$2:$C158, $E12
  ),
  SUMIFS(
    PriceRef!$D$2:$D158,
    PriceRef!$A$2:$A158, "TwoTone",
    PriceRef!$C$2:$C158, $G12
  )
)</f>
        <v>1695</v>
      </c>
    </row>
    <row r="13">
      <c r="A13" s="60" t="s">
        <v>1474</v>
      </c>
      <c r="B13" s="61" t="s">
        <v>1475</v>
      </c>
      <c r="C13" s="61" t="s">
        <v>753</v>
      </c>
      <c r="D13" s="61" t="s">
        <v>754</v>
      </c>
      <c r="E13" s="61"/>
      <c r="F13" s="61" t="s">
        <v>746</v>
      </c>
      <c r="G13" s="61"/>
      <c r="H13" s="62" t="s">
        <v>757</v>
      </c>
      <c r="I13" s="63" t="s">
        <v>758</v>
      </c>
      <c r="J13" s="65" t="s">
        <v>745</v>
      </c>
      <c r="K13" s="66" t="str">
        <f t="shared" si="1"/>
        <v>2LZ AH2 HTM 38S</v>
      </c>
      <c r="L13" s="64">
        <f>SUM(
  SUMIFS(
    PriceRef!$D$2:$D158,
    PriceRef!$A$2:$A158, "Seat",
    PriceRef!$B$2:$B158, $B13,
    PriceRef!$C$2:$C158, $C13
  ),
  SUMIFS(
    PriceRef!$D$2:$D158,
    PriceRef!$A$2:$A158, "Stitching",
    PriceRef!$C$2:$C158, $F13
  ),
  SUMIFS(
    PriceRef!$D$2:$D158,
    PriceRef!$A$2:$A158, "Suede",
    PriceRef!$C$2:$C158, $E13
  ),
  SUMIFS(
    PriceRef!$D$2:$D158,
    PriceRef!$A$2:$A158, "TwoTone",
    PriceRef!$C$2:$C158, $G13
  )
)</f>
        <v>2190</v>
      </c>
    </row>
    <row r="14">
      <c r="A14" s="60" t="s">
        <v>1474</v>
      </c>
      <c r="B14" s="61" t="s">
        <v>1475</v>
      </c>
      <c r="C14" s="61" t="s">
        <v>753</v>
      </c>
      <c r="D14" s="61" t="s">
        <v>754</v>
      </c>
      <c r="E14" s="61"/>
      <c r="F14" s="61" t="s">
        <v>749</v>
      </c>
      <c r="G14" s="61"/>
      <c r="H14" s="62" t="s">
        <v>759</v>
      </c>
      <c r="I14" s="63" t="s">
        <v>758</v>
      </c>
      <c r="J14" s="65" t="s">
        <v>745</v>
      </c>
      <c r="K14" s="66" t="str">
        <f t="shared" si="1"/>
        <v>2LZ AH2 HTM 36S</v>
      </c>
      <c r="L14" s="64">
        <f>SUM(
  SUMIFS(
    PriceRef!$D$2:$D158,
    PriceRef!$A$2:$A158, "Seat",
    PriceRef!$B$2:$B158, $B14,
    PriceRef!$C$2:$C158, $C14
  ),
  SUMIFS(
    PriceRef!$D$2:$D158,
    PriceRef!$A$2:$A158, "Stitching",
    PriceRef!$C$2:$C158, $F14
  ),
  SUMIFS(
    PriceRef!$D$2:$D158,
    PriceRef!$A$2:$A158, "Suede",
    PriceRef!$C$2:$C158, $E14
  ),
  SUMIFS(
    PriceRef!$D$2:$D158,
    PriceRef!$A$2:$A158, "TwoTone",
    PriceRef!$C$2:$C158, $G14
  )
)</f>
        <v>2190</v>
      </c>
    </row>
    <row r="15">
      <c r="A15" s="60" t="s">
        <v>1474</v>
      </c>
      <c r="B15" s="61" t="s">
        <v>1475</v>
      </c>
      <c r="C15" s="61" t="s">
        <v>753</v>
      </c>
      <c r="D15" s="61" t="s">
        <v>754</v>
      </c>
      <c r="E15" s="61"/>
      <c r="F15" s="61" t="s">
        <v>751</v>
      </c>
      <c r="G15" s="61"/>
      <c r="H15" s="62" t="s">
        <v>760</v>
      </c>
      <c r="I15" s="63" t="s">
        <v>758</v>
      </c>
      <c r="J15" s="65" t="s">
        <v>745</v>
      </c>
      <c r="K15" s="66" t="str">
        <f t="shared" si="1"/>
        <v>2LZ AH2 HTM 37S</v>
      </c>
      <c r="L15" s="64">
        <f>SUM(
  SUMIFS(
    PriceRef!$D$2:$D158,
    PriceRef!$A$2:$A158, "Seat",
    PriceRef!$B$2:$B158, $B15,
    PriceRef!$C$2:$C158, $C15
  ),
  SUMIFS(
    PriceRef!$D$2:$D158,
    PriceRef!$A$2:$A158, "Stitching",
    PriceRef!$C$2:$C158, $F15
  ),
  SUMIFS(
    PriceRef!$D$2:$D158,
    PriceRef!$A$2:$A158, "Suede",
    PriceRef!$C$2:$C158, $E15
  ),
  SUMIFS(
    PriceRef!$D$2:$D158,
    PriceRef!$A$2:$A158, "TwoTone",
    PriceRef!$C$2:$C158, $G15
  )
)</f>
        <v>2190</v>
      </c>
    </row>
    <row r="16">
      <c r="A16" s="60" t="s">
        <v>1474</v>
      </c>
      <c r="B16" s="61" t="s">
        <v>1475</v>
      </c>
      <c r="C16" s="61" t="s">
        <v>726</v>
      </c>
      <c r="D16" s="61" t="s">
        <v>754</v>
      </c>
      <c r="E16" s="61"/>
      <c r="F16" s="61"/>
      <c r="G16" s="61"/>
      <c r="H16" s="62" t="s">
        <v>755</v>
      </c>
      <c r="I16" s="63" t="s">
        <v>761</v>
      </c>
      <c r="J16" s="65" t="s">
        <v>745</v>
      </c>
      <c r="K16" s="66" t="str">
        <f t="shared" si="1"/>
        <v>2LZ AE4 HTM</v>
      </c>
      <c r="L16" s="64">
        <f>SUM(
  SUMIFS(
    PriceRef!$D$2:$D158,
    PriceRef!$A$2:$A158, "Seat",
    PriceRef!$B$2:$B158, $B16,
    PriceRef!$C$2:$C158, $C16
  ),
  SUMIFS(
    PriceRef!$D$2:$D158,
    PriceRef!$A$2:$A158, "Stitching",
    PriceRef!$C$2:$C158, $F16
  ),
  SUMIFS(
    PriceRef!$D$2:$D158,
    PriceRef!$A$2:$A158, "Suede",
    PriceRef!$C$2:$C158, $E16
  ),
  SUMIFS(
    PriceRef!$D$2:$D158,
    PriceRef!$A$2:$A158, "TwoTone",
    PriceRef!$C$2:$C158, $G16
  )
)</f>
        <v>1995</v>
      </c>
    </row>
    <row r="17">
      <c r="A17" s="60" t="s">
        <v>1474</v>
      </c>
      <c r="B17" s="61" t="s">
        <v>1475</v>
      </c>
      <c r="C17" s="61" t="s">
        <v>726</v>
      </c>
      <c r="D17" s="61" t="s">
        <v>754</v>
      </c>
      <c r="E17" s="61"/>
      <c r="F17" s="61" t="s">
        <v>746</v>
      </c>
      <c r="G17" s="61"/>
      <c r="H17" s="62" t="s">
        <v>757</v>
      </c>
      <c r="I17" s="63" t="s">
        <v>762</v>
      </c>
      <c r="J17" s="65" t="s">
        <v>745</v>
      </c>
      <c r="K17" s="66" t="str">
        <f t="shared" si="1"/>
        <v>2LZ AE4 HTM 38S</v>
      </c>
      <c r="L17" s="64">
        <f>SUM(
  SUMIFS(
    PriceRef!$D$2:$D158,
    PriceRef!$A$2:$A158, "Seat",
    PriceRef!$B$2:$B158, $B17,
    PriceRef!$C$2:$C158, $C17
  ),
  SUMIFS(
    PriceRef!$D$2:$D158,
    PriceRef!$A$2:$A158, "Stitching",
    PriceRef!$C$2:$C158, $F17
  ),
  SUMIFS(
    PriceRef!$D$2:$D158,
    PriceRef!$A$2:$A158, "Suede",
    PriceRef!$C$2:$C158, $E17
  ),
  SUMIFS(
    PriceRef!$D$2:$D158,
    PriceRef!$A$2:$A158, "TwoTone",
    PriceRef!$C$2:$C158, $G17
  )
)</f>
        <v>2490</v>
      </c>
    </row>
    <row r="18">
      <c r="A18" s="60" t="s">
        <v>1474</v>
      </c>
      <c r="B18" s="61" t="s">
        <v>1475</v>
      </c>
      <c r="C18" s="61" t="s">
        <v>726</v>
      </c>
      <c r="D18" s="61" t="s">
        <v>754</v>
      </c>
      <c r="E18" s="61"/>
      <c r="F18" s="61" t="s">
        <v>749</v>
      </c>
      <c r="G18" s="61"/>
      <c r="H18" s="62" t="s">
        <v>759</v>
      </c>
      <c r="I18" s="63" t="s">
        <v>762</v>
      </c>
      <c r="J18" s="65" t="s">
        <v>745</v>
      </c>
      <c r="K18" s="66" t="str">
        <f t="shared" si="1"/>
        <v>2LZ AE4 HTM 36S</v>
      </c>
      <c r="L18" s="64">
        <f>SUM(
  SUMIFS(
    PriceRef!$D$2:$D158,
    PriceRef!$A$2:$A158, "Seat",
    PriceRef!$B$2:$B158, $B18,
    PriceRef!$C$2:$C158, $C18
  ),
  SUMIFS(
    PriceRef!$D$2:$D158,
    PriceRef!$A$2:$A158, "Stitching",
    PriceRef!$C$2:$C158, $F18
  ),
  SUMIFS(
    PriceRef!$D$2:$D158,
    PriceRef!$A$2:$A158, "Suede",
    PriceRef!$C$2:$C158, $E18
  ),
  SUMIFS(
    PriceRef!$D$2:$D158,
    PriceRef!$A$2:$A158, "TwoTone",
    PriceRef!$C$2:$C158, $G18
  )
)</f>
        <v>2490</v>
      </c>
    </row>
    <row r="19">
      <c r="A19" s="60" t="s">
        <v>1474</v>
      </c>
      <c r="B19" s="61" t="s">
        <v>1475</v>
      </c>
      <c r="C19" s="61" t="s">
        <v>726</v>
      </c>
      <c r="D19" s="61" t="s">
        <v>754</v>
      </c>
      <c r="E19" s="61"/>
      <c r="F19" s="61" t="s">
        <v>751</v>
      </c>
      <c r="G19" s="61"/>
      <c r="H19" s="62" t="s">
        <v>760</v>
      </c>
      <c r="I19" s="63" t="s">
        <v>762</v>
      </c>
      <c r="J19" s="65" t="s">
        <v>745</v>
      </c>
      <c r="K19" s="66" t="str">
        <f t="shared" si="1"/>
        <v>2LZ AE4 HTM 37S</v>
      </c>
      <c r="L19" s="64">
        <f>SUM(
  SUMIFS(
    PriceRef!$D$2:$D158,
    PriceRef!$A$2:$A158, "Seat",
    PriceRef!$B$2:$B158, $B19,
    PriceRef!$C$2:$C158, $C19
  ),
  SUMIFS(
    PriceRef!$D$2:$D158,
    PriceRef!$A$2:$A158, "Stitching",
    PriceRef!$C$2:$C158, $F19
  ),
  SUMIFS(
    PriceRef!$D$2:$D158,
    PriceRef!$A$2:$A158, "Suede",
    PriceRef!$C$2:$C158, $E19
  ),
  SUMIFS(
    PriceRef!$D$2:$D158,
    PriceRef!$A$2:$A158, "TwoTone",
    PriceRef!$C$2:$C158, $G19
  )
)</f>
        <v>2490</v>
      </c>
    </row>
    <row r="20">
      <c r="A20" s="60" t="s">
        <v>1474</v>
      </c>
      <c r="B20" s="61" t="s">
        <v>1475</v>
      </c>
      <c r="C20" s="61" t="s">
        <v>753</v>
      </c>
      <c r="D20" s="61" t="s">
        <v>763</v>
      </c>
      <c r="E20" s="61"/>
      <c r="F20" s="61"/>
      <c r="G20" s="61"/>
      <c r="H20" s="62" t="s">
        <v>764</v>
      </c>
      <c r="I20" s="63" t="s">
        <v>765</v>
      </c>
      <c r="J20" s="65" t="s">
        <v>745</v>
      </c>
      <c r="K20" s="66" t="str">
        <f t="shared" si="1"/>
        <v>2LZ AH2 HTN</v>
      </c>
      <c r="L20" s="64">
        <f>SUM(
  SUMIFS(
    PriceRef!$D$2:$D158,
    PriceRef!$A$2:$A158, "Seat",
    PriceRef!$B$2:$B158, $B20,
    PriceRef!$C$2:$C158, $C20
  ),
  SUMIFS(
    PriceRef!$D$2:$D158,
    PriceRef!$A$2:$A158, "Stitching",
    PriceRef!$C$2:$C158, $F20
  ),
  SUMIFS(
    PriceRef!$D$2:$D158,
    PriceRef!$A$2:$A158, "Suede",
    PriceRef!$C$2:$C158, $E20
  ),
  SUMIFS(
    PriceRef!$D$2:$D158,
    PriceRef!$A$2:$A158, "TwoTone",
    PriceRef!$C$2:$C158, $G20
  )
)</f>
        <v>1695</v>
      </c>
    </row>
    <row r="21">
      <c r="A21" s="60" t="s">
        <v>1474</v>
      </c>
      <c r="B21" s="61" t="s">
        <v>1475</v>
      </c>
      <c r="C21" s="61" t="s">
        <v>726</v>
      </c>
      <c r="D21" s="61" t="s">
        <v>763</v>
      </c>
      <c r="E21" s="61"/>
      <c r="F21" s="61"/>
      <c r="G21" s="61"/>
      <c r="H21" s="62" t="s">
        <v>764</v>
      </c>
      <c r="I21" s="63" t="s">
        <v>766</v>
      </c>
      <c r="J21" s="65" t="s">
        <v>745</v>
      </c>
      <c r="K21" s="66" t="str">
        <f t="shared" si="1"/>
        <v>2LZ AE4 HTN</v>
      </c>
      <c r="L21" s="64">
        <f>SUM(
  SUMIFS(
    PriceRef!$D$2:$D158,
    PriceRef!$A$2:$A158, "Seat",
    PriceRef!$B$2:$B158, $B21,
    PriceRef!$C$2:$C158, $C21
  ),
  SUMIFS(
    PriceRef!$D$2:$D158,
    PriceRef!$A$2:$A158, "Stitching",
    PriceRef!$C$2:$C158, $F21
  ),
  SUMIFS(
    PriceRef!$D$2:$D158,
    PriceRef!$A$2:$A158, "Suede",
    PriceRef!$C$2:$C158, $E21
  ),
  SUMIFS(
    PriceRef!$D$2:$D158,
    PriceRef!$A$2:$A158, "TwoTone",
    PriceRef!$C$2:$C158, $G21
  )
)</f>
        <v>1995</v>
      </c>
    </row>
    <row r="22">
      <c r="A22" s="60" t="s">
        <v>1474</v>
      </c>
      <c r="B22" s="61" t="s">
        <v>1475</v>
      </c>
      <c r="C22" s="61" t="s">
        <v>753</v>
      </c>
      <c r="D22" s="61" t="s">
        <v>763</v>
      </c>
      <c r="E22" s="61"/>
      <c r="F22" s="61"/>
      <c r="G22" s="61" t="s">
        <v>767</v>
      </c>
      <c r="H22" s="62" t="s">
        <v>768</v>
      </c>
      <c r="I22" s="63" t="s">
        <v>769</v>
      </c>
      <c r="J22" s="65" t="s">
        <v>745</v>
      </c>
      <c r="K22" s="66" t="str">
        <f t="shared" si="1"/>
        <v>2LZ AH2 HTN TU7</v>
      </c>
      <c r="L22" s="64">
        <f>SUM(
  SUMIFS(
    PriceRef!$D$2:$D158,
    PriceRef!$A$2:$A158, "Seat",
    PriceRef!$B$2:$B158, $B22,
    PriceRef!$C$2:$C158, $C22
  ),
  SUMIFS(
    PriceRef!$D$2:$D158,
    PriceRef!$A$2:$A158, "Stitching",
    PriceRef!$C$2:$C158, $F22
  ),
  SUMIFS(
    PriceRef!$D$2:$D158,
    PriceRef!$A$2:$A158, "Suede",
    PriceRef!$C$2:$C158, $E22
  ),
  SUMIFS(
    PriceRef!$D$2:$D158,
    PriceRef!$A$2:$A158, "TwoTone",
    PriceRef!$C$2:$C158, $G22
  )
)</f>
        <v>2290</v>
      </c>
    </row>
    <row r="23">
      <c r="A23" s="60" t="s">
        <v>1474</v>
      </c>
      <c r="B23" s="61" t="s">
        <v>1475</v>
      </c>
      <c r="C23" s="61" t="s">
        <v>753</v>
      </c>
      <c r="D23" s="61" t="s">
        <v>770</v>
      </c>
      <c r="E23" s="61" t="s">
        <v>728</v>
      </c>
      <c r="F23" s="61"/>
      <c r="G23" s="61"/>
      <c r="H23" s="62" t="s">
        <v>771</v>
      </c>
      <c r="I23" s="63" t="s">
        <v>772</v>
      </c>
      <c r="J23" s="65" t="s">
        <v>745</v>
      </c>
      <c r="K23" s="66" t="str">
        <f t="shared" si="1"/>
        <v>2LZ AH2 HTP N26</v>
      </c>
      <c r="L23" s="64">
        <f>SUM(
  SUMIFS(
    PriceRef!$D$2:$D158,
    PriceRef!$A$2:$A158, "Seat",
    PriceRef!$B$2:$B158, $B23,
    PriceRef!$C$2:$C158, $C23
  ),
  SUMIFS(
    PriceRef!$D$2:$D158,
    PriceRef!$A$2:$A158, "Stitching",
    PriceRef!$C$2:$C158, $F23
  ),
  SUMIFS(
    PriceRef!$D$2:$D158,
    PriceRef!$A$2:$A158, "Suede",
    PriceRef!$C$2:$C158, $E23
  ),
  SUMIFS(
    PriceRef!$D$2:$D158,
    PriceRef!$A$2:$A158, "TwoTone",
    PriceRef!$C$2:$C158, $G23
  )
)</f>
        <v>2390</v>
      </c>
    </row>
    <row r="24">
      <c r="A24" s="60" t="s">
        <v>1474</v>
      </c>
      <c r="B24" s="61" t="s">
        <v>1475</v>
      </c>
      <c r="C24" s="61" t="s">
        <v>753</v>
      </c>
      <c r="D24" s="61" t="s">
        <v>770</v>
      </c>
      <c r="E24" s="61" t="s">
        <v>728</v>
      </c>
      <c r="F24" s="61" t="s">
        <v>746</v>
      </c>
      <c r="G24" s="61"/>
      <c r="H24" s="62" t="s">
        <v>773</v>
      </c>
      <c r="I24" s="63" t="s">
        <v>772</v>
      </c>
      <c r="J24" s="65" t="s">
        <v>745</v>
      </c>
      <c r="K24" s="66" t="str">
        <f t="shared" si="1"/>
        <v>2LZ AH2 HTP 38S N26</v>
      </c>
      <c r="L24" s="64">
        <f>SUM(
  SUMIFS(
    PriceRef!$D$2:$D158,
    PriceRef!$A$2:$A158, "Seat",
    PriceRef!$B$2:$B158, $B24,
    PriceRef!$C$2:$C158, $C24
  ),
  SUMIFS(
    PriceRef!$D$2:$D158,
    PriceRef!$A$2:$A158, "Stitching",
    PriceRef!$C$2:$C158, $F24
  ),
  SUMIFS(
    PriceRef!$D$2:$D158,
    PriceRef!$A$2:$A158, "Suede",
    PriceRef!$C$2:$C158, $E24
  ),
  SUMIFS(
    PriceRef!$D$2:$D158,
    PriceRef!$A$2:$A158, "TwoTone",
    PriceRef!$C$2:$C158, $G24
  )
)</f>
        <v>2885</v>
      </c>
    </row>
    <row r="25">
      <c r="A25" s="60" t="s">
        <v>1474</v>
      </c>
      <c r="B25" s="61" t="s">
        <v>1475</v>
      </c>
      <c r="C25" s="61" t="s">
        <v>753</v>
      </c>
      <c r="D25" s="61" t="s">
        <v>770</v>
      </c>
      <c r="E25" s="61" t="s">
        <v>728</v>
      </c>
      <c r="F25" s="61" t="s">
        <v>749</v>
      </c>
      <c r="G25" s="61"/>
      <c r="H25" s="62" t="s">
        <v>774</v>
      </c>
      <c r="I25" s="63" t="s">
        <v>772</v>
      </c>
      <c r="J25" s="65" t="s">
        <v>745</v>
      </c>
      <c r="K25" s="66" t="str">
        <f t="shared" si="1"/>
        <v>2LZ AH2 HTP 36S N26</v>
      </c>
      <c r="L25" s="64">
        <f>SUM(
  SUMIFS(
    PriceRef!$D$2:$D158,
    PriceRef!$A$2:$A158, "Seat",
    PriceRef!$B$2:$B158, $B25,
    PriceRef!$C$2:$C158, $C25
  ),
  SUMIFS(
    PriceRef!$D$2:$D158,
    PriceRef!$A$2:$A158, "Stitching",
    PriceRef!$C$2:$C158, $F25
  ),
  SUMIFS(
    PriceRef!$D$2:$D158,
    PriceRef!$A$2:$A158, "Suede",
    PriceRef!$C$2:$C158, $E25
  ),
  SUMIFS(
    PriceRef!$D$2:$D158,
    PriceRef!$A$2:$A158, "TwoTone",
    PriceRef!$C$2:$C158, $G25
  )
)</f>
        <v>2885</v>
      </c>
    </row>
    <row r="26">
      <c r="A26" s="60" t="s">
        <v>1474</v>
      </c>
      <c r="B26" s="61" t="s">
        <v>1475</v>
      </c>
      <c r="C26" s="61" t="s">
        <v>753</v>
      </c>
      <c r="D26" s="61" t="s">
        <v>770</v>
      </c>
      <c r="E26" s="61" t="s">
        <v>728</v>
      </c>
      <c r="F26" s="61" t="s">
        <v>751</v>
      </c>
      <c r="G26" s="61"/>
      <c r="H26" s="62" t="s">
        <v>775</v>
      </c>
      <c r="I26" s="63" t="s">
        <v>772</v>
      </c>
      <c r="J26" s="65" t="s">
        <v>745</v>
      </c>
      <c r="K26" s="66" t="str">
        <f t="shared" si="1"/>
        <v>2LZ AH2 HTP 37S N26</v>
      </c>
      <c r="L26" s="64">
        <f>SUM(
  SUMIFS(
    PriceRef!$D$2:$D158,
    PriceRef!$A$2:$A158, "Seat",
    PriceRef!$B$2:$B158, $B26,
    PriceRef!$C$2:$C158, $C26
  ),
  SUMIFS(
    PriceRef!$D$2:$D158,
    PriceRef!$A$2:$A158, "Stitching",
    PriceRef!$C$2:$C158, $F26
  ),
  SUMIFS(
    PriceRef!$D$2:$D158,
    PriceRef!$A$2:$A158, "Suede",
    PriceRef!$C$2:$C158, $E26
  ),
  SUMIFS(
    PriceRef!$D$2:$D158,
    PriceRef!$A$2:$A158, "TwoTone",
    PriceRef!$C$2:$C158, $G26
  )
)</f>
        <v>2885</v>
      </c>
    </row>
    <row r="27">
      <c r="A27" s="60" t="s">
        <v>1474</v>
      </c>
      <c r="B27" s="61" t="s">
        <v>1475</v>
      </c>
      <c r="C27" s="61" t="s">
        <v>726</v>
      </c>
      <c r="D27" s="61" t="s">
        <v>770</v>
      </c>
      <c r="E27" s="61" t="s">
        <v>728</v>
      </c>
      <c r="F27" s="61"/>
      <c r="G27" s="61"/>
      <c r="H27" s="62" t="s">
        <v>771</v>
      </c>
      <c r="I27" s="63" t="s">
        <v>776</v>
      </c>
      <c r="J27" s="65" t="s">
        <v>745</v>
      </c>
      <c r="K27" s="66" t="str">
        <f t="shared" si="1"/>
        <v>2LZ AE4 HTP N26</v>
      </c>
      <c r="L27" s="64">
        <f>SUM(
  SUMIFS(
    PriceRef!$D$2:$D158,
    PriceRef!$A$2:$A158, "Seat",
    PriceRef!$B$2:$B158, $B27,
    PriceRef!$C$2:$C158, $C27
  ),
  SUMIFS(
    PriceRef!$D$2:$D158,
    PriceRef!$A$2:$A158, "Stitching",
    PriceRef!$C$2:$C158, $F27
  ),
  SUMIFS(
    PriceRef!$D$2:$D158,
    PriceRef!$A$2:$A158, "Suede",
    PriceRef!$C$2:$C158, $E27
  ),
  SUMIFS(
    PriceRef!$D$2:$D158,
    PriceRef!$A$2:$A158, "TwoTone",
    PriceRef!$C$2:$C158, $G27
  )
)</f>
        <v>2690</v>
      </c>
    </row>
    <row r="28">
      <c r="A28" s="60" t="s">
        <v>1474</v>
      </c>
      <c r="B28" s="61" t="s">
        <v>1475</v>
      </c>
      <c r="C28" s="61" t="s">
        <v>726</v>
      </c>
      <c r="D28" s="61" t="s">
        <v>770</v>
      </c>
      <c r="E28" s="61" t="s">
        <v>728</v>
      </c>
      <c r="F28" s="61" t="s">
        <v>746</v>
      </c>
      <c r="G28" s="61"/>
      <c r="H28" s="62" t="s">
        <v>773</v>
      </c>
      <c r="I28" s="63" t="s">
        <v>776</v>
      </c>
      <c r="J28" s="65" t="s">
        <v>745</v>
      </c>
      <c r="K28" s="66" t="str">
        <f t="shared" si="1"/>
        <v>2LZ AE4 HTP 38S N26</v>
      </c>
      <c r="L28" s="64">
        <f>SUM(
  SUMIFS(
    PriceRef!$D$2:$D158,
    PriceRef!$A$2:$A158, "Seat",
    PriceRef!$B$2:$B158, $B28,
    PriceRef!$C$2:$C158, $C28
  ),
  SUMIFS(
    PriceRef!$D$2:$D158,
    PriceRef!$A$2:$A158, "Stitching",
    PriceRef!$C$2:$C158, $F28
  ),
  SUMIFS(
    PriceRef!$D$2:$D158,
    PriceRef!$A$2:$A158, "Suede",
    PriceRef!$C$2:$C158, $E28
  ),
  SUMIFS(
    PriceRef!$D$2:$D158,
    PriceRef!$A$2:$A158, "TwoTone",
    PriceRef!$C$2:$C158, $G28
  )
)</f>
        <v>3185</v>
      </c>
    </row>
    <row r="29">
      <c r="A29" s="60" t="s">
        <v>1474</v>
      </c>
      <c r="B29" s="61" t="s">
        <v>1475</v>
      </c>
      <c r="C29" s="61" t="s">
        <v>726</v>
      </c>
      <c r="D29" s="61" t="s">
        <v>770</v>
      </c>
      <c r="E29" s="61" t="s">
        <v>728</v>
      </c>
      <c r="F29" s="61" t="s">
        <v>749</v>
      </c>
      <c r="G29" s="61"/>
      <c r="H29" s="62" t="s">
        <v>774</v>
      </c>
      <c r="I29" s="63" t="s">
        <v>776</v>
      </c>
      <c r="J29" s="65" t="s">
        <v>745</v>
      </c>
      <c r="K29" s="66" t="str">
        <f t="shared" si="1"/>
        <v>2LZ AE4 HTP 36S N26</v>
      </c>
      <c r="L29" s="64">
        <f>SUM(
  SUMIFS(
    PriceRef!$D$2:$D158,
    PriceRef!$A$2:$A158, "Seat",
    PriceRef!$B$2:$B158, $B29,
    PriceRef!$C$2:$C158, $C29
  ),
  SUMIFS(
    PriceRef!$D$2:$D158,
    PriceRef!$A$2:$A158, "Stitching",
    PriceRef!$C$2:$C158, $F29
  ),
  SUMIFS(
    PriceRef!$D$2:$D158,
    PriceRef!$A$2:$A158, "Suede",
    PriceRef!$C$2:$C158, $E29
  ),
  SUMIFS(
    PriceRef!$D$2:$D158,
    PriceRef!$A$2:$A158, "TwoTone",
    PriceRef!$C$2:$C158, $G29
  )
)</f>
        <v>3185</v>
      </c>
    </row>
    <row r="30">
      <c r="A30" s="60" t="s">
        <v>1474</v>
      </c>
      <c r="B30" s="61" t="s">
        <v>1475</v>
      </c>
      <c r="C30" s="61" t="s">
        <v>726</v>
      </c>
      <c r="D30" s="61" t="s">
        <v>770</v>
      </c>
      <c r="E30" s="61" t="s">
        <v>728</v>
      </c>
      <c r="F30" s="61" t="s">
        <v>751</v>
      </c>
      <c r="G30" s="61"/>
      <c r="H30" s="62" t="s">
        <v>775</v>
      </c>
      <c r="I30" s="63" t="s">
        <v>776</v>
      </c>
      <c r="J30" s="65" t="s">
        <v>745</v>
      </c>
      <c r="K30" s="66" t="str">
        <f t="shared" si="1"/>
        <v>2LZ AE4 HTP 37S N26</v>
      </c>
      <c r="L30" s="64">
        <f>SUM(
  SUMIFS(
    PriceRef!$D$2:$D158,
    PriceRef!$A$2:$A158, "Seat",
    PriceRef!$B$2:$B158, $B30,
    PriceRef!$C$2:$C158, $C30
  ),
  SUMIFS(
    PriceRef!$D$2:$D158,
    PriceRef!$A$2:$A158, "Stitching",
    PriceRef!$C$2:$C158, $F30
  ),
  SUMIFS(
    PriceRef!$D$2:$D158,
    PriceRef!$A$2:$A158, "Suede",
    PriceRef!$C$2:$C158, $E30
  ),
  SUMIFS(
    PriceRef!$D$2:$D158,
    PriceRef!$A$2:$A158, "TwoTone",
    PriceRef!$C$2:$C158, $G30
  )
)</f>
        <v>3185</v>
      </c>
    </row>
    <row r="31">
      <c r="A31" s="60" t="s">
        <v>1474</v>
      </c>
      <c r="B31" s="61" t="s">
        <v>1475</v>
      </c>
      <c r="C31" s="61" t="s">
        <v>753</v>
      </c>
      <c r="D31" s="61" t="s">
        <v>777</v>
      </c>
      <c r="E31" s="61" t="s">
        <v>728</v>
      </c>
      <c r="F31" s="61"/>
      <c r="G31" s="61"/>
      <c r="H31" s="62" t="s">
        <v>778</v>
      </c>
      <c r="I31" s="63" t="s">
        <v>779</v>
      </c>
      <c r="J31" s="65" t="s">
        <v>745</v>
      </c>
      <c r="K31" s="66" t="str">
        <f t="shared" si="1"/>
        <v>2LZ AH2 HTQ N26</v>
      </c>
      <c r="L31" s="64">
        <f>SUM(
  SUMIFS(
    PriceRef!$D$2:$D158,
    PriceRef!$A$2:$A158, "Seat",
    PriceRef!$B$2:$B158, $B31,
    PriceRef!$C$2:$C158, $C31
  ),
  SUMIFS(
    PriceRef!$D$2:$D158,
    PriceRef!$A$2:$A158, "Stitching",
    PriceRef!$C$2:$C158, $F31
  ),
  SUMIFS(
    PriceRef!$D$2:$D158,
    PriceRef!$A$2:$A158, "Suede",
    PriceRef!$C$2:$C158, $E31
  ),
  SUMIFS(
    PriceRef!$D$2:$D158,
    PriceRef!$A$2:$A158, "TwoTone",
    PriceRef!$C$2:$C158, $G31
  )
)</f>
        <v>2390</v>
      </c>
    </row>
    <row r="32">
      <c r="A32" s="60" t="s">
        <v>1474</v>
      </c>
      <c r="B32" s="61" t="s">
        <v>1475</v>
      </c>
      <c r="C32" s="61" t="s">
        <v>726</v>
      </c>
      <c r="D32" s="61" t="s">
        <v>777</v>
      </c>
      <c r="E32" s="61" t="s">
        <v>728</v>
      </c>
      <c r="F32" s="61"/>
      <c r="G32" s="61"/>
      <c r="H32" s="62" t="s">
        <v>778</v>
      </c>
      <c r="I32" s="63" t="s">
        <v>780</v>
      </c>
      <c r="J32" s="65" t="s">
        <v>745</v>
      </c>
      <c r="K32" s="66" t="str">
        <f t="shared" si="1"/>
        <v>2LZ AE4 HTQ N26</v>
      </c>
      <c r="L32" s="64">
        <f>SUM(
  SUMIFS(
    PriceRef!$D$2:$D158,
    PriceRef!$A$2:$A158, "Seat",
    PriceRef!$B$2:$B158, $B32,
    PriceRef!$C$2:$C158, $C32
  ),
  SUMIFS(
    PriceRef!$D$2:$D158,
    PriceRef!$A$2:$A158, "Stitching",
    PriceRef!$C$2:$C158, $F32
  ),
  SUMIFS(
    PriceRef!$D$2:$D158,
    PriceRef!$A$2:$A158, "Suede",
    PriceRef!$C$2:$C158, $E32
  ),
  SUMIFS(
    PriceRef!$D$2:$D158,
    PriceRef!$A$2:$A158, "TwoTone",
    PriceRef!$C$2:$C158, $G32
  )
)</f>
        <v>2690</v>
      </c>
    </row>
    <row r="33">
      <c r="A33" s="60" t="s">
        <v>1474</v>
      </c>
      <c r="B33" s="61" t="s">
        <v>1475</v>
      </c>
      <c r="C33" s="61" t="s">
        <v>753</v>
      </c>
      <c r="D33" s="61" t="s">
        <v>777</v>
      </c>
      <c r="E33" s="61" t="s">
        <v>728</v>
      </c>
      <c r="F33" s="61"/>
      <c r="G33" s="61" t="s">
        <v>767</v>
      </c>
      <c r="H33" s="62" t="s">
        <v>781</v>
      </c>
      <c r="I33" s="63" t="s">
        <v>782</v>
      </c>
      <c r="J33" s="65" t="s">
        <v>745</v>
      </c>
      <c r="K33" s="66" t="str">
        <f t="shared" si="1"/>
        <v>2LZ AH2 HTQ N26 TU7</v>
      </c>
      <c r="L33" s="64">
        <f>SUM(
  SUMIFS(
    PriceRef!$D$2:$D158,
    PriceRef!$A$2:$A158, "Seat",
    PriceRef!$B$2:$B158, $B33,
    PriceRef!$C$2:$C158, $C33
  ),
  SUMIFS(
    PriceRef!$D$2:$D158,
    PriceRef!$A$2:$A158, "Stitching",
    PriceRef!$C$2:$C158, $F33
  ),
  SUMIFS(
    PriceRef!$D$2:$D158,
    PriceRef!$A$2:$A158, "Suede",
    PriceRef!$C$2:$C158, $E33
  ),
  SUMIFS(
    PriceRef!$D$2:$D158,
    PriceRef!$A$2:$A158, "TwoTone",
    PriceRef!$C$2:$C158, $G33
  )
)</f>
        <v>2985</v>
      </c>
    </row>
    <row r="34">
      <c r="A34" s="60" t="s">
        <v>1474</v>
      </c>
      <c r="B34" s="61" t="s">
        <v>1475</v>
      </c>
      <c r="C34" s="61" t="s">
        <v>753</v>
      </c>
      <c r="D34" s="61" t="s">
        <v>783</v>
      </c>
      <c r="E34" s="61" t="s">
        <v>728</v>
      </c>
      <c r="F34" s="61"/>
      <c r="G34" s="61"/>
      <c r="H34" s="62" t="s">
        <v>784</v>
      </c>
      <c r="I34" s="63" t="s">
        <v>785</v>
      </c>
      <c r="J34" s="65" t="s">
        <v>745</v>
      </c>
      <c r="K34" s="66" t="str">
        <f t="shared" si="1"/>
        <v>2LZ AH2 HU6 N26</v>
      </c>
      <c r="L34" s="64">
        <f>SUM(
  SUMIFS(
    PriceRef!$D$2:$D158,
    PriceRef!$A$2:$A158, "Seat",
    PriceRef!$B$2:$B158, $B34,
    PriceRef!$C$2:$C158, $C34
  ),
  SUMIFS(
    PriceRef!$D$2:$D158,
    PriceRef!$A$2:$A158, "Stitching",
    PriceRef!$C$2:$C158, $F34
  ),
  SUMIFS(
    PriceRef!$D$2:$D158,
    PriceRef!$A$2:$A158, "Suede",
    PriceRef!$C$2:$C158, $E34
  ),
  SUMIFS(
    PriceRef!$D$2:$D158,
    PriceRef!$A$2:$A158, "TwoTone",
    PriceRef!$C$2:$C158, $G34
  )
)</f>
        <v>2390</v>
      </c>
    </row>
    <row r="35">
      <c r="A35" s="60" t="s">
        <v>1474</v>
      </c>
      <c r="B35" s="61" t="s">
        <v>1475</v>
      </c>
      <c r="C35" s="61" t="s">
        <v>726</v>
      </c>
      <c r="D35" s="61" t="s">
        <v>783</v>
      </c>
      <c r="E35" s="61" t="s">
        <v>728</v>
      </c>
      <c r="F35" s="61"/>
      <c r="G35" s="61"/>
      <c r="H35" s="62" t="s">
        <v>784</v>
      </c>
      <c r="I35" s="63" t="s">
        <v>786</v>
      </c>
      <c r="J35" s="65" t="s">
        <v>745</v>
      </c>
      <c r="K35" s="66" t="str">
        <f t="shared" si="1"/>
        <v>2LZ AE4 HU6 N26</v>
      </c>
      <c r="L35" s="64">
        <f>SUM(
  SUMIFS(
    PriceRef!$D$2:$D158,
    PriceRef!$A$2:$A158, "Seat",
    PriceRef!$B$2:$B158, $B35,
    PriceRef!$C$2:$C158, $C35
  ),
  SUMIFS(
    PriceRef!$D$2:$D158,
    PriceRef!$A$2:$A158, "Stitching",
    PriceRef!$C$2:$C158, $F35
  ),
  SUMIFS(
    PriceRef!$D$2:$D158,
    PriceRef!$A$2:$A158, "Suede",
    PriceRef!$C$2:$C158, $E35
  ),
  SUMIFS(
    PriceRef!$D$2:$D158,
    PriceRef!$A$2:$A158, "TwoTone",
    PriceRef!$C$2:$C158, $G35
  )
)</f>
        <v>2690</v>
      </c>
    </row>
    <row r="36">
      <c r="A36" s="60" t="s">
        <v>1474</v>
      </c>
      <c r="B36" s="61" t="s">
        <v>1475</v>
      </c>
      <c r="C36" s="61" t="s">
        <v>753</v>
      </c>
      <c r="D36" s="61" t="s">
        <v>783</v>
      </c>
      <c r="E36" s="61" t="s">
        <v>728</v>
      </c>
      <c r="F36" s="61"/>
      <c r="G36" s="61" t="s">
        <v>767</v>
      </c>
      <c r="H36" s="62" t="s">
        <v>787</v>
      </c>
      <c r="I36" s="63" t="s">
        <v>788</v>
      </c>
      <c r="J36" s="65" t="s">
        <v>745</v>
      </c>
      <c r="K36" s="66" t="str">
        <f t="shared" si="1"/>
        <v>2LZ AH2 HU6 N26 TU7</v>
      </c>
      <c r="L36" s="64">
        <f>SUM(
  SUMIFS(
    PriceRef!$D$2:$D158,
    PriceRef!$A$2:$A158, "Seat",
    PriceRef!$B$2:$B158, $B36,
    PriceRef!$C$2:$C158, $C36
  ),
  SUMIFS(
    PriceRef!$D$2:$D158,
    PriceRef!$A$2:$A158, "Stitching",
    PriceRef!$C$2:$C158, $F36
  ),
  SUMIFS(
    PriceRef!$D$2:$D158,
    PriceRef!$A$2:$A158, "Suede",
    PriceRef!$C$2:$C158, $E36
  ),
  SUMIFS(
    PriceRef!$D$2:$D158,
    PriceRef!$A$2:$A158, "TwoTone",
    PriceRef!$C$2:$C158, $G36
  )
)</f>
        <v>2985</v>
      </c>
    </row>
    <row r="37">
      <c r="A37" s="60" t="s">
        <v>1474</v>
      </c>
      <c r="B37" s="61" t="s">
        <v>1475</v>
      </c>
      <c r="C37" s="61" t="s">
        <v>726</v>
      </c>
      <c r="D37" s="61" t="s">
        <v>789</v>
      </c>
      <c r="E37" s="61" t="s">
        <v>728</v>
      </c>
      <c r="F37" s="61"/>
      <c r="G37" s="61"/>
      <c r="H37" s="62" t="s">
        <v>790</v>
      </c>
      <c r="I37" s="63" t="s">
        <v>791</v>
      </c>
      <c r="J37" s="65" t="s">
        <v>745</v>
      </c>
      <c r="K37" s="66" t="str">
        <f t="shared" si="1"/>
        <v>2LZ AE4 HU7 N26</v>
      </c>
      <c r="L37" s="64">
        <f>SUM(
  SUMIFS(
    PriceRef!$D$2:$D158,
    PriceRef!$A$2:$A158, "Seat",
    PriceRef!$B$2:$B158, $B37,
    PriceRef!$C$2:$C158, $C37
  ),
  SUMIFS(
    PriceRef!$D$2:$D158,
    PriceRef!$A$2:$A158, "Stitching",
    PriceRef!$C$2:$C158, $F37
  ),
  SUMIFS(
    PriceRef!$D$2:$D158,
    PriceRef!$A$2:$A158, "Suede",
    PriceRef!$C$2:$C158, $E37
  ),
  SUMIFS(
    PriceRef!$D$2:$D158,
    PriceRef!$A$2:$A158, "TwoTone",
    PriceRef!$C$2:$C158, $G37
  )
)</f>
        <v>2690</v>
      </c>
    </row>
    <row r="38">
      <c r="A38" s="60" t="s">
        <v>1474</v>
      </c>
      <c r="B38" s="61" t="s">
        <v>1475</v>
      </c>
      <c r="C38" s="61" t="s">
        <v>753</v>
      </c>
      <c r="D38" s="61" t="s">
        <v>789</v>
      </c>
      <c r="E38" s="61" t="s">
        <v>728</v>
      </c>
      <c r="F38" s="61"/>
      <c r="G38" s="61" t="s">
        <v>767</v>
      </c>
      <c r="H38" s="62" t="s">
        <v>792</v>
      </c>
      <c r="I38" s="63" t="s">
        <v>793</v>
      </c>
      <c r="J38" s="65" t="s">
        <v>745</v>
      </c>
      <c r="K38" s="66" t="str">
        <f t="shared" si="1"/>
        <v>2LZ AH2 HU7 N26 TU7</v>
      </c>
      <c r="L38" s="64">
        <f>SUM(
  SUMIFS(
    PriceRef!$D$2:$D158,
    PriceRef!$A$2:$A158, "Seat",
    PriceRef!$B$2:$B158, $B38,
    PriceRef!$C$2:$C158, $C38
  ),
  SUMIFS(
    PriceRef!$D$2:$D158,
    PriceRef!$A$2:$A158, "Stitching",
    PriceRef!$C$2:$C158, $F38
  ),
  SUMIFS(
    PriceRef!$D$2:$D158,
    PriceRef!$A$2:$A158, "Suede",
    PriceRef!$C$2:$C158, $E38
  ),
  SUMIFS(
    PriceRef!$D$2:$D158,
    PriceRef!$A$2:$A158, "TwoTone",
    PriceRef!$C$2:$C158, $G38
  )
)</f>
        <v>2985</v>
      </c>
    </row>
    <row r="39">
      <c r="A39" s="60" t="s">
        <v>1474</v>
      </c>
      <c r="B39" s="61" t="s">
        <v>1475</v>
      </c>
      <c r="C39" s="61" t="s">
        <v>753</v>
      </c>
      <c r="D39" s="61" t="s">
        <v>794</v>
      </c>
      <c r="E39" s="61"/>
      <c r="F39" s="61"/>
      <c r="G39" s="61"/>
      <c r="H39" s="62" t="s">
        <v>795</v>
      </c>
      <c r="I39" s="63" t="s">
        <v>765</v>
      </c>
      <c r="J39" s="65" t="s">
        <v>745</v>
      </c>
      <c r="K39" s="66" t="str">
        <f t="shared" si="1"/>
        <v>2LZ AH2 HUK</v>
      </c>
      <c r="L39" s="64">
        <f>SUM(
  SUMIFS(
    PriceRef!$D$2:$D158,
    PriceRef!$A$2:$A158, "Seat",
    PriceRef!$B$2:$B158, $B39,
    PriceRef!$C$2:$C158, $C39
  ),
  SUMIFS(
    PriceRef!$D$2:$D158,
    PriceRef!$A$2:$A158, "Stitching",
    PriceRef!$C$2:$C158, $F39
  ),
  SUMIFS(
    PriceRef!$D$2:$D158,
    PriceRef!$A$2:$A158, "Suede",
    PriceRef!$C$2:$C158, $E39
  ),
  SUMIFS(
    PriceRef!$D$2:$D158,
    PriceRef!$A$2:$A158, "TwoTone",
    PriceRef!$C$2:$C158, $G39
  )
)</f>
        <v>1695</v>
      </c>
    </row>
    <row r="40">
      <c r="A40" s="60" t="s">
        <v>1474</v>
      </c>
      <c r="B40" s="61" t="s">
        <v>1475</v>
      </c>
      <c r="C40" s="61" t="s">
        <v>726</v>
      </c>
      <c r="D40" s="61" t="s">
        <v>794</v>
      </c>
      <c r="E40" s="61"/>
      <c r="F40" s="61"/>
      <c r="G40" s="61"/>
      <c r="H40" s="62" t="s">
        <v>795</v>
      </c>
      <c r="I40" s="63" t="s">
        <v>796</v>
      </c>
      <c r="J40" s="65" t="s">
        <v>745</v>
      </c>
      <c r="K40" s="66" t="str">
        <f t="shared" si="1"/>
        <v>2LZ AE4 HUK</v>
      </c>
      <c r="L40" s="64">
        <f>SUM(
  SUMIFS(
    PriceRef!$D$2:$D158,
    PriceRef!$A$2:$A158, "Seat",
    PriceRef!$B$2:$B158, $B40,
    PriceRef!$C$2:$C158, $C40
  ),
  SUMIFS(
    PriceRef!$D$2:$D158,
    PriceRef!$A$2:$A158, "Stitching",
    PriceRef!$C$2:$C158, $F40
  ),
  SUMIFS(
    PriceRef!$D$2:$D158,
    PriceRef!$A$2:$A158, "Suede",
    PriceRef!$C$2:$C158, $E40
  ),
  SUMIFS(
    PriceRef!$D$2:$D158,
    PriceRef!$A$2:$A158, "TwoTone",
    PriceRef!$C$2:$C158, $G40
  )
)</f>
        <v>1995</v>
      </c>
    </row>
    <row r="41">
      <c r="A41" s="60" t="s">
        <v>1474</v>
      </c>
      <c r="B41" s="61" t="s">
        <v>1475</v>
      </c>
      <c r="C41" s="61" t="s">
        <v>753</v>
      </c>
      <c r="D41" s="61" t="s">
        <v>794</v>
      </c>
      <c r="E41" s="61"/>
      <c r="F41" s="61"/>
      <c r="G41" s="61" t="s">
        <v>767</v>
      </c>
      <c r="H41" s="62" t="s">
        <v>797</v>
      </c>
      <c r="I41" s="63" t="s">
        <v>798</v>
      </c>
      <c r="J41" s="65" t="s">
        <v>745</v>
      </c>
      <c r="K41" s="66" t="str">
        <f t="shared" si="1"/>
        <v>2LZ AH2 HUK TU7</v>
      </c>
      <c r="L41" s="64">
        <f>SUM(
  SUMIFS(
    PriceRef!$D$2:$D158,
    PriceRef!$A$2:$A158, "Seat",
    PriceRef!$B$2:$B158, $B41,
    PriceRef!$C$2:$C158, $C41
  ),
  SUMIFS(
    PriceRef!$D$2:$D158,
    PriceRef!$A$2:$A158, "Stitching",
    PriceRef!$C$2:$C158, $F41
  ),
  SUMIFS(
    PriceRef!$D$2:$D158,
    PriceRef!$A$2:$A158, "Suede",
    PriceRef!$C$2:$C158, $E41
  ),
  SUMIFS(
    PriceRef!$D$2:$D158,
    PriceRef!$A$2:$A158, "TwoTone",
    PriceRef!$C$2:$C158, $G41
  )
)</f>
        <v>2290</v>
      </c>
    </row>
    <row r="42">
      <c r="A42" s="60" t="s">
        <v>1474</v>
      </c>
      <c r="B42" s="61" t="s">
        <v>1475</v>
      </c>
      <c r="C42" s="61" t="s">
        <v>753</v>
      </c>
      <c r="D42" s="61" t="s">
        <v>799</v>
      </c>
      <c r="E42" s="61"/>
      <c r="F42" s="61"/>
      <c r="G42" s="61"/>
      <c r="H42" s="62" t="s">
        <v>800</v>
      </c>
      <c r="I42" s="63" t="s">
        <v>765</v>
      </c>
      <c r="J42" s="65" t="s">
        <v>745</v>
      </c>
      <c r="K42" s="66" t="str">
        <f t="shared" si="1"/>
        <v>2LZ AH2 HUL</v>
      </c>
      <c r="L42" s="64">
        <f>SUM(
  SUMIFS(
    PriceRef!$D$2:$D158,
    PriceRef!$A$2:$A158, "Seat",
    PriceRef!$B$2:$B158, $B42,
    PriceRef!$C$2:$C158, $C42
  ),
  SUMIFS(
    PriceRef!$D$2:$D158,
    PriceRef!$A$2:$A158, "Stitching",
    PriceRef!$C$2:$C158, $F42
  ),
  SUMIFS(
    PriceRef!$D$2:$D158,
    PriceRef!$A$2:$A158, "Suede",
    PriceRef!$C$2:$C158, $E42
  ),
  SUMIFS(
    PriceRef!$D$2:$D158,
    PriceRef!$A$2:$A158, "TwoTone",
    PriceRef!$C$2:$C158, $G42
  )
)</f>
        <v>1695</v>
      </c>
    </row>
    <row r="43">
      <c r="A43" s="60" t="s">
        <v>1474</v>
      </c>
      <c r="B43" s="61" t="s">
        <v>1475</v>
      </c>
      <c r="C43" s="61" t="s">
        <v>726</v>
      </c>
      <c r="D43" s="61" t="s">
        <v>799</v>
      </c>
      <c r="E43" s="61"/>
      <c r="F43" s="61"/>
      <c r="G43" s="61"/>
      <c r="H43" s="62" t="s">
        <v>800</v>
      </c>
      <c r="I43" s="63" t="s">
        <v>766</v>
      </c>
      <c r="J43" s="65" t="s">
        <v>745</v>
      </c>
      <c r="K43" s="66" t="str">
        <f t="shared" si="1"/>
        <v>2LZ AE4 HUL</v>
      </c>
      <c r="L43" s="64">
        <f>SUM(
  SUMIFS(
    PriceRef!$D$2:$D158,
    PriceRef!$A$2:$A158, "Seat",
    PriceRef!$B$2:$B158, $B43,
    PriceRef!$C$2:$C158, $C43
  ),
  SUMIFS(
    PriceRef!$D$2:$D158,
    PriceRef!$A$2:$A158, "Stitching",
    PriceRef!$C$2:$C158, $F43
  ),
  SUMIFS(
    PriceRef!$D$2:$D158,
    PriceRef!$A$2:$A158, "Suede",
    PriceRef!$C$2:$C158, $E43
  ),
  SUMIFS(
    PriceRef!$D$2:$D158,
    PriceRef!$A$2:$A158, "TwoTone",
    PriceRef!$C$2:$C158, $G43
  )
)</f>
        <v>1995</v>
      </c>
    </row>
    <row r="44">
      <c r="A44" s="60" t="s">
        <v>1474</v>
      </c>
      <c r="B44" s="61" t="s">
        <v>1475</v>
      </c>
      <c r="C44" s="61" t="s">
        <v>753</v>
      </c>
      <c r="D44" s="61" t="s">
        <v>799</v>
      </c>
      <c r="E44" s="61"/>
      <c r="F44" s="61"/>
      <c r="G44" s="61" t="s">
        <v>767</v>
      </c>
      <c r="H44" s="62" t="s">
        <v>801</v>
      </c>
      <c r="I44" s="63" t="s">
        <v>769</v>
      </c>
      <c r="J44" s="65" t="s">
        <v>745</v>
      </c>
      <c r="K44" s="66" t="str">
        <f t="shared" si="1"/>
        <v>2LZ AH2 HUL TU7</v>
      </c>
      <c r="L44" s="64">
        <f>SUM(
  SUMIFS(
    PriceRef!$D$2:$D158,
    PriceRef!$A$2:$A158, "Seat",
    PriceRef!$B$2:$B158, $B44,
    PriceRef!$C$2:$C158, $C44
  ),
  SUMIFS(
    PriceRef!$D$2:$D158,
    PriceRef!$A$2:$A158, "Stitching",
    PriceRef!$C$2:$C158, $F44
  ),
  SUMIFS(
    PriceRef!$D$2:$D158,
    PriceRef!$A$2:$A158, "Suede",
    PriceRef!$C$2:$C158, $E44
  ),
  SUMIFS(
    PriceRef!$D$2:$D158,
    PriceRef!$A$2:$A158, "TwoTone",
    PriceRef!$C$2:$C158, $G44
  )
)</f>
        <v>2290</v>
      </c>
    </row>
    <row r="45">
      <c r="A45" s="60" t="s">
        <v>1474</v>
      </c>
      <c r="B45" s="61" t="s">
        <v>1475</v>
      </c>
      <c r="C45" s="61" t="s">
        <v>721</v>
      </c>
      <c r="D45" s="61" t="s">
        <v>802</v>
      </c>
      <c r="E45" s="61"/>
      <c r="F45" s="61"/>
      <c r="G45" s="61"/>
      <c r="H45" s="62" t="s">
        <v>732</v>
      </c>
      <c r="I45" s="63" t="s">
        <v>803</v>
      </c>
      <c r="J45" s="65" t="s">
        <v>745</v>
      </c>
      <c r="K45" s="66" t="str">
        <f t="shared" si="1"/>
        <v>2LZ AQ9 HUN</v>
      </c>
      <c r="L45" s="64">
        <f>SUM(
  SUMIFS(
    PriceRef!$D$2:$D158,
    PriceRef!$A$2:$A158, "Seat",
    PriceRef!$B$2:$B158, $B45,
    PriceRef!$C$2:$C158, $C45
  ),
  SUMIFS(
    PriceRef!$D$2:$D158,
    PriceRef!$A$2:$A158, "Stitching",
    PriceRef!$C$2:$C158, $F45
  ),
  SUMIFS(
    PriceRef!$D$2:$D158,
    PriceRef!$A$2:$A158, "Suede",
    PriceRef!$C$2:$C158, $E45
  ),
  SUMIFS(
    PriceRef!$D$2:$D158,
    PriceRef!$A$2:$A158, "TwoTone",
    PriceRef!$C$2:$C158, $G45
  )
)</f>
        <v>0</v>
      </c>
    </row>
    <row r="46">
      <c r="A46" s="60" t="s">
        <v>1474</v>
      </c>
      <c r="B46" s="61" t="s">
        <v>1475</v>
      </c>
      <c r="C46" s="61" t="s">
        <v>721</v>
      </c>
      <c r="D46" s="61" t="s">
        <v>804</v>
      </c>
      <c r="E46" s="61"/>
      <c r="F46" s="61"/>
      <c r="G46" s="61"/>
      <c r="H46" s="62" t="s">
        <v>735</v>
      </c>
      <c r="I46" s="63" t="s">
        <v>803</v>
      </c>
      <c r="J46" s="65" t="s">
        <v>745</v>
      </c>
      <c r="K46" s="66" t="str">
        <f t="shared" si="1"/>
        <v>2LZ AQ9 HUR</v>
      </c>
      <c r="L46" s="64">
        <f>SUM(
  SUMIFS(
    PriceRef!$D$2:$D158,
    PriceRef!$A$2:$A158, "Seat",
    PriceRef!$B$2:$B158, $B46,
    PriceRef!$C$2:$C158, $C46
  ),
  SUMIFS(
    PriceRef!$D$2:$D158,
    PriceRef!$A$2:$A158, "Stitching",
    PriceRef!$C$2:$C158, $F46
  ),
  SUMIFS(
    PriceRef!$D$2:$D158,
    PriceRef!$A$2:$A158, "Suede",
    PriceRef!$C$2:$C158, $E46
  ),
  SUMIFS(
    PriceRef!$D$2:$D158,
    PriceRef!$A$2:$A158, "TwoTone",
    PriceRef!$C$2:$C158, $G46
  )
)</f>
        <v>0</v>
      </c>
    </row>
    <row r="47">
      <c r="A47" s="60" t="s">
        <v>1474</v>
      </c>
      <c r="B47" s="61" t="s">
        <v>1475</v>
      </c>
      <c r="C47" s="61" t="s">
        <v>721</v>
      </c>
      <c r="D47" s="61" t="s">
        <v>805</v>
      </c>
      <c r="E47" s="61"/>
      <c r="F47" s="61"/>
      <c r="G47" s="61"/>
      <c r="H47" s="62" t="s">
        <v>806</v>
      </c>
      <c r="I47" s="63" t="s">
        <v>803</v>
      </c>
      <c r="J47" s="65" t="s">
        <v>745</v>
      </c>
      <c r="K47" s="66" t="str">
        <f t="shared" si="1"/>
        <v>2LZ AQ9 HUV</v>
      </c>
      <c r="L47" s="64">
        <f>SUM(
  SUMIFS(
    PriceRef!$D$2:$D158,
    PriceRef!$A$2:$A158, "Seat",
    PriceRef!$B$2:$B158, $B47,
    PriceRef!$C$2:$C158, $C47
  ),
  SUMIFS(
    PriceRef!$D$2:$D158,
    PriceRef!$A$2:$A158, "Stitching",
    PriceRef!$C$2:$C158, $F47
  ),
  SUMIFS(
    PriceRef!$D$2:$D158,
    PriceRef!$A$2:$A158, "Suede",
    PriceRef!$C$2:$C158, $E47
  ),
  SUMIFS(
    PriceRef!$D$2:$D158,
    PriceRef!$A$2:$A158, "TwoTone",
    PriceRef!$C$2:$C158, $G47
  )
)</f>
        <v>0</v>
      </c>
    </row>
    <row r="48">
      <c r="A48" s="60" t="s">
        <v>1476</v>
      </c>
      <c r="B48" s="61" t="s">
        <v>1475</v>
      </c>
      <c r="C48" s="61" t="s">
        <v>726</v>
      </c>
      <c r="D48" s="61" t="s">
        <v>726</v>
      </c>
      <c r="E48" s="61"/>
      <c r="F48" s="61"/>
      <c r="G48" s="61"/>
      <c r="H48" s="62" t="s">
        <v>807</v>
      </c>
      <c r="I48" s="63" t="s">
        <v>808</v>
      </c>
      <c r="J48" s="65" t="s">
        <v>809</v>
      </c>
      <c r="K48" s="66" t="str">
        <f t="shared" si="1"/>
        <v>2LZ AE4 AE4</v>
      </c>
      <c r="L48" s="64">
        <f>SUM(
  SUMIFS(
    PriceRef!$D$2:$D158,
    PriceRef!$A$2:$A158, "Seat",
    PriceRef!$B$2:$B158, $B48,
    PriceRef!$C$2:$C158, $C48
  ),
  SUMIFS(
    PriceRef!$D$2:$D158,
    PriceRef!$A$2:$A158, "Stitching",
    PriceRef!$C$2:$C158, $F48
  ),
  SUMIFS(
    PriceRef!$D$2:$D158,
    PriceRef!$A$2:$A158, "Suede",
    PriceRef!$C$2:$C158, $E48
  ),
  SUMIFS(
    PriceRef!$D$2:$D158,
    PriceRef!$A$2:$A158, "TwoTone",
    PriceRef!$C$2:$C158, $G48
  )
)</f>
        <v>1995</v>
      </c>
    </row>
    <row r="49">
      <c r="A49" s="60" t="s">
        <v>1476</v>
      </c>
      <c r="B49" s="61" t="s">
        <v>1475</v>
      </c>
      <c r="C49" s="61" t="s">
        <v>753</v>
      </c>
      <c r="D49" s="61" t="s">
        <v>753</v>
      </c>
      <c r="E49" s="61"/>
      <c r="F49" s="61"/>
      <c r="G49" s="61"/>
      <c r="H49" s="62" t="s">
        <v>810</v>
      </c>
      <c r="I49" s="63" t="s">
        <v>811</v>
      </c>
      <c r="J49" s="65" t="s">
        <v>809</v>
      </c>
      <c r="K49" s="66" t="str">
        <f t="shared" si="1"/>
        <v>2LZ AH2 AH2</v>
      </c>
      <c r="L49" s="64">
        <f>SUM(
  SUMIFS(
    PriceRef!$D$2:$D158,
    PriceRef!$A$2:$A158, "Seat",
    PriceRef!$B$2:$B158, $B49,
    PriceRef!$C$2:$C158, $C49
  ),
  SUMIFS(
    PriceRef!$D$2:$D158,
    PriceRef!$A$2:$A158, "Stitching",
    PriceRef!$C$2:$C158, $F49
  ),
  SUMIFS(
    PriceRef!$D$2:$D158,
    PriceRef!$A$2:$A158, "Suede",
    PriceRef!$C$2:$C158, $E49
  ),
  SUMIFS(
    PriceRef!$D$2:$D158,
    PriceRef!$A$2:$A158, "TwoTone",
    PriceRef!$C$2:$C158, $G49
  )
)</f>
        <v>1695</v>
      </c>
    </row>
    <row r="50">
      <c r="A50" s="60" t="s">
        <v>1476</v>
      </c>
      <c r="B50" s="61" t="s">
        <v>1475</v>
      </c>
      <c r="C50" s="61" t="s">
        <v>721</v>
      </c>
      <c r="D50" s="61" t="s">
        <v>721</v>
      </c>
      <c r="E50" s="61"/>
      <c r="F50" s="61"/>
      <c r="G50" s="61"/>
      <c r="H50" s="62" t="s">
        <v>739</v>
      </c>
      <c r="I50" s="63" t="s">
        <v>740</v>
      </c>
      <c r="J50" s="65" t="s">
        <v>809</v>
      </c>
      <c r="K50" s="66" t="str">
        <f t="shared" si="1"/>
        <v>2LZ AQ9 AQ9</v>
      </c>
      <c r="L50" s="64">
        <f>SUM(
  SUMIFS(
    PriceRef!$D$2:$D158,
    PriceRef!$A$2:$A158, "Seat",
    PriceRef!$B$2:$B158, $B50,
    PriceRef!$C$2:$C158, $C50
  ),
  SUMIFS(
    PriceRef!$D$2:$D158,
    PriceRef!$A$2:$A158, "Stitching",
    PriceRef!$C$2:$C158, $F50
  ),
  SUMIFS(
    PriceRef!$D$2:$D158,
    PriceRef!$A$2:$A158, "Suede",
    PriceRef!$C$2:$C158, $E50
  ),
  SUMIFS(
    PriceRef!$D$2:$D158,
    PriceRef!$A$2:$A158, "TwoTone",
    PriceRef!$C$2:$C158, $G50
  )
)</f>
        <v>0</v>
      </c>
    </row>
    <row r="51">
      <c r="A51" s="60" t="s">
        <v>1477</v>
      </c>
      <c r="B51" s="61" t="s">
        <v>1478</v>
      </c>
      <c r="C51" s="61" t="s">
        <v>753</v>
      </c>
      <c r="D51" s="61" t="s">
        <v>814</v>
      </c>
      <c r="E51" s="61"/>
      <c r="F51" s="61"/>
      <c r="G51" s="61"/>
      <c r="H51" s="62" t="s">
        <v>815</v>
      </c>
      <c r="I51" s="63" t="s">
        <v>816</v>
      </c>
      <c r="J51" s="65" t="s">
        <v>817</v>
      </c>
      <c r="K51" s="66" t="str">
        <f t="shared" si="1"/>
        <v>3LZ AH2 HNK</v>
      </c>
      <c r="L51" s="64">
        <f>SUM(
  SUMIFS(
    PriceRef!$D$2:$D158,
    PriceRef!$A$2:$A158, "Seat",
    PriceRef!$B$2:$B158, $B51,
    PriceRef!$C$2:$C158, $C51
  ),
  SUMIFS(
    PriceRef!$D$2:$D158,
    PriceRef!$A$2:$A158, "Stitching",
    PriceRef!$C$2:$C158, $F51
  ),
  SUMIFS(
    PriceRef!$D$2:$D158,
    PriceRef!$A$2:$A158, "Suede",
    PriceRef!$C$2:$C158, $E51
  ),
  SUMIFS(
    PriceRef!$D$2:$D158,
    PriceRef!$A$2:$A158, "TwoTone",
    PriceRef!$C$2:$C158, $G51
  )
)</f>
        <v>0</v>
      </c>
    </row>
    <row r="52">
      <c r="A52" s="60" t="s">
        <v>1477</v>
      </c>
      <c r="B52" s="61" t="s">
        <v>1478</v>
      </c>
      <c r="C52" s="61" t="s">
        <v>726</v>
      </c>
      <c r="D52" s="61" t="s">
        <v>814</v>
      </c>
      <c r="E52" s="61"/>
      <c r="F52" s="61"/>
      <c r="G52" s="61"/>
      <c r="H52" s="62" t="s">
        <v>815</v>
      </c>
      <c r="I52" s="63" t="s">
        <v>818</v>
      </c>
      <c r="J52" s="65" t="s">
        <v>817</v>
      </c>
      <c r="K52" s="66" t="str">
        <f t="shared" si="1"/>
        <v>3LZ AE4 HNK</v>
      </c>
      <c r="L52" s="64">
        <f>SUM(
  SUMIFS(
    PriceRef!$D$2:$D158,
    PriceRef!$A$2:$A158, "Seat",
    PriceRef!$B$2:$B158, $B52,
    PriceRef!$C$2:$C158, $C52
  ),
  SUMIFS(
    PriceRef!$D$2:$D158,
    PriceRef!$A$2:$A158, "Stitching",
    PriceRef!$C$2:$C158, $F52
  ),
  SUMIFS(
    PriceRef!$D$2:$D158,
    PriceRef!$A$2:$A158, "Suede",
    PriceRef!$C$2:$C158, $E52
  ),
  SUMIFS(
    PriceRef!$D$2:$D158,
    PriceRef!$A$2:$A158, "TwoTone",
    PriceRef!$C$2:$C158, $G52
  )
)</f>
        <v>500</v>
      </c>
    </row>
    <row r="53">
      <c r="A53" s="60" t="s">
        <v>1477</v>
      </c>
      <c r="B53" s="61" t="s">
        <v>1478</v>
      </c>
      <c r="C53" s="61" t="s">
        <v>753</v>
      </c>
      <c r="D53" s="61" t="s">
        <v>819</v>
      </c>
      <c r="E53" s="61"/>
      <c r="F53" s="61"/>
      <c r="G53" s="61"/>
      <c r="H53" s="62" t="s">
        <v>820</v>
      </c>
      <c r="I53" s="63" t="s">
        <v>821</v>
      </c>
      <c r="J53" s="65" t="s">
        <v>817</v>
      </c>
      <c r="K53" s="66" t="str">
        <f t="shared" si="1"/>
        <v>3LZ AH2 HVZ</v>
      </c>
      <c r="L53" s="64">
        <f>SUM(
  SUMIFS(
    PriceRef!$D$2:$D158,
    PriceRef!$A$2:$A158, "Seat",
    PriceRef!$B$2:$B158, $B53,
    PriceRef!$C$2:$C158, $C53
  ),
  SUMIFS(
    PriceRef!$D$2:$D158,
    PriceRef!$A$2:$A158, "Stitching",
    PriceRef!$C$2:$C158, $F53
  ),
  SUMIFS(
    PriceRef!$D$2:$D158,
    PriceRef!$A$2:$A158, "Suede",
    PriceRef!$C$2:$C158, $E53
  ),
  SUMIFS(
    PriceRef!$D$2:$D158,
    PriceRef!$A$2:$A158, "TwoTone",
    PriceRef!$C$2:$C158, $G53
  )
)</f>
        <v>0</v>
      </c>
    </row>
    <row r="54">
      <c r="A54" s="60" t="s">
        <v>1477</v>
      </c>
      <c r="B54" s="61" t="s">
        <v>1478</v>
      </c>
      <c r="C54" s="61" t="s">
        <v>726</v>
      </c>
      <c r="D54" s="61" t="s">
        <v>819</v>
      </c>
      <c r="E54" s="61"/>
      <c r="F54" s="61"/>
      <c r="G54" s="61"/>
      <c r="H54" s="62" t="s">
        <v>820</v>
      </c>
      <c r="I54" s="63" t="s">
        <v>821</v>
      </c>
      <c r="J54" s="65" t="s">
        <v>817</v>
      </c>
      <c r="K54" s="66" t="str">
        <f t="shared" si="1"/>
        <v>3LZ AE4 HVZ</v>
      </c>
      <c r="L54" s="64">
        <f>SUM(
  SUMIFS(
    PriceRef!$D$2:$D158,
    PriceRef!$A$2:$A158, "Seat",
    PriceRef!$B$2:$B158, $B54,
    PriceRef!$C$2:$C158, $C54
  ),
  SUMIFS(
    PriceRef!$D$2:$D158,
    PriceRef!$A$2:$A158, "Stitching",
    PriceRef!$C$2:$C158, $F54
  ),
  SUMIFS(
    PriceRef!$D$2:$D158,
    PriceRef!$A$2:$A158, "Suede",
    PriceRef!$C$2:$C158, $E54
  ),
  SUMIFS(
    PriceRef!$D$2:$D158,
    PriceRef!$A$2:$A158, "TwoTone",
    PriceRef!$C$2:$C158, $G54
  )
)</f>
        <v>500</v>
      </c>
    </row>
    <row r="55">
      <c r="A55" s="60" t="s">
        <v>1477</v>
      </c>
      <c r="B55" s="61" t="s">
        <v>1478</v>
      </c>
      <c r="C55" s="61" t="s">
        <v>822</v>
      </c>
      <c r="D55" s="61" t="s">
        <v>819</v>
      </c>
      <c r="E55" s="61"/>
      <c r="F55" s="61"/>
      <c r="G55" s="61"/>
      <c r="H55" s="62" t="s">
        <v>820</v>
      </c>
      <c r="I55" s="63" t="s">
        <v>823</v>
      </c>
      <c r="J55" s="65" t="s">
        <v>817</v>
      </c>
      <c r="K55" s="66" t="str">
        <f t="shared" si="1"/>
        <v>3LZ AUP HVZ</v>
      </c>
      <c r="L55" s="64">
        <f>SUM(
  SUMIFS(
    PriceRef!$D$2:$D158,
    PriceRef!$A$2:$A158, "Seat",
    PriceRef!$B$2:$B158, $B55,
    PriceRef!$C$2:$C158, $C55
  ),
  SUMIFS(
    PriceRef!$D$2:$D158,
    PriceRef!$A$2:$A158, "Stitching",
    PriceRef!$C$2:$C158, $F55
  ),
  SUMIFS(
    PriceRef!$D$2:$D158,
    PriceRef!$A$2:$A158, "Suede",
    PriceRef!$C$2:$C158, $E55
  ),
  SUMIFS(
    PriceRef!$D$2:$D158,
    PriceRef!$A$2:$A158, "TwoTone",
    PriceRef!$C$2:$C158, $G55
  )
)</f>
        <v>250</v>
      </c>
    </row>
    <row r="56">
      <c r="A56" s="60" t="s">
        <v>1477</v>
      </c>
      <c r="B56" s="61" t="s">
        <v>1478</v>
      </c>
      <c r="C56" s="61" t="s">
        <v>753</v>
      </c>
      <c r="D56" s="61" t="s">
        <v>824</v>
      </c>
      <c r="E56" s="61"/>
      <c r="F56" s="61"/>
      <c r="G56" s="61"/>
      <c r="H56" s="62" t="s">
        <v>755</v>
      </c>
      <c r="I56" s="63" t="s">
        <v>825</v>
      </c>
      <c r="J56" s="65" t="s">
        <v>817</v>
      </c>
      <c r="K56" s="66" t="str">
        <f t="shared" si="1"/>
        <v>3LZ AH2 HTE</v>
      </c>
      <c r="L56" s="64">
        <f>SUM(
  SUMIFS(
    PriceRef!$D$2:$D158,
    PriceRef!$A$2:$A158, "Seat",
    PriceRef!$B$2:$B158, $B56,
    PriceRef!$C$2:$C158, $C56
  ),
  SUMIFS(
    PriceRef!$D$2:$D158,
    PriceRef!$A$2:$A158, "Stitching",
    PriceRef!$C$2:$C158, $F56
  ),
  SUMIFS(
    PriceRef!$D$2:$D158,
    PriceRef!$A$2:$A158, "Suede",
    PriceRef!$C$2:$C158, $E56
  ),
  SUMIFS(
    PriceRef!$D$2:$D158,
    PriceRef!$A$2:$A158, "TwoTone",
    PriceRef!$C$2:$C158, $G56
  )
)</f>
        <v>0</v>
      </c>
    </row>
    <row r="57">
      <c r="A57" s="60" t="s">
        <v>1477</v>
      </c>
      <c r="B57" s="61" t="s">
        <v>1478</v>
      </c>
      <c r="C57" s="61" t="s">
        <v>753</v>
      </c>
      <c r="D57" s="61" t="s">
        <v>824</v>
      </c>
      <c r="E57" s="61"/>
      <c r="F57" s="61" t="s">
        <v>749</v>
      </c>
      <c r="G57" s="61"/>
      <c r="H57" s="62" t="s">
        <v>826</v>
      </c>
      <c r="I57" s="63" t="s">
        <v>827</v>
      </c>
      <c r="J57" s="65" t="s">
        <v>817</v>
      </c>
      <c r="K57" s="66" t="str">
        <f t="shared" si="1"/>
        <v>3LZ AH2 HTE 36S</v>
      </c>
      <c r="L57" s="64">
        <f>SUM(
  SUMIFS(
    PriceRef!$D$2:$D158,
    PriceRef!$A$2:$A158, "Seat",
    PriceRef!$B$2:$B158, $B57,
    PriceRef!$C$2:$C158, $C57
  ),
  SUMIFS(
    PriceRef!$D$2:$D158,
    PriceRef!$A$2:$A158, "Stitching",
    PriceRef!$C$2:$C158, $F57
  ),
  SUMIFS(
    PriceRef!$D$2:$D158,
    PriceRef!$A$2:$A158, "Suede",
    PriceRef!$C$2:$C158, $E57
  ),
  SUMIFS(
    PriceRef!$D$2:$D158,
    PriceRef!$A$2:$A158, "TwoTone",
    PriceRef!$C$2:$C158, $G57
  )
)</f>
        <v>495</v>
      </c>
    </row>
    <row r="58">
      <c r="A58" s="60" t="s">
        <v>1477</v>
      </c>
      <c r="B58" s="61" t="s">
        <v>1478</v>
      </c>
      <c r="C58" s="61" t="s">
        <v>753</v>
      </c>
      <c r="D58" s="61" t="s">
        <v>824</v>
      </c>
      <c r="E58" s="61"/>
      <c r="F58" s="61" t="s">
        <v>746</v>
      </c>
      <c r="G58" s="61"/>
      <c r="H58" s="62" t="s">
        <v>828</v>
      </c>
      <c r="I58" s="63" t="s">
        <v>829</v>
      </c>
      <c r="J58" s="65" t="s">
        <v>817</v>
      </c>
      <c r="K58" s="66" t="str">
        <f t="shared" si="1"/>
        <v>3LZ AH2 HTE 38S</v>
      </c>
      <c r="L58" s="64">
        <f>SUM(
  SUMIFS(
    PriceRef!$D$2:$D158,
    PriceRef!$A$2:$A158, "Seat",
    PriceRef!$B$2:$B158, $B58,
    PriceRef!$C$2:$C158, $C58
  ),
  SUMIFS(
    PriceRef!$D$2:$D158,
    PriceRef!$A$2:$A158, "Stitching",
    PriceRef!$C$2:$C158, $F58
  ),
  SUMIFS(
    PriceRef!$D$2:$D158,
    PriceRef!$A$2:$A158, "Suede",
    PriceRef!$C$2:$C158, $E58
  ),
  SUMIFS(
    PriceRef!$D$2:$D158,
    PriceRef!$A$2:$A158, "TwoTone",
    PriceRef!$C$2:$C158, $G58
  )
)</f>
        <v>495</v>
      </c>
    </row>
    <row r="59">
      <c r="A59" s="60" t="s">
        <v>1477</v>
      </c>
      <c r="B59" s="61" t="s">
        <v>1478</v>
      </c>
      <c r="C59" s="61" t="s">
        <v>753</v>
      </c>
      <c r="D59" s="61" t="s">
        <v>824</v>
      </c>
      <c r="E59" s="61"/>
      <c r="F59" s="61" t="s">
        <v>751</v>
      </c>
      <c r="G59" s="61"/>
      <c r="H59" s="62" t="s">
        <v>830</v>
      </c>
      <c r="I59" s="63" t="s">
        <v>829</v>
      </c>
      <c r="J59" s="65" t="s">
        <v>817</v>
      </c>
      <c r="K59" s="66" t="str">
        <f t="shared" si="1"/>
        <v>3LZ AH2 HTE 37S</v>
      </c>
      <c r="L59" s="64">
        <f>SUM(
  SUMIFS(
    PriceRef!$D$2:$D158,
    PriceRef!$A$2:$A158, "Seat",
    PriceRef!$B$2:$B158, $B59,
    PriceRef!$C$2:$C158, $C59
  ),
  SUMIFS(
    PriceRef!$D$2:$D158,
    PriceRef!$A$2:$A158, "Stitching",
    PriceRef!$C$2:$C158, $F59
  ),
  SUMIFS(
    PriceRef!$D$2:$D158,
    PriceRef!$A$2:$A158, "Suede",
    PriceRef!$C$2:$C158, $E59
  ),
  SUMIFS(
    PriceRef!$D$2:$D158,
    PriceRef!$A$2:$A158, "TwoTone",
    PriceRef!$C$2:$C158, $G59
  )
)</f>
        <v>495</v>
      </c>
    </row>
    <row r="60">
      <c r="A60" s="60" t="s">
        <v>1477</v>
      </c>
      <c r="B60" s="61" t="s">
        <v>1478</v>
      </c>
      <c r="C60" s="61" t="s">
        <v>726</v>
      </c>
      <c r="D60" s="61" t="s">
        <v>824</v>
      </c>
      <c r="E60" s="61"/>
      <c r="F60" s="61"/>
      <c r="G60" s="61"/>
      <c r="H60" s="62" t="s">
        <v>755</v>
      </c>
      <c r="I60" s="63" t="s">
        <v>831</v>
      </c>
      <c r="J60" s="65" t="s">
        <v>817</v>
      </c>
      <c r="K60" s="66" t="str">
        <f t="shared" si="1"/>
        <v>3LZ AE4 HTE</v>
      </c>
      <c r="L60" s="64">
        <f>SUM(
  SUMIFS(
    PriceRef!$D$2:$D158,
    PriceRef!$A$2:$A158, "Seat",
    PriceRef!$B$2:$B158, $B60,
    PriceRef!$C$2:$C158, $C60
  ),
  SUMIFS(
    PriceRef!$D$2:$D158,
    PriceRef!$A$2:$A158, "Stitching",
    PriceRef!$C$2:$C158, $F60
  ),
  SUMIFS(
    PriceRef!$D$2:$D158,
    PriceRef!$A$2:$A158, "Suede",
    PriceRef!$C$2:$C158, $E60
  ),
  SUMIFS(
    PriceRef!$D$2:$D158,
    PriceRef!$A$2:$A158, "TwoTone",
    PriceRef!$C$2:$C158, $G60
  )
)</f>
        <v>500</v>
      </c>
    </row>
    <row r="61">
      <c r="A61" s="60" t="s">
        <v>1477</v>
      </c>
      <c r="B61" s="61" t="s">
        <v>1478</v>
      </c>
      <c r="C61" s="61" t="s">
        <v>726</v>
      </c>
      <c r="D61" s="61" t="s">
        <v>824</v>
      </c>
      <c r="E61" s="61"/>
      <c r="F61" s="61" t="s">
        <v>749</v>
      </c>
      <c r="G61" s="61"/>
      <c r="H61" s="62" t="s">
        <v>826</v>
      </c>
      <c r="I61" s="63" t="s">
        <v>831</v>
      </c>
      <c r="J61" s="65" t="s">
        <v>817</v>
      </c>
      <c r="K61" s="66" t="str">
        <f t="shared" si="1"/>
        <v>3LZ AE4 HTE 36S</v>
      </c>
      <c r="L61" s="64">
        <f>SUM(
  SUMIFS(
    PriceRef!$D$2:$D158,
    PriceRef!$A$2:$A158, "Seat",
    PriceRef!$B$2:$B158, $B61,
    PriceRef!$C$2:$C158, $C61
  ),
  SUMIFS(
    PriceRef!$D$2:$D158,
    PriceRef!$A$2:$A158, "Stitching",
    PriceRef!$C$2:$C158, $F61
  ),
  SUMIFS(
    PriceRef!$D$2:$D158,
    PriceRef!$A$2:$A158, "Suede",
    PriceRef!$C$2:$C158, $E61
  ),
  SUMIFS(
    PriceRef!$D$2:$D158,
    PriceRef!$A$2:$A158, "TwoTone",
    PriceRef!$C$2:$C158, $G61
  )
)</f>
        <v>995</v>
      </c>
    </row>
    <row r="62">
      <c r="A62" s="60" t="s">
        <v>1477</v>
      </c>
      <c r="B62" s="61" t="s">
        <v>1478</v>
      </c>
      <c r="C62" s="61" t="s">
        <v>726</v>
      </c>
      <c r="D62" s="61" t="s">
        <v>824</v>
      </c>
      <c r="E62" s="61"/>
      <c r="F62" s="61" t="s">
        <v>751</v>
      </c>
      <c r="G62" s="61"/>
      <c r="H62" s="62" t="s">
        <v>830</v>
      </c>
      <c r="I62" s="63" t="s">
        <v>832</v>
      </c>
      <c r="J62" s="65" t="s">
        <v>817</v>
      </c>
      <c r="K62" s="66" t="str">
        <f t="shared" si="1"/>
        <v>3LZ AE4 HTE 37S</v>
      </c>
      <c r="L62" s="64">
        <f>SUM(
  SUMIFS(
    PriceRef!$D$2:$D158,
    PriceRef!$A$2:$A158, "Seat",
    PriceRef!$B$2:$B158, $B62,
    PriceRef!$C$2:$C158, $C62
  ),
  SUMIFS(
    PriceRef!$D$2:$D158,
    PriceRef!$A$2:$A158, "Stitching",
    PriceRef!$C$2:$C158, $F62
  ),
  SUMIFS(
    PriceRef!$D$2:$D158,
    PriceRef!$A$2:$A158, "Suede",
    PriceRef!$C$2:$C158, $E62
  ),
  SUMIFS(
    PriceRef!$D$2:$D158,
    PriceRef!$A$2:$A158, "TwoTone",
    PriceRef!$C$2:$C158, $G62
  )
)</f>
        <v>995</v>
      </c>
    </row>
    <row r="63">
      <c r="A63" s="60" t="s">
        <v>1477</v>
      </c>
      <c r="B63" s="61" t="s">
        <v>1478</v>
      </c>
      <c r="C63" s="61" t="s">
        <v>726</v>
      </c>
      <c r="D63" s="61" t="s">
        <v>824</v>
      </c>
      <c r="E63" s="61"/>
      <c r="F63" s="61" t="s">
        <v>746</v>
      </c>
      <c r="G63" s="61"/>
      <c r="H63" s="62" t="s">
        <v>828</v>
      </c>
      <c r="I63" s="63" t="s">
        <v>832</v>
      </c>
      <c r="J63" s="65" t="s">
        <v>817</v>
      </c>
      <c r="K63" s="66" t="str">
        <f t="shared" si="1"/>
        <v>3LZ AE4 HTE 38S</v>
      </c>
      <c r="L63" s="64">
        <f>SUM(
  SUMIFS(
    PriceRef!$D$2:$D158,
    PriceRef!$A$2:$A158, "Seat",
    PriceRef!$B$2:$B158, $B63,
    PriceRef!$C$2:$C158, $C63
  ),
  SUMIFS(
    PriceRef!$D$2:$D158,
    PriceRef!$A$2:$A158, "Stitching",
    PriceRef!$C$2:$C158, $F63
  ),
  SUMIFS(
    PriceRef!$D$2:$D158,
    PriceRef!$A$2:$A158, "Suede",
    PriceRef!$C$2:$C158, $E63
  ),
  SUMIFS(
    PriceRef!$D$2:$D158,
    PriceRef!$A$2:$A158, "TwoTone",
    PriceRef!$C$2:$C158, $G63
  )
)</f>
        <v>995</v>
      </c>
    </row>
    <row r="64">
      <c r="A64" s="60" t="s">
        <v>1477</v>
      </c>
      <c r="B64" s="61" t="s">
        <v>1478</v>
      </c>
      <c r="C64" s="61" t="s">
        <v>753</v>
      </c>
      <c r="D64" s="61" t="s">
        <v>833</v>
      </c>
      <c r="E64" s="61" t="s">
        <v>1479</v>
      </c>
      <c r="F64" s="61"/>
      <c r="G64" s="61"/>
      <c r="H64" s="62" t="s">
        <v>778</v>
      </c>
      <c r="I64" s="63" t="s">
        <v>1480</v>
      </c>
      <c r="J64" s="65" t="s">
        <v>817</v>
      </c>
      <c r="K64" s="66" t="str">
        <f t="shared" si="1"/>
        <v>3LZ AH2 HTG N2Z</v>
      </c>
      <c r="L64" s="64">
        <f>SUM(
  SUMIFS(
    PriceRef!$D$2:$D158,
    PriceRef!$A$2:$A158, "Seat",
    PriceRef!$B$2:$B158, $B64,
    PriceRef!$C$2:$C158, $C64
  ),
  SUMIFS(
    PriceRef!$D$2:$D158,
    PriceRef!$A$2:$A158, "Stitching",
    PriceRef!$C$2:$C158, $F64
  ),
  SUMIFS(
    PriceRef!$D$2:$D158,
    PriceRef!$A$2:$A158, "Suede",
    PriceRef!$C$2:$C158, $E64
  ),
  SUMIFS(
    PriceRef!$D$2:$D158,
    PriceRef!$A$2:$A158, "TwoTone",
    PriceRef!$C$2:$C158, $G64
  )
)</f>
        <v>695</v>
      </c>
    </row>
    <row r="65">
      <c r="A65" s="60" t="s">
        <v>1477</v>
      </c>
      <c r="B65" s="61" t="s">
        <v>1478</v>
      </c>
      <c r="C65" s="61" t="s">
        <v>726</v>
      </c>
      <c r="D65" s="61" t="s">
        <v>833</v>
      </c>
      <c r="E65" s="61" t="s">
        <v>1479</v>
      </c>
      <c r="F65" s="61"/>
      <c r="G65" s="61"/>
      <c r="H65" s="62" t="s">
        <v>778</v>
      </c>
      <c r="I65" s="63" t="s">
        <v>1481</v>
      </c>
      <c r="J65" s="65" t="s">
        <v>817</v>
      </c>
      <c r="K65" s="66" t="str">
        <f t="shared" si="1"/>
        <v>3LZ AE4 HTG N2Z</v>
      </c>
      <c r="L65" s="64">
        <f>SUM(
  SUMIFS(
    PriceRef!$D$2:$D158,
    PriceRef!$A$2:$A158, "Seat",
    PriceRef!$B$2:$B158, $B65,
    PriceRef!$C$2:$C158, $C65
  ),
  SUMIFS(
    PriceRef!$D$2:$D158,
    PriceRef!$A$2:$A158, "Stitching",
    PriceRef!$C$2:$C158, $F65
  ),
  SUMIFS(
    PriceRef!$D$2:$D158,
    PriceRef!$A$2:$A158, "Suede",
    PriceRef!$C$2:$C158, $E65
  ),
  SUMIFS(
    PriceRef!$D$2:$D158,
    PriceRef!$A$2:$A158, "TwoTone",
    PriceRef!$C$2:$C158, $G65
  )
)</f>
        <v>1195</v>
      </c>
    </row>
    <row r="66">
      <c r="A66" s="60" t="s">
        <v>1477</v>
      </c>
      <c r="B66" s="61" t="s">
        <v>1478</v>
      </c>
      <c r="C66" s="61" t="s">
        <v>753</v>
      </c>
      <c r="D66" s="61" t="s">
        <v>833</v>
      </c>
      <c r="E66" s="61" t="s">
        <v>1479</v>
      </c>
      <c r="F66" s="61"/>
      <c r="G66" s="61" t="s">
        <v>767</v>
      </c>
      <c r="H66" s="62" t="s">
        <v>781</v>
      </c>
      <c r="I66" s="63" t="s">
        <v>1482</v>
      </c>
      <c r="J66" s="65" t="s">
        <v>817</v>
      </c>
      <c r="K66" s="66" t="str">
        <f t="shared" si="1"/>
        <v>3LZ AH2 HTG N2Z TU7</v>
      </c>
      <c r="L66" s="64">
        <f>SUM(
  SUMIFS(
    PriceRef!$D$2:$D158,
    PriceRef!$A$2:$A158, "Seat",
    PriceRef!$B$2:$B158, $B66,
    PriceRef!$C$2:$C158, $C66
  ),
  SUMIFS(
    PriceRef!$D$2:$D158,
    PriceRef!$A$2:$A158, "Stitching",
    PriceRef!$C$2:$C158, $F66
  ),
  SUMIFS(
    PriceRef!$D$2:$D158,
    PriceRef!$A$2:$A158, "Suede",
    PriceRef!$C$2:$C158, $E66
  ),
  SUMIFS(
    PriceRef!$D$2:$D158,
    PriceRef!$A$2:$A158, "TwoTone",
    PriceRef!$C$2:$C158, $G66
  )
)</f>
        <v>1290</v>
      </c>
    </row>
    <row r="67">
      <c r="A67" s="60" t="s">
        <v>1477</v>
      </c>
      <c r="B67" s="61" t="s">
        <v>1478</v>
      </c>
      <c r="C67" s="61" t="s">
        <v>753</v>
      </c>
      <c r="D67" s="61" t="s">
        <v>837</v>
      </c>
      <c r="E67" s="61"/>
      <c r="F67" s="61"/>
      <c r="G67" s="61"/>
      <c r="H67" s="62" t="s">
        <v>838</v>
      </c>
      <c r="I67" s="63" t="s">
        <v>839</v>
      </c>
      <c r="J67" s="65" t="s">
        <v>817</v>
      </c>
      <c r="K67" s="66" t="str">
        <f t="shared" si="1"/>
        <v>3LZ AH2 H8T</v>
      </c>
      <c r="L67" s="64">
        <f>SUM(
  SUMIFS(
    PriceRef!$D$2:$D158,
    PriceRef!$A$2:$A158, "Seat",
    PriceRef!$B$2:$B158, $B67,
    PriceRef!$C$2:$C158, $C67
  ),
  SUMIFS(
    PriceRef!$D$2:$D158,
    PriceRef!$A$2:$A158, "Stitching",
    PriceRef!$C$2:$C158, $F67
  ),
  SUMIFS(
    PriceRef!$D$2:$D158,
    PriceRef!$A$2:$A158, "Suede",
    PriceRef!$C$2:$C158, $E67
  ),
  SUMIFS(
    PriceRef!$D$2:$D158,
    PriceRef!$A$2:$A158, "TwoTone",
    PriceRef!$C$2:$C158, $G67
  )
)</f>
        <v>0</v>
      </c>
    </row>
    <row r="68">
      <c r="A68" s="60" t="s">
        <v>1477</v>
      </c>
      <c r="B68" s="61" t="s">
        <v>1478</v>
      </c>
      <c r="C68" s="61" t="s">
        <v>726</v>
      </c>
      <c r="D68" s="61" t="s">
        <v>837</v>
      </c>
      <c r="E68" s="61"/>
      <c r="F68" s="61"/>
      <c r="G68" s="61"/>
      <c r="H68" s="62" t="s">
        <v>838</v>
      </c>
      <c r="I68" s="63" t="s">
        <v>840</v>
      </c>
      <c r="J68" s="65" t="s">
        <v>817</v>
      </c>
      <c r="K68" s="66" t="str">
        <f t="shared" si="1"/>
        <v>3LZ AE4 H8T</v>
      </c>
      <c r="L68" s="64">
        <f>SUM(
  SUMIFS(
    PriceRef!$D$2:$D158,
    PriceRef!$A$2:$A158, "Seat",
    PriceRef!$B$2:$B158, $B68,
    PriceRef!$C$2:$C158, $C68
  ),
  SUMIFS(
    PriceRef!$D$2:$D158,
    PriceRef!$A$2:$A158, "Stitching",
    PriceRef!$C$2:$C158, $F68
  ),
  SUMIFS(
    PriceRef!$D$2:$D158,
    PriceRef!$A$2:$A158, "Suede",
    PriceRef!$C$2:$C158, $E68
  ),
  SUMIFS(
    PriceRef!$D$2:$D158,
    PriceRef!$A$2:$A158, "TwoTone",
    PriceRef!$C$2:$C158, $G68
  )
)</f>
        <v>500</v>
      </c>
    </row>
    <row r="69">
      <c r="A69" s="60" t="s">
        <v>1477</v>
      </c>
      <c r="B69" s="61" t="s">
        <v>1478</v>
      </c>
      <c r="C69" s="61" t="s">
        <v>753</v>
      </c>
      <c r="D69" s="61" t="s">
        <v>841</v>
      </c>
      <c r="E69" s="61" t="s">
        <v>1479</v>
      </c>
      <c r="F69" s="61" t="s">
        <v>749</v>
      </c>
      <c r="G69" s="61"/>
      <c r="H69" s="62" t="s">
        <v>842</v>
      </c>
      <c r="I69" s="63" t="s">
        <v>1483</v>
      </c>
      <c r="J69" s="65" t="s">
        <v>817</v>
      </c>
      <c r="K69" s="66" t="str">
        <f t="shared" si="1"/>
        <v>3LZ AH2 HTT 36S N2Z</v>
      </c>
      <c r="L69" s="64">
        <f>SUM(
  SUMIFS(
    PriceRef!$D$2:$D158,
    PriceRef!$A$2:$A158, "Seat",
    PriceRef!$B$2:$B158, $B69,
    PriceRef!$C$2:$C158, $C69
  ),
  SUMIFS(
    PriceRef!$D$2:$D158,
    PriceRef!$A$2:$A158, "Stitching",
    PriceRef!$C$2:$C158, $F69
  ),
  SUMIFS(
    PriceRef!$D$2:$D158,
    PriceRef!$A$2:$A158, "Suede",
    PriceRef!$C$2:$C158, $E69
  ),
  SUMIFS(
    PriceRef!$D$2:$D158,
    PriceRef!$A$2:$A158, "TwoTone",
    PriceRef!$C$2:$C158, $G69
  )
)</f>
        <v>1190</v>
      </c>
    </row>
    <row r="70">
      <c r="A70" s="60" t="s">
        <v>1477</v>
      </c>
      <c r="B70" s="61" t="s">
        <v>1478</v>
      </c>
      <c r="C70" s="61" t="s">
        <v>726</v>
      </c>
      <c r="D70" s="61" t="s">
        <v>841</v>
      </c>
      <c r="E70" s="61" t="s">
        <v>1479</v>
      </c>
      <c r="F70" s="61" t="s">
        <v>749</v>
      </c>
      <c r="G70" s="61"/>
      <c r="H70" s="62" t="s">
        <v>842</v>
      </c>
      <c r="I70" s="63" t="s">
        <v>1484</v>
      </c>
      <c r="J70" s="65" t="s">
        <v>817</v>
      </c>
      <c r="K70" s="66" t="str">
        <f t="shared" si="1"/>
        <v>3LZ AE4 HTT 36S N2Z</v>
      </c>
      <c r="L70" s="64">
        <f>SUM(
  SUMIFS(
    PriceRef!$D$2:$D158,
    PriceRef!$A$2:$A158, "Seat",
    PriceRef!$B$2:$B158, $B70,
    PriceRef!$C$2:$C158, $C70
  ),
  SUMIFS(
    PriceRef!$D$2:$D158,
    PriceRef!$A$2:$A158, "Stitching",
    PriceRef!$C$2:$C158, $F70
  ),
  SUMIFS(
    PriceRef!$D$2:$D158,
    PriceRef!$A$2:$A158, "Suede",
    PriceRef!$C$2:$C158, $E70
  ),
  SUMIFS(
    PriceRef!$D$2:$D158,
    PriceRef!$A$2:$A158, "TwoTone",
    PriceRef!$C$2:$C158, $G70
  )
)</f>
        <v>1690</v>
      </c>
    </row>
    <row r="71">
      <c r="A71" s="60" t="s">
        <v>1477</v>
      </c>
      <c r="B71" s="61" t="s">
        <v>1478</v>
      </c>
      <c r="C71" s="61" t="s">
        <v>753</v>
      </c>
      <c r="D71" s="61" t="s">
        <v>841</v>
      </c>
      <c r="E71" s="61" t="s">
        <v>1479</v>
      </c>
      <c r="F71" s="61" t="s">
        <v>751</v>
      </c>
      <c r="G71" s="61"/>
      <c r="H71" s="62" t="s">
        <v>845</v>
      </c>
      <c r="I71" s="63" t="s">
        <v>1485</v>
      </c>
      <c r="J71" s="65" t="s">
        <v>817</v>
      </c>
      <c r="K71" s="66" t="str">
        <f t="shared" si="1"/>
        <v>3LZ AH2 HTT 37S N2Z</v>
      </c>
      <c r="L71" s="64">
        <f>SUM(
  SUMIFS(
    PriceRef!$D$2:$D158,
    PriceRef!$A$2:$A158, "Seat",
    PriceRef!$B$2:$B158, $B71,
    PriceRef!$C$2:$C158, $C71
  ),
  SUMIFS(
    PriceRef!$D$2:$D158,
    PriceRef!$A$2:$A158, "Stitching",
    PriceRef!$C$2:$C158, $F71
  ),
  SUMIFS(
    PriceRef!$D$2:$D158,
    PriceRef!$A$2:$A158, "Suede",
    PriceRef!$C$2:$C158, $E71
  ),
  SUMIFS(
    PriceRef!$D$2:$D158,
    PriceRef!$A$2:$A158, "TwoTone",
    PriceRef!$C$2:$C158, $G71
  )
)</f>
        <v>1190</v>
      </c>
    </row>
    <row r="72">
      <c r="A72" s="60" t="s">
        <v>1477</v>
      </c>
      <c r="B72" s="61" t="s">
        <v>1478</v>
      </c>
      <c r="C72" s="61" t="s">
        <v>726</v>
      </c>
      <c r="D72" s="61" t="s">
        <v>841</v>
      </c>
      <c r="E72" s="61" t="s">
        <v>1479</v>
      </c>
      <c r="F72" s="61" t="s">
        <v>751</v>
      </c>
      <c r="G72" s="61"/>
      <c r="H72" s="62" t="s">
        <v>845</v>
      </c>
      <c r="I72" s="63" t="s">
        <v>1486</v>
      </c>
      <c r="J72" s="65" t="s">
        <v>817</v>
      </c>
      <c r="K72" s="66" t="str">
        <f t="shared" si="1"/>
        <v>3LZ AE4 HTT 37S N2Z</v>
      </c>
      <c r="L72" s="64">
        <f>SUM(
  SUMIFS(
    PriceRef!$D$2:$D158,
    PriceRef!$A$2:$A158, "Seat",
    PriceRef!$B$2:$B158, $B72,
    PriceRef!$C$2:$C158, $C72
  ),
  SUMIFS(
    PriceRef!$D$2:$D158,
    PriceRef!$A$2:$A158, "Stitching",
    PriceRef!$C$2:$C158, $F72
  ),
  SUMIFS(
    PriceRef!$D$2:$D158,
    PriceRef!$A$2:$A158, "Suede",
    PriceRef!$C$2:$C158, $E72
  ),
  SUMIFS(
    PriceRef!$D$2:$D158,
    PriceRef!$A$2:$A158, "TwoTone",
    PriceRef!$C$2:$C158, $G72
  )
)</f>
        <v>1690</v>
      </c>
    </row>
    <row r="73">
      <c r="A73" s="60" t="s">
        <v>1477</v>
      </c>
      <c r="B73" s="61" t="s">
        <v>1478</v>
      </c>
      <c r="C73" s="61" t="s">
        <v>753</v>
      </c>
      <c r="D73" s="61" t="s">
        <v>841</v>
      </c>
      <c r="E73" s="61" t="s">
        <v>1479</v>
      </c>
      <c r="F73" s="61" t="s">
        <v>746</v>
      </c>
      <c r="G73" s="61"/>
      <c r="H73" s="62" t="s">
        <v>848</v>
      </c>
      <c r="I73" s="63" t="s">
        <v>1483</v>
      </c>
      <c r="J73" s="65" t="s">
        <v>817</v>
      </c>
      <c r="K73" s="66" t="str">
        <f t="shared" si="1"/>
        <v>3LZ AH2 HTT 38S N2Z</v>
      </c>
      <c r="L73" s="64">
        <f>SUM(
  SUMIFS(
    PriceRef!$D$2:$D158,
    PriceRef!$A$2:$A158, "Seat",
    PriceRef!$B$2:$B158, $B73,
    PriceRef!$C$2:$C158, $C73
  ),
  SUMIFS(
    PriceRef!$D$2:$D158,
    PriceRef!$A$2:$A158, "Stitching",
    PriceRef!$C$2:$C158, $F73
  ),
  SUMIFS(
    PriceRef!$D$2:$D158,
    PriceRef!$A$2:$A158, "Suede",
    PriceRef!$C$2:$C158, $E73
  ),
  SUMIFS(
    PriceRef!$D$2:$D158,
    PriceRef!$A$2:$A158, "TwoTone",
    PriceRef!$C$2:$C158, $G73
  )
)</f>
        <v>1190</v>
      </c>
    </row>
    <row r="74">
      <c r="A74" s="60" t="s">
        <v>1477</v>
      </c>
      <c r="B74" s="61" t="s">
        <v>1478</v>
      </c>
      <c r="C74" s="61" t="s">
        <v>726</v>
      </c>
      <c r="D74" s="61" t="s">
        <v>841</v>
      </c>
      <c r="E74" s="61" t="s">
        <v>1479</v>
      </c>
      <c r="F74" s="61" t="s">
        <v>746</v>
      </c>
      <c r="G74" s="61"/>
      <c r="H74" s="62" t="s">
        <v>848</v>
      </c>
      <c r="I74" s="63" t="s">
        <v>1484</v>
      </c>
      <c r="J74" s="65" t="s">
        <v>817</v>
      </c>
      <c r="K74" s="66" t="str">
        <f t="shared" si="1"/>
        <v>3LZ AE4 HTT 38S N2Z</v>
      </c>
      <c r="L74" s="64">
        <f>SUM(
  SUMIFS(
    PriceRef!$D$2:$D158,
    PriceRef!$A$2:$A158, "Seat",
    PriceRef!$B$2:$B158, $B74,
    PriceRef!$C$2:$C158, $C74
  ),
  SUMIFS(
    PriceRef!$D$2:$D158,
    PriceRef!$A$2:$A158, "Stitching",
    PriceRef!$C$2:$C158, $F74
  ),
  SUMIFS(
    PriceRef!$D$2:$D158,
    PriceRef!$A$2:$A158, "Suede",
    PriceRef!$C$2:$C158, $E74
  ),
  SUMIFS(
    PriceRef!$D$2:$D158,
    PriceRef!$A$2:$A158, "TwoTone",
    PriceRef!$C$2:$C158, $G74
  )
)</f>
        <v>1690</v>
      </c>
    </row>
    <row r="75">
      <c r="A75" s="60" t="s">
        <v>1477</v>
      </c>
      <c r="B75" s="61" t="s">
        <v>1478</v>
      </c>
      <c r="C75" s="61" t="s">
        <v>753</v>
      </c>
      <c r="D75" s="61" t="s">
        <v>841</v>
      </c>
      <c r="E75" s="61" t="s">
        <v>1479</v>
      </c>
      <c r="F75" s="61"/>
      <c r="G75" s="61"/>
      <c r="H75" s="62" t="s">
        <v>771</v>
      </c>
      <c r="I75" s="63" t="s">
        <v>1487</v>
      </c>
      <c r="J75" s="65" t="s">
        <v>817</v>
      </c>
      <c r="K75" s="66" t="str">
        <f t="shared" si="1"/>
        <v>3LZ AH2 HTT N2Z</v>
      </c>
      <c r="L75" s="64">
        <f>SUM(
  SUMIFS(
    PriceRef!$D$2:$D158,
    PriceRef!$A$2:$A158, "Seat",
    PriceRef!$B$2:$B158, $B75,
    PriceRef!$C$2:$C158, $C75
  ),
  SUMIFS(
    PriceRef!$D$2:$D158,
    PriceRef!$A$2:$A158, "Stitching",
    PriceRef!$C$2:$C158, $F75
  ),
  SUMIFS(
    PriceRef!$D$2:$D158,
    PriceRef!$A$2:$A158, "Suede",
    PriceRef!$C$2:$C158, $E75
  ),
  SUMIFS(
    PriceRef!$D$2:$D158,
    PriceRef!$A$2:$A158, "TwoTone",
    PriceRef!$C$2:$C158, $G75
  )
)</f>
        <v>695</v>
      </c>
    </row>
    <row r="76">
      <c r="A76" s="60" t="s">
        <v>1477</v>
      </c>
      <c r="B76" s="61" t="s">
        <v>1478</v>
      </c>
      <c r="C76" s="61" t="s">
        <v>726</v>
      </c>
      <c r="D76" s="61" t="s">
        <v>841</v>
      </c>
      <c r="E76" s="61" t="s">
        <v>1479</v>
      </c>
      <c r="F76" s="61"/>
      <c r="G76" s="61"/>
      <c r="H76" s="62" t="s">
        <v>771</v>
      </c>
      <c r="I76" s="63" t="s">
        <v>1488</v>
      </c>
      <c r="J76" s="65" t="s">
        <v>817</v>
      </c>
      <c r="K76" s="66" t="str">
        <f t="shared" si="1"/>
        <v>3LZ AE4 HTT N2Z</v>
      </c>
      <c r="L76" s="64">
        <f>SUM(
  SUMIFS(
    PriceRef!$D$2:$D158,
    PriceRef!$A$2:$A158, "Seat",
    PriceRef!$B$2:$B158, $B76,
    PriceRef!$C$2:$C158, $C76
  ),
  SUMIFS(
    PriceRef!$D$2:$D158,
    PriceRef!$A$2:$A158, "Stitching",
    PriceRef!$C$2:$C158, $F76
  ),
  SUMIFS(
    PriceRef!$D$2:$D158,
    PriceRef!$A$2:$A158, "Suede",
    PriceRef!$C$2:$C158, $E76
  ),
  SUMIFS(
    PriceRef!$D$2:$D158,
    PriceRef!$A$2:$A158, "TwoTone",
    PriceRef!$C$2:$C158, $G76
  )
)</f>
        <v>1195</v>
      </c>
    </row>
    <row r="77">
      <c r="A77" s="60" t="s">
        <v>1477</v>
      </c>
      <c r="B77" s="61" t="s">
        <v>1478</v>
      </c>
      <c r="C77" s="61" t="s">
        <v>753</v>
      </c>
      <c r="D77" s="61" t="s">
        <v>849</v>
      </c>
      <c r="E77" s="61"/>
      <c r="F77" s="61"/>
      <c r="G77" s="61"/>
      <c r="H77" s="62" t="s">
        <v>850</v>
      </c>
      <c r="I77" s="63" t="s">
        <v>851</v>
      </c>
      <c r="J77" s="65" t="s">
        <v>817</v>
      </c>
      <c r="K77" s="66" t="str">
        <f t="shared" si="1"/>
        <v>3LZ AH2 HUC</v>
      </c>
      <c r="L77" s="64">
        <f>SUM(
  SUMIFS(
    PriceRef!$D$2:$D158,
    PriceRef!$A$2:$A158, "Seat",
    PriceRef!$B$2:$B158, $B77,
    PriceRef!$C$2:$C158, $C77
  ),
  SUMIFS(
    PriceRef!$D$2:$D158,
    PriceRef!$A$2:$A158, "Stitching",
    PriceRef!$C$2:$C158, $F77
  ),
  SUMIFS(
    PriceRef!$D$2:$D158,
    PriceRef!$A$2:$A158, "Suede",
    PriceRef!$C$2:$C158, $E77
  ),
  SUMIFS(
    PriceRef!$D$2:$D158,
    PriceRef!$A$2:$A158, "TwoTone",
    PriceRef!$C$2:$C158, $G77
  )
)</f>
        <v>0</v>
      </c>
    </row>
    <row r="78">
      <c r="A78" s="60" t="s">
        <v>1477</v>
      </c>
      <c r="B78" s="61" t="s">
        <v>1478</v>
      </c>
      <c r="C78" s="61" t="s">
        <v>753</v>
      </c>
      <c r="D78" s="61" t="s">
        <v>849</v>
      </c>
      <c r="E78" s="61"/>
      <c r="F78" s="61" t="s">
        <v>749</v>
      </c>
      <c r="G78" s="61"/>
      <c r="H78" s="62" t="s">
        <v>852</v>
      </c>
      <c r="I78" s="63" t="s">
        <v>851</v>
      </c>
      <c r="J78" s="65" t="s">
        <v>817</v>
      </c>
      <c r="K78" s="66" t="str">
        <f t="shared" si="1"/>
        <v>3LZ AH2 HUC 36S</v>
      </c>
      <c r="L78" s="64">
        <f>SUM(
  SUMIFS(
    PriceRef!$D$2:$D158,
    PriceRef!$A$2:$A158, "Seat",
    PriceRef!$B$2:$B158, $B78,
    PriceRef!$C$2:$C158, $C78
  ),
  SUMIFS(
    PriceRef!$D$2:$D158,
    PriceRef!$A$2:$A158, "Stitching",
    PriceRef!$C$2:$C158, $F78
  ),
  SUMIFS(
    PriceRef!$D$2:$D158,
    PriceRef!$A$2:$A158, "Suede",
    PriceRef!$C$2:$C158, $E78
  ),
  SUMIFS(
    PriceRef!$D$2:$D158,
    PriceRef!$A$2:$A158, "TwoTone",
    PriceRef!$C$2:$C158, $G78
  )
)</f>
        <v>495</v>
      </c>
    </row>
    <row r="79">
      <c r="A79" s="60" t="s">
        <v>1477</v>
      </c>
      <c r="B79" s="61" t="s">
        <v>1478</v>
      </c>
      <c r="C79" s="61" t="s">
        <v>753</v>
      </c>
      <c r="D79" s="61" t="s">
        <v>849</v>
      </c>
      <c r="E79" s="61"/>
      <c r="F79" s="61" t="s">
        <v>751</v>
      </c>
      <c r="G79" s="61"/>
      <c r="H79" s="62" t="s">
        <v>853</v>
      </c>
      <c r="I79" s="63" t="s">
        <v>851</v>
      </c>
      <c r="J79" s="65" t="s">
        <v>817</v>
      </c>
      <c r="K79" s="66" t="str">
        <f t="shared" si="1"/>
        <v>3LZ AH2 HUC 37S</v>
      </c>
      <c r="L79" s="64">
        <f>SUM(
  SUMIFS(
    PriceRef!$D$2:$D158,
    PriceRef!$A$2:$A158, "Seat",
    PriceRef!$B$2:$B158, $B79,
    PriceRef!$C$2:$C158, $C79
  ),
  SUMIFS(
    PriceRef!$D$2:$D158,
    PriceRef!$A$2:$A158, "Stitching",
    PriceRef!$C$2:$C158, $F79
  ),
  SUMIFS(
    PriceRef!$D$2:$D158,
    PriceRef!$A$2:$A158, "Suede",
    PriceRef!$C$2:$C158, $E79
  ),
  SUMIFS(
    PriceRef!$D$2:$D158,
    PriceRef!$A$2:$A158, "TwoTone",
    PriceRef!$C$2:$C158, $G79
  )
)</f>
        <v>495</v>
      </c>
    </row>
    <row r="80">
      <c r="A80" s="60" t="s">
        <v>1477</v>
      </c>
      <c r="B80" s="61" t="s">
        <v>1478</v>
      </c>
      <c r="C80" s="61" t="s">
        <v>753</v>
      </c>
      <c r="D80" s="61" t="s">
        <v>849</v>
      </c>
      <c r="E80" s="61"/>
      <c r="F80" s="61" t="s">
        <v>746</v>
      </c>
      <c r="G80" s="61"/>
      <c r="H80" s="62" t="s">
        <v>854</v>
      </c>
      <c r="I80" s="63" t="s">
        <v>851</v>
      </c>
      <c r="J80" s="65" t="s">
        <v>817</v>
      </c>
      <c r="K80" s="66" t="str">
        <f t="shared" si="1"/>
        <v>3LZ AH2 HUC 38S</v>
      </c>
      <c r="L80" s="64">
        <f>SUM(
  SUMIFS(
    PriceRef!$D$2:$D158,
    PriceRef!$A$2:$A158, "Seat",
    PriceRef!$B$2:$B158, $B80,
    PriceRef!$C$2:$C158, $C80
  ),
  SUMIFS(
    PriceRef!$D$2:$D158,
    PriceRef!$A$2:$A158, "Stitching",
    PriceRef!$C$2:$C158, $F80
  ),
  SUMIFS(
    PriceRef!$D$2:$D158,
    PriceRef!$A$2:$A158, "Suede",
    PriceRef!$C$2:$C158, $E80
  ),
  SUMIFS(
    PriceRef!$D$2:$D158,
    PriceRef!$A$2:$A158, "TwoTone",
    PriceRef!$C$2:$C158, $G80
  )
)</f>
        <v>495</v>
      </c>
    </row>
    <row r="81">
      <c r="A81" s="60" t="s">
        <v>1477</v>
      </c>
      <c r="B81" s="61" t="s">
        <v>1478</v>
      </c>
      <c r="C81" s="61" t="s">
        <v>726</v>
      </c>
      <c r="D81" s="61" t="s">
        <v>849</v>
      </c>
      <c r="E81" s="61"/>
      <c r="F81" s="61"/>
      <c r="G81" s="61"/>
      <c r="H81" s="62" t="s">
        <v>850</v>
      </c>
      <c r="I81" s="63" t="s">
        <v>855</v>
      </c>
      <c r="J81" s="65" t="s">
        <v>817</v>
      </c>
      <c r="K81" s="66" t="str">
        <f t="shared" si="1"/>
        <v>3LZ AE4 HUC</v>
      </c>
      <c r="L81" s="64">
        <f>SUM(
  SUMIFS(
    PriceRef!$D$2:$D158,
    PriceRef!$A$2:$A158, "Seat",
    PriceRef!$B$2:$B158, $B81,
    PriceRef!$C$2:$C158, $C81
  ),
  SUMIFS(
    PriceRef!$D$2:$D158,
    PriceRef!$A$2:$A158, "Stitching",
    PriceRef!$C$2:$C158, $F81
  ),
  SUMIFS(
    PriceRef!$D$2:$D158,
    PriceRef!$A$2:$A158, "Suede",
    PriceRef!$C$2:$C158, $E81
  ),
  SUMIFS(
    PriceRef!$D$2:$D158,
    PriceRef!$A$2:$A158, "TwoTone",
    PriceRef!$C$2:$C158, $G81
  )
)</f>
        <v>500</v>
      </c>
    </row>
    <row r="82">
      <c r="A82" s="60" t="s">
        <v>1477</v>
      </c>
      <c r="B82" s="61" t="s">
        <v>1478</v>
      </c>
      <c r="C82" s="61" t="s">
        <v>726</v>
      </c>
      <c r="D82" s="61" t="s">
        <v>849</v>
      </c>
      <c r="E82" s="61"/>
      <c r="F82" s="61" t="s">
        <v>749</v>
      </c>
      <c r="G82" s="61"/>
      <c r="H82" s="62" t="s">
        <v>852</v>
      </c>
      <c r="I82" s="63" t="s">
        <v>855</v>
      </c>
      <c r="J82" s="65" t="s">
        <v>817</v>
      </c>
      <c r="K82" s="66" t="str">
        <f t="shared" si="1"/>
        <v>3LZ AE4 HUC 36S</v>
      </c>
      <c r="L82" s="64">
        <f>SUM(
  SUMIFS(
    PriceRef!$D$2:$D158,
    PriceRef!$A$2:$A158, "Seat",
    PriceRef!$B$2:$B158, $B82,
    PriceRef!$C$2:$C158, $C82
  ),
  SUMIFS(
    PriceRef!$D$2:$D158,
    PriceRef!$A$2:$A158, "Stitching",
    PriceRef!$C$2:$C158, $F82
  ),
  SUMIFS(
    PriceRef!$D$2:$D158,
    PriceRef!$A$2:$A158, "Suede",
    PriceRef!$C$2:$C158, $E82
  ),
  SUMIFS(
    PriceRef!$D$2:$D158,
    PriceRef!$A$2:$A158, "TwoTone",
    PriceRef!$C$2:$C158, $G82
  )
)</f>
        <v>995</v>
      </c>
    </row>
    <row r="83">
      <c r="A83" s="60" t="s">
        <v>1477</v>
      </c>
      <c r="B83" s="61" t="s">
        <v>1478</v>
      </c>
      <c r="C83" s="61" t="s">
        <v>726</v>
      </c>
      <c r="D83" s="61" t="s">
        <v>849</v>
      </c>
      <c r="E83" s="61"/>
      <c r="F83" s="61" t="s">
        <v>751</v>
      </c>
      <c r="G83" s="61"/>
      <c r="H83" s="62" t="s">
        <v>853</v>
      </c>
      <c r="I83" s="63" t="s">
        <v>855</v>
      </c>
      <c r="J83" s="65" t="s">
        <v>817</v>
      </c>
      <c r="K83" s="66" t="str">
        <f t="shared" si="1"/>
        <v>3LZ AE4 HUC 37S</v>
      </c>
      <c r="L83" s="64">
        <f>SUM(
  SUMIFS(
    PriceRef!$D$2:$D158,
    PriceRef!$A$2:$A158, "Seat",
    PriceRef!$B$2:$B158, $B83,
    PriceRef!$C$2:$C158, $C83
  ),
  SUMIFS(
    PriceRef!$D$2:$D158,
    PriceRef!$A$2:$A158, "Stitching",
    PriceRef!$C$2:$C158, $F83
  ),
  SUMIFS(
    PriceRef!$D$2:$D158,
    PriceRef!$A$2:$A158, "Suede",
    PriceRef!$C$2:$C158, $E83
  ),
  SUMIFS(
    PriceRef!$D$2:$D158,
    PriceRef!$A$2:$A158, "TwoTone",
    PriceRef!$C$2:$C158, $G83
  )
)</f>
        <v>995</v>
      </c>
    </row>
    <row r="84">
      <c r="A84" s="60" t="s">
        <v>1477</v>
      </c>
      <c r="B84" s="61" t="s">
        <v>1478</v>
      </c>
      <c r="C84" s="61" t="s">
        <v>726</v>
      </c>
      <c r="D84" s="61" t="s">
        <v>849</v>
      </c>
      <c r="E84" s="61"/>
      <c r="F84" s="61" t="s">
        <v>746</v>
      </c>
      <c r="G84" s="61"/>
      <c r="H84" s="62" t="s">
        <v>854</v>
      </c>
      <c r="I84" s="63" t="s">
        <v>855</v>
      </c>
      <c r="J84" s="65" t="s">
        <v>817</v>
      </c>
      <c r="K84" s="66" t="str">
        <f t="shared" si="1"/>
        <v>3LZ AE4 HUC 38S</v>
      </c>
      <c r="L84" s="64">
        <f>SUM(
  SUMIFS(
    PriceRef!$D$2:$D158,
    PriceRef!$A$2:$A158, "Seat",
    PriceRef!$B$2:$B158, $B84,
    PriceRef!$C$2:$C158, $C84
  ),
  SUMIFS(
    PriceRef!$D$2:$D158,
    PriceRef!$A$2:$A158, "Stitching",
    PriceRef!$C$2:$C158, $F84
  ),
  SUMIFS(
    PriceRef!$D$2:$D158,
    PriceRef!$A$2:$A158, "Suede",
    PriceRef!$C$2:$C158, $E84
  ),
  SUMIFS(
    PriceRef!$D$2:$D158,
    PriceRef!$A$2:$A158, "TwoTone",
    PriceRef!$C$2:$C158, $G84
  )
)</f>
        <v>995</v>
      </c>
    </row>
    <row r="85">
      <c r="A85" s="60" t="s">
        <v>1477</v>
      </c>
      <c r="B85" s="61" t="s">
        <v>1478</v>
      </c>
      <c r="C85" s="61" t="s">
        <v>753</v>
      </c>
      <c r="D85" s="61" t="s">
        <v>856</v>
      </c>
      <c r="E85" s="61" t="s">
        <v>1479</v>
      </c>
      <c r="F85" s="61"/>
      <c r="G85" s="61"/>
      <c r="H85" s="62" t="s">
        <v>857</v>
      </c>
      <c r="I85" s="63" t="s">
        <v>851</v>
      </c>
      <c r="J85" s="65" t="s">
        <v>817</v>
      </c>
      <c r="K85" s="66" t="str">
        <f t="shared" si="1"/>
        <v>3LZ AH2 HUB N2Z</v>
      </c>
      <c r="L85" s="64">
        <f>SUM(
  SUMIFS(
    PriceRef!$D$2:$D158,
    PriceRef!$A$2:$A158, "Seat",
    PriceRef!$B$2:$B158, $B85,
    PriceRef!$C$2:$C158, $C85
  ),
  SUMIFS(
    PriceRef!$D$2:$D158,
    PriceRef!$A$2:$A158, "Stitching",
    PriceRef!$C$2:$C158, $F85
  ),
  SUMIFS(
    PriceRef!$D$2:$D158,
    PriceRef!$A$2:$A158, "Suede",
    PriceRef!$C$2:$C158, $E85
  ),
  SUMIFS(
    PriceRef!$D$2:$D158,
    PriceRef!$A$2:$A158, "TwoTone",
    PriceRef!$C$2:$C158, $G85
  )
)</f>
        <v>695</v>
      </c>
    </row>
    <row r="86">
      <c r="A86" s="60" t="s">
        <v>1477</v>
      </c>
      <c r="B86" s="61" t="s">
        <v>1478</v>
      </c>
      <c r="C86" s="61" t="s">
        <v>753</v>
      </c>
      <c r="D86" s="61" t="s">
        <v>856</v>
      </c>
      <c r="E86" s="61" t="s">
        <v>1479</v>
      </c>
      <c r="F86" s="61" t="s">
        <v>749</v>
      </c>
      <c r="G86" s="61"/>
      <c r="H86" s="62" t="s">
        <v>858</v>
      </c>
      <c r="I86" s="63" t="s">
        <v>1489</v>
      </c>
      <c r="J86" s="65" t="s">
        <v>817</v>
      </c>
      <c r="K86" s="66" t="str">
        <f t="shared" si="1"/>
        <v>3LZ AH2 HUB 36S N2Z</v>
      </c>
      <c r="L86" s="64">
        <f>SUM(
  SUMIFS(
    PriceRef!$D$2:$D158,
    PriceRef!$A$2:$A158, "Seat",
    PriceRef!$B$2:$B158, $B86,
    PriceRef!$C$2:$C158, $C86
  ),
  SUMIFS(
    PriceRef!$D$2:$D158,
    PriceRef!$A$2:$A158, "Stitching",
    PriceRef!$C$2:$C158, $F86
  ),
  SUMIFS(
    PriceRef!$D$2:$D158,
    PriceRef!$A$2:$A158, "Suede",
    PriceRef!$C$2:$C158, $E86
  ),
  SUMIFS(
    PriceRef!$D$2:$D158,
    PriceRef!$A$2:$A158, "TwoTone",
    PriceRef!$C$2:$C158, $G86
  )
)</f>
        <v>1190</v>
      </c>
    </row>
    <row r="87">
      <c r="A87" s="60" t="s">
        <v>1477</v>
      </c>
      <c r="B87" s="61" t="s">
        <v>1478</v>
      </c>
      <c r="C87" s="61" t="s">
        <v>753</v>
      </c>
      <c r="D87" s="61" t="s">
        <v>856</v>
      </c>
      <c r="E87" s="61" t="s">
        <v>1479</v>
      </c>
      <c r="F87" s="61" t="s">
        <v>751</v>
      </c>
      <c r="G87" s="61"/>
      <c r="H87" s="62" t="s">
        <v>859</v>
      </c>
      <c r="I87" s="63" t="s">
        <v>1489</v>
      </c>
      <c r="J87" s="65" t="s">
        <v>817</v>
      </c>
      <c r="K87" s="66" t="str">
        <f t="shared" si="1"/>
        <v>3LZ AH2 HUB 37S N2Z</v>
      </c>
      <c r="L87" s="64">
        <f>SUM(
  SUMIFS(
    PriceRef!$D$2:$D158,
    PriceRef!$A$2:$A158, "Seat",
    PriceRef!$B$2:$B158, $B87,
    PriceRef!$C$2:$C158, $C87
  ),
  SUMIFS(
    PriceRef!$D$2:$D158,
    PriceRef!$A$2:$A158, "Stitching",
    PriceRef!$C$2:$C158, $F87
  ),
  SUMIFS(
    PriceRef!$D$2:$D158,
    PriceRef!$A$2:$A158, "Suede",
    PriceRef!$C$2:$C158, $E87
  ),
  SUMIFS(
    PriceRef!$D$2:$D158,
    PriceRef!$A$2:$A158, "TwoTone",
    PriceRef!$C$2:$C158, $G87
  )
)</f>
        <v>1190</v>
      </c>
    </row>
    <row r="88">
      <c r="A88" s="60" t="s">
        <v>1477</v>
      </c>
      <c r="B88" s="61" t="s">
        <v>1478</v>
      </c>
      <c r="C88" s="61" t="s">
        <v>753</v>
      </c>
      <c r="D88" s="61" t="s">
        <v>856</v>
      </c>
      <c r="E88" s="61" t="s">
        <v>1479</v>
      </c>
      <c r="F88" s="61" t="s">
        <v>746</v>
      </c>
      <c r="G88" s="61"/>
      <c r="H88" s="62" t="s">
        <v>860</v>
      </c>
      <c r="I88" s="63" t="s">
        <v>1489</v>
      </c>
      <c r="J88" s="65" t="s">
        <v>817</v>
      </c>
      <c r="K88" s="66" t="str">
        <f t="shared" si="1"/>
        <v>3LZ AH2 HUB 38S N2Z</v>
      </c>
      <c r="L88" s="64">
        <f>SUM(
  SUMIFS(
    PriceRef!$D$2:$D158,
    PriceRef!$A$2:$A158, "Seat",
    PriceRef!$B$2:$B158, $B88,
    PriceRef!$C$2:$C158, $C88
  ),
  SUMIFS(
    PriceRef!$D$2:$D158,
    PriceRef!$A$2:$A158, "Stitching",
    PriceRef!$C$2:$C158, $F88
  ),
  SUMIFS(
    PriceRef!$D$2:$D158,
    PriceRef!$A$2:$A158, "Suede",
    PriceRef!$C$2:$C158, $E88
  ),
  SUMIFS(
    PriceRef!$D$2:$D158,
    PriceRef!$A$2:$A158, "TwoTone",
    PriceRef!$C$2:$C158, $G88
  )
)</f>
        <v>1190</v>
      </c>
    </row>
    <row r="89">
      <c r="A89" s="60" t="s">
        <v>1477</v>
      </c>
      <c r="B89" s="61" t="s">
        <v>1478</v>
      </c>
      <c r="C89" s="61" t="s">
        <v>726</v>
      </c>
      <c r="D89" s="61" t="s">
        <v>856</v>
      </c>
      <c r="E89" s="61" t="s">
        <v>1479</v>
      </c>
      <c r="F89" s="61"/>
      <c r="G89" s="61"/>
      <c r="H89" s="62" t="s">
        <v>861</v>
      </c>
      <c r="I89" s="63" t="s">
        <v>1490</v>
      </c>
      <c r="J89" s="65" t="s">
        <v>817</v>
      </c>
      <c r="K89" s="66" t="str">
        <f t="shared" si="1"/>
        <v>3LZ AE4 HUB N2Z</v>
      </c>
      <c r="L89" s="64">
        <f>SUM(
  SUMIFS(
    PriceRef!$D$2:$D158,
    PriceRef!$A$2:$A158, "Seat",
    PriceRef!$B$2:$B158, $B89,
    PriceRef!$C$2:$C158, $C89
  ),
  SUMIFS(
    PriceRef!$D$2:$D158,
    PriceRef!$A$2:$A158, "Stitching",
    PriceRef!$C$2:$C158, $F89
  ),
  SUMIFS(
    PriceRef!$D$2:$D158,
    PriceRef!$A$2:$A158, "Suede",
    PriceRef!$C$2:$C158, $E89
  ),
  SUMIFS(
    PriceRef!$D$2:$D158,
    PriceRef!$A$2:$A158, "TwoTone",
    PriceRef!$C$2:$C158, $G89
  )
)</f>
        <v>1195</v>
      </c>
    </row>
    <row r="90">
      <c r="A90" s="60" t="s">
        <v>1477</v>
      </c>
      <c r="B90" s="61" t="s">
        <v>1478</v>
      </c>
      <c r="C90" s="61" t="s">
        <v>726</v>
      </c>
      <c r="D90" s="61" t="s">
        <v>856</v>
      </c>
      <c r="E90" s="61" t="s">
        <v>1479</v>
      </c>
      <c r="F90" s="61" t="s">
        <v>749</v>
      </c>
      <c r="G90" s="61"/>
      <c r="H90" s="62" t="s">
        <v>858</v>
      </c>
      <c r="I90" s="63" t="s">
        <v>1490</v>
      </c>
      <c r="J90" s="65" t="s">
        <v>817</v>
      </c>
      <c r="K90" s="66" t="str">
        <f t="shared" si="1"/>
        <v>3LZ AE4 HUB 36S N2Z</v>
      </c>
      <c r="L90" s="64">
        <f>SUM(
  SUMIFS(
    PriceRef!$D$2:$D158,
    PriceRef!$A$2:$A158, "Seat",
    PriceRef!$B$2:$B158, $B90,
    PriceRef!$C$2:$C158, $C90
  ),
  SUMIFS(
    PriceRef!$D$2:$D158,
    PriceRef!$A$2:$A158, "Stitching",
    PriceRef!$C$2:$C158, $F90
  ),
  SUMIFS(
    PriceRef!$D$2:$D158,
    PriceRef!$A$2:$A158, "Suede",
    PriceRef!$C$2:$C158, $E90
  ),
  SUMIFS(
    PriceRef!$D$2:$D158,
    PriceRef!$A$2:$A158, "TwoTone",
    PriceRef!$C$2:$C158, $G90
  )
)</f>
        <v>1690</v>
      </c>
    </row>
    <row r="91">
      <c r="A91" s="60" t="s">
        <v>1477</v>
      </c>
      <c r="B91" s="61" t="s">
        <v>1478</v>
      </c>
      <c r="C91" s="61" t="s">
        <v>726</v>
      </c>
      <c r="D91" s="61" t="s">
        <v>856</v>
      </c>
      <c r="E91" s="61" t="s">
        <v>1479</v>
      </c>
      <c r="F91" s="61" t="s">
        <v>751</v>
      </c>
      <c r="G91" s="61"/>
      <c r="H91" s="62" t="s">
        <v>859</v>
      </c>
      <c r="I91" s="63" t="s">
        <v>1490</v>
      </c>
      <c r="J91" s="65" t="s">
        <v>817</v>
      </c>
      <c r="K91" s="66" t="str">
        <f t="shared" si="1"/>
        <v>3LZ AE4 HUB 37S N2Z</v>
      </c>
      <c r="L91" s="64">
        <f>SUM(
  SUMIFS(
    PriceRef!$D$2:$D158,
    PriceRef!$A$2:$A158, "Seat",
    PriceRef!$B$2:$B158, $B91,
    PriceRef!$C$2:$C158, $C91
  ),
  SUMIFS(
    PriceRef!$D$2:$D158,
    PriceRef!$A$2:$A158, "Stitching",
    PriceRef!$C$2:$C158, $F91
  ),
  SUMIFS(
    PriceRef!$D$2:$D158,
    PriceRef!$A$2:$A158, "Suede",
    PriceRef!$C$2:$C158, $E91
  ),
  SUMIFS(
    PriceRef!$D$2:$D158,
    PriceRef!$A$2:$A158, "TwoTone",
    PriceRef!$C$2:$C158, $G91
  )
)</f>
        <v>1690</v>
      </c>
    </row>
    <row r="92">
      <c r="A92" s="60" t="s">
        <v>1477</v>
      </c>
      <c r="B92" s="61" t="s">
        <v>1478</v>
      </c>
      <c r="C92" s="61" t="s">
        <v>726</v>
      </c>
      <c r="D92" s="61" t="s">
        <v>856</v>
      </c>
      <c r="E92" s="61" t="s">
        <v>1479</v>
      </c>
      <c r="F92" s="61" t="s">
        <v>746</v>
      </c>
      <c r="G92" s="61"/>
      <c r="H92" s="62" t="s">
        <v>860</v>
      </c>
      <c r="I92" s="63" t="s">
        <v>1490</v>
      </c>
      <c r="J92" s="65" t="s">
        <v>817</v>
      </c>
      <c r="K92" s="66" t="str">
        <f t="shared" si="1"/>
        <v>3LZ AE4 HUB 38S N2Z</v>
      </c>
      <c r="L92" s="64">
        <f>SUM(
  SUMIFS(
    PriceRef!$D$2:$D158,
    PriceRef!$A$2:$A158, "Seat",
    PriceRef!$B$2:$B158, $B92,
    PriceRef!$C$2:$C158, $C92
  ),
  SUMIFS(
    PriceRef!$D$2:$D158,
    PriceRef!$A$2:$A158, "Stitching",
    PriceRef!$C$2:$C158, $F92
  ),
  SUMIFS(
    PriceRef!$D$2:$D158,
    PriceRef!$A$2:$A158, "Suede",
    PriceRef!$C$2:$C158, $E92
  ),
  SUMIFS(
    PriceRef!$D$2:$D158,
    PriceRef!$A$2:$A158, "TwoTone",
    PriceRef!$C$2:$C158, $G92
  )
)</f>
        <v>1690</v>
      </c>
    </row>
    <row r="93">
      <c r="A93" s="60" t="s">
        <v>1477</v>
      </c>
      <c r="B93" s="61" t="s">
        <v>1478</v>
      </c>
      <c r="C93" s="61" t="s">
        <v>753</v>
      </c>
      <c r="D93" s="61" t="s">
        <v>862</v>
      </c>
      <c r="E93" s="61"/>
      <c r="F93" s="61"/>
      <c r="G93" s="61"/>
      <c r="H93" s="62" t="s">
        <v>795</v>
      </c>
      <c r="I93" s="63" t="s">
        <v>863</v>
      </c>
      <c r="J93" s="65" t="s">
        <v>817</v>
      </c>
      <c r="K93" s="66" t="str">
        <f t="shared" si="1"/>
        <v>3LZ AH2 HU1</v>
      </c>
      <c r="L93" s="64">
        <f>SUM(
  SUMIFS(
    PriceRef!$D$2:$D158,
    PriceRef!$A$2:$A158, "Seat",
    PriceRef!$B$2:$B158, $B93,
    PriceRef!$C$2:$C158, $C93
  ),
  SUMIFS(
    PriceRef!$D$2:$D158,
    PriceRef!$A$2:$A158, "Stitching",
    PriceRef!$C$2:$C158, $F93
  ),
  SUMIFS(
    PriceRef!$D$2:$D158,
    PriceRef!$A$2:$A158, "Suede",
    PriceRef!$C$2:$C158, $E93
  ),
  SUMIFS(
    PriceRef!$D$2:$D158,
    PriceRef!$A$2:$A158, "TwoTone",
    PriceRef!$C$2:$C158, $G93
  )
)</f>
        <v>0</v>
      </c>
    </row>
    <row r="94">
      <c r="A94" s="60" t="s">
        <v>1477</v>
      </c>
      <c r="B94" s="61" t="s">
        <v>1478</v>
      </c>
      <c r="C94" s="61" t="s">
        <v>726</v>
      </c>
      <c r="D94" s="61" t="s">
        <v>862</v>
      </c>
      <c r="E94" s="61"/>
      <c r="F94" s="61"/>
      <c r="G94" s="61"/>
      <c r="H94" s="62" t="s">
        <v>795</v>
      </c>
      <c r="I94" s="63" t="s">
        <v>864</v>
      </c>
      <c r="J94" s="65" t="s">
        <v>817</v>
      </c>
      <c r="K94" s="66" t="str">
        <f t="shared" si="1"/>
        <v>3LZ AE4 HU1</v>
      </c>
      <c r="L94" s="64">
        <f>SUM(
  SUMIFS(
    PriceRef!$D$2:$D158,
    PriceRef!$A$2:$A158, "Seat",
    PriceRef!$B$2:$B158, $B94,
    PriceRef!$C$2:$C158, $C94
  ),
  SUMIFS(
    PriceRef!$D$2:$D158,
    PriceRef!$A$2:$A158, "Stitching",
    PriceRef!$C$2:$C158, $F94
  ),
  SUMIFS(
    PriceRef!$D$2:$D158,
    PriceRef!$A$2:$A158, "Suede",
    PriceRef!$C$2:$C158, $E94
  ),
  SUMIFS(
    PriceRef!$D$2:$D158,
    PriceRef!$A$2:$A158, "TwoTone",
    PriceRef!$C$2:$C158, $G94
  )
)</f>
        <v>500</v>
      </c>
    </row>
    <row r="95">
      <c r="A95" s="60" t="s">
        <v>1477</v>
      </c>
      <c r="B95" s="61" t="s">
        <v>1478</v>
      </c>
      <c r="C95" s="61" t="s">
        <v>753</v>
      </c>
      <c r="D95" s="61" t="s">
        <v>862</v>
      </c>
      <c r="E95" s="61"/>
      <c r="F95" s="61"/>
      <c r="G95" s="61" t="s">
        <v>767</v>
      </c>
      <c r="H95" s="62" t="s">
        <v>797</v>
      </c>
      <c r="I95" s="63" t="s">
        <v>865</v>
      </c>
      <c r="J95" s="65" t="s">
        <v>817</v>
      </c>
      <c r="K95" s="66" t="str">
        <f t="shared" si="1"/>
        <v>3LZ AH2 HU1 TU7</v>
      </c>
      <c r="L95" s="64">
        <f>SUM(
  SUMIFS(
    PriceRef!$D$2:$D158,
    PriceRef!$A$2:$A158, "Seat",
    PriceRef!$B$2:$B158, $B95,
    PriceRef!$C$2:$C158, $C95
  ),
  SUMIFS(
    PriceRef!$D$2:$D158,
    PriceRef!$A$2:$A158, "Stitching",
    PriceRef!$C$2:$C158, $F95
  ),
  SUMIFS(
    PriceRef!$D$2:$D158,
    PriceRef!$A$2:$A158, "Suede",
    PriceRef!$C$2:$C158, $E95
  ),
  SUMIFS(
    PriceRef!$D$2:$D158,
    PriceRef!$A$2:$A158, "TwoTone",
    PriceRef!$C$2:$C158, $G95
  )
)</f>
        <v>595</v>
      </c>
    </row>
    <row r="96">
      <c r="A96" s="60" t="s">
        <v>1477</v>
      </c>
      <c r="B96" s="61" t="s">
        <v>1478</v>
      </c>
      <c r="C96" s="61" t="s">
        <v>753</v>
      </c>
      <c r="D96" s="61" t="s">
        <v>866</v>
      </c>
      <c r="E96" s="61"/>
      <c r="F96" s="61"/>
      <c r="G96" s="61"/>
      <c r="H96" s="62" t="s">
        <v>800</v>
      </c>
      <c r="I96" s="63" t="s">
        <v>867</v>
      </c>
      <c r="J96" s="65" t="s">
        <v>817</v>
      </c>
      <c r="K96" s="66" t="str">
        <f t="shared" si="1"/>
        <v>3LZ AH2 HU2</v>
      </c>
      <c r="L96" s="64">
        <f>SUM(
  SUMIFS(
    PriceRef!$D$2:$D158,
    PriceRef!$A$2:$A158, "Seat",
    PriceRef!$B$2:$B158, $B96,
    PriceRef!$C$2:$C158, $C96
  ),
  SUMIFS(
    PriceRef!$D$2:$D158,
    PriceRef!$A$2:$A158, "Stitching",
    PriceRef!$C$2:$C158, $F96
  ),
  SUMIFS(
    PriceRef!$D$2:$D158,
    PriceRef!$A$2:$A158, "Suede",
    PriceRef!$C$2:$C158, $E96
  ),
  SUMIFS(
    PriceRef!$D$2:$D158,
    PriceRef!$A$2:$A158, "TwoTone",
    PriceRef!$C$2:$C158, $G96
  )
)</f>
        <v>0</v>
      </c>
    </row>
    <row r="97">
      <c r="A97" s="60" t="s">
        <v>1477</v>
      </c>
      <c r="B97" s="61" t="s">
        <v>1478</v>
      </c>
      <c r="C97" s="61" t="s">
        <v>726</v>
      </c>
      <c r="D97" s="61" t="s">
        <v>866</v>
      </c>
      <c r="E97" s="61"/>
      <c r="F97" s="61"/>
      <c r="G97" s="61"/>
      <c r="H97" s="62" t="s">
        <v>800</v>
      </c>
      <c r="I97" s="63" t="s">
        <v>831</v>
      </c>
      <c r="J97" s="65" t="s">
        <v>817</v>
      </c>
      <c r="K97" s="66" t="str">
        <f t="shared" si="1"/>
        <v>3LZ AE4 HU2</v>
      </c>
      <c r="L97" s="64">
        <f>SUM(
  SUMIFS(
    PriceRef!$D$2:$D158,
    PriceRef!$A$2:$A158, "Seat",
    PriceRef!$B$2:$B158, $B97,
    PriceRef!$C$2:$C158, $C97
  ),
  SUMIFS(
    PriceRef!$D$2:$D158,
    PriceRef!$A$2:$A158, "Stitching",
    PriceRef!$C$2:$C158, $F97
  ),
  SUMIFS(
    PriceRef!$D$2:$D158,
    PriceRef!$A$2:$A158, "Suede",
    PriceRef!$C$2:$C158, $E97
  ),
  SUMIFS(
    PriceRef!$D$2:$D158,
    PriceRef!$A$2:$A158, "TwoTone",
    PriceRef!$C$2:$C158, $G97
  )
)</f>
        <v>500</v>
      </c>
    </row>
    <row r="98">
      <c r="A98" s="60" t="s">
        <v>1477</v>
      </c>
      <c r="B98" s="61" t="s">
        <v>1478</v>
      </c>
      <c r="C98" s="61" t="s">
        <v>753</v>
      </c>
      <c r="D98" s="61" t="s">
        <v>866</v>
      </c>
      <c r="E98" s="61"/>
      <c r="F98" s="61"/>
      <c r="G98" s="61" t="s">
        <v>767</v>
      </c>
      <c r="H98" s="62" t="s">
        <v>801</v>
      </c>
      <c r="I98" s="63" t="s">
        <v>868</v>
      </c>
      <c r="J98" s="65" t="s">
        <v>817</v>
      </c>
      <c r="K98" s="66" t="str">
        <f t="shared" si="1"/>
        <v>3LZ AH2 HU2 TU7</v>
      </c>
      <c r="L98" s="64">
        <f>SUM(
  SUMIFS(
    PriceRef!$D$2:$D158,
    PriceRef!$A$2:$A158, "Seat",
    PriceRef!$B$2:$B158, $B98,
    PriceRef!$C$2:$C158, $C98
  ),
  SUMIFS(
    PriceRef!$D$2:$D158,
    PriceRef!$A$2:$A158, "Stitching",
    PriceRef!$C$2:$C158, $F98
  ),
  SUMIFS(
    PriceRef!$D$2:$D158,
    PriceRef!$A$2:$A158, "Suede",
    PriceRef!$C$2:$C158, $E98
  ),
  SUMIFS(
    PriceRef!$D$2:$D158,
    PriceRef!$A$2:$A158, "TwoTone",
    PriceRef!$C$2:$C158, $G98
  )
)</f>
        <v>595</v>
      </c>
    </row>
    <row r="99">
      <c r="A99" s="60" t="s">
        <v>1477</v>
      </c>
      <c r="B99" s="61" t="s">
        <v>1478</v>
      </c>
      <c r="C99" s="61" t="s">
        <v>753</v>
      </c>
      <c r="D99" s="61" t="s">
        <v>869</v>
      </c>
      <c r="E99" s="61" t="s">
        <v>1479</v>
      </c>
      <c r="F99" s="61"/>
      <c r="G99" s="61"/>
      <c r="H99" s="62" t="s">
        <v>784</v>
      </c>
      <c r="I99" s="63" t="s">
        <v>1491</v>
      </c>
      <c r="J99" s="65" t="s">
        <v>817</v>
      </c>
      <c r="K99" s="66" t="str">
        <f t="shared" si="1"/>
        <v>3LZ AH2 HU9 N2Z</v>
      </c>
      <c r="L99" s="64">
        <f>SUM(
  SUMIFS(
    PriceRef!$D$2:$D158,
    PriceRef!$A$2:$A158, "Seat",
    PriceRef!$B$2:$B158, $B99,
    PriceRef!$C$2:$C158, $C99
  ),
  SUMIFS(
    PriceRef!$D$2:$D158,
    PriceRef!$A$2:$A158, "Stitching",
    PriceRef!$C$2:$C158, $F99
  ),
  SUMIFS(
    PriceRef!$D$2:$D158,
    PriceRef!$A$2:$A158, "Suede",
    PriceRef!$C$2:$C158, $E99
  ),
  SUMIFS(
    PriceRef!$D$2:$D158,
    PriceRef!$A$2:$A158, "TwoTone",
    PriceRef!$C$2:$C158, $G99
  )
)</f>
        <v>695</v>
      </c>
    </row>
    <row r="100">
      <c r="A100" s="60" t="s">
        <v>1477</v>
      </c>
      <c r="B100" s="61" t="s">
        <v>1478</v>
      </c>
      <c r="C100" s="61" t="s">
        <v>726</v>
      </c>
      <c r="D100" s="61" t="s">
        <v>869</v>
      </c>
      <c r="E100" s="61" t="s">
        <v>1479</v>
      </c>
      <c r="F100" s="61"/>
      <c r="G100" s="61"/>
      <c r="H100" s="62" t="s">
        <v>784</v>
      </c>
      <c r="I100" s="63" t="s">
        <v>1492</v>
      </c>
      <c r="J100" s="65" t="s">
        <v>817</v>
      </c>
      <c r="K100" s="66" t="str">
        <f t="shared" si="1"/>
        <v>3LZ AE4 HU9 N2Z</v>
      </c>
      <c r="L100" s="64">
        <f>SUM(
  SUMIFS(
    PriceRef!$D$2:$D158,
    PriceRef!$A$2:$A158, "Seat",
    PriceRef!$B$2:$B158, $B100,
    PriceRef!$C$2:$C158, $C100
  ),
  SUMIFS(
    PriceRef!$D$2:$D158,
    PriceRef!$A$2:$A158, "Stitching",
    PriceRef!$C$2:$C158, $F100
  ),
  SUMIFS(
    PriceRef!$D$2:$D158,
    PriceRef!$A$2:$A158, "Suede",
    PriceRef!$C$2:$C158, $E100
  ),
  SUMIFS(
    PriceRef!$D$2:$D158,
    PriceRef!$A$2:$A158, "TwoTone",
    PriceRef!$C$2:$C158, $G100
  )
)</f>
        <v>1195</v>
      </c>
    </row>
    <row r="101">
      <c r="A101" s="60" t="s">
        <v>1477</v>
      </c>
      <c r="B101" s="61" t="s">
        <v>1478</v>
      </c>
      <c r="C101" s="61" t="s">
        <v>753</v>
      </c>
      <c r="D101" s="61" t="s">
        <v>869</v>
      </c>
      <c r="E101" s="61" t="s">
        <v>1479</v>
      </c>
      <c r="F101" s="61"/>
      <c r="G101" s="61" t="s">
        <v>767</v>
      </c>
      <c r="H101" s="62" t="s">
        <v>787</v>
      </c>
      <c r="I101" s="63" t="s">
        <v>1493</v>
      </c>
      <c r="J101" s="65" t="s">
        <v>817</v>
      </c>
      <c r="K101" s="66" t="str">
        <f t="shared" si="1"/>
        <v>3LZ AH2 HU9 N2Z TU7</v>
      </c>
      <c r="L101" s="64">
        <f>SUM(
  SUMIFS(
    PriceRef!$D$2:$D158,
    PriceRef!$A$2:$A158, "Seat",
    PriceRef!$B$2:$B158, $B101,
    PriceRef!$C$2:$C158, $C101
  ),
  SUMIFS(
    PriceRef!$D$2:$D158,
    PriceRef!$A$2:$A158, "Stitching",
    PriceRef!$C$2:$C158, $F101
  ),
  SUMIFS(
    PriceRef!$D$2:$D158,
    PriceRef!$A$2:$A158, "Suede",
    PriceRef!$C$2:$C158, $E101
  ),
  SUMIFS(
    PriceRef!$D$2:$D158,
    PriceRef!$A$2:$A158, "TwoTone",
    PriceRef!$C$2:$C158, $G101
  )
)</f>
        <v>1290</v>
      </c>
    </row>
    <row r="102">
      <c r="A102" s="60" t="s">
        <v>1477</v>
      </c>
      <c r="B102" s="61" t="s">
        <v>1478</v>
      </c>
      <c r="C102" s="61" t="s">
        <v>726</v>
      </c>
      <c r="D102" s="61" t="s">
        <v>873</v>
      </c>
      <c r="E102" s="61" t="s">
        <v>1479</v>
      </c>
      <c r="F102" s="61"/>
      <c r="G102" s="61"/>
      <c r="H102" s="62" t="s">
        <v>790</v>
      </c>
      <c r="I102" s="63" t="s">
        <v>1481</v>
      </c>
      <c r="J102" s="65" t="s">
        <v>817</v>
      </c>
      <c r="K102" s="66" t="str">
        <f t="shared" si="1"/>
        <v>3LZ AE4 HUA N2Z</v>
      </c>
      <c r="L102" s="64">
        <f>SUM(
  SUMIFS(
    PriceRef!$D$2:$D158,
    PriceRef!$A$2:$A158, "Seat",
    PriceRef!$B$2:$B158, $B102,
    PriceRef!$C$2:$C158, $C102
  ),
  SUMIFS(
    PriceRef!$D$2:$D158,
    PriceRef!$A$2:$A158, "Stitching",
    PriceRef!$C$2:$C158, $F102
  ),
  SUMIFS(
    PriceRef!$D$2:$D158,
    PriceRef!$A$2:$A158, "Suede",
    PriceRef!$C$2:$C158, $E102
  ),
  SUMIFS(
    PriceRef!$D$2:$D158,
    PriceRef!$A$2:$A158, "TwoTone",
    PriceRef!$C$2:$C158, $G102
  )
)</f>
        <v>1195</v>
      </c>
    </row>
    <row r="103">
      <c r="A103" s="60" t="s">
        <v>1477</v>
      </c>
      <c r="B103" s="61" t="s">
        <v>1478</v>
      </c>
      <c r="C103" s="61" t="s">
        <v>753</v>
      </c>
      <c r="D103" s="61" t="s">
        <v>873</v>
      </c>
      <c r="E103" s="61" t="s">
        <v>1479</v>
      </c>
      <c r="F103" s="61"/>
      <c r="G103" s="61" t="s">
        <v>767</v>
      </c>
      <c r="H103" s="62" t="s">
        <v>790</v>
      </c>
      <c r="I103" s="63" t="s">
        <v>1494</v>
      </c>
      <c r="J103" s="65" t="s">
        <v>817</v>
      </c>
      <c r="K103" s="66" t="str">
        <f t="shared" si="1"/>
        <v>3LZ AH2 HUA N2Z TU7</v>
      </c>
      <c r="L103" s="64">
        <f>SUM(
  SUMIFS(
    PriceRef!$D$2:$D158,
    PriceRef!$A$2:$A158, "Seat",
    PriceRef!$B$2:$B158, $B103,
    PriceRef!$C$2:$C158, $C103
  ),
  SUMIFS(
    PriceRef!$D$2:$D158,
    PriceRef!$A$2:$A158, "Stitching",
    PriceRef!$C$2:$C158, $F103
  ),
  SUMIFS(
    PriceRef!$D$2:$D158,
    PriceRef!$A$2:$A158, "Suede",
    PriceRef!$C$2:$C158, $E103
  ),
  SUMIFS(
    PriceRef!$D$2:$D158,
    PriceRef!$A$2:$A158, "TwoTone",
    PriceRef!$C$2:$C158, $G103
  )
)</f>
        <v>1290</v>
      </c>
    </row>
    <row r="104">
      <c r="A104" s="60" t="s">
        <v>1477</v>
      </c>
      <c r="B104" s="61" t="s">
        <v>1478</v>
      </c>
      <c r="C104" s="61" t="s">
        <v>753</v>
      </c>
      <c r="D104" s="61" t="s">
        <v>875</v>
      </c>
      <c r="E104" s="61"/>
      <c r="F104" s="61"/>
      <c r="G104" s="61"/>
      <c r="H104" s="62" t="s">
        <v>764</v>
      </c>
      <c r="I104" s="63" t="s">
        <v>876</v>
      </c>
      <c r="J104" s="65" t="s">
        <v>817</v>
      </c>
      <c r="K104" s="66" t="str">
        <f t="shared" si="1"/>
        <v>3LZ AH2 HUE</v>
      </c>
      <c r="L104" s="64">
        <f>SUM(
  SUMIFS(
    PriceRef!$D$2:$D158,
    PriceRef!$A$2:$A158, "Seat",
    PriceRef!$B$2:$B158, $B104,
    PriceRef!$C$2:$C158, $C104
  ),
  SUMIFS(
    PriceRef!$D$2:$D158,
    PriceRef!$A$2:$A158, "Stitching",
    PriceRef!$C$2:$C158, $F104
  ),
  SUMIFS(
    PriceRef!$D$2:$D158,
    PriceRef!$A$2:$A158, "Suede",
    PriceRef!$C$2:$C158, $E104
  ),
  SUMIFS(
    PriceRef!$D$2:$D158,
    PriceRef!$A$2:$A158, "TwoTone",
    PriceRef!$C$2:$C158, $G104
  )
)</f>
        <v>0</v>
      </c>
    </row>
    <row r="105">
      <c r="A105" s="60" t="s">
        <v>1477</v>
      </c>
      <c r="B105" s="61" t="s">
        <v>1478</v>
      </c>
      <c r="C105" s="61" t="s">
        <v>726</v>
      </c>
      <c r="D105" s="61" t="s">
        <v>875</v>
      </c>
      <c r="E105" s="61"/>
      <c r="F105" s="61"/>
      <c r="G105" s="61"/>
      <c r="H105" s="62" t="s">
        <v>764</v>
      </c>
      <c r="I105" s="63" t="s">
        <v>831</v>
      </c>
      <c r="J105" s="65" t="s">
        <v>817</v>
      </c>
      <c r="K105" s="66" t="str">
        <f t="shared" si="1"/>
        <v>3LZ AE4 HUE</v>
      </c>
      <c r="L105" s="64">
        <f>SUM(
  SUMIFS(
    PriceRef!$D$2:$D158,
    PriceRef!$A$2:$A158, "Seat",
    PriceRef!$B$2:$B158, $B105,
    PriceRef!$C$2:$C158, $C105
  ),
  SUMIFS(
    PriceRef!$D$2:$D158,
    PriceRef!$A$2:$A158, "Stitching",
    PriceRef!$C$2:$C158, $F105
  ),
  SUMIFS(
    PriceRef!$D$2:$D158,
    PriceRef!$A$2:$A158, "Suede",
    PriceRef!$C$2:$C158, $E105
  ),
  SUMIFS(
    PriceRef!$D$2:$D158,
    PriceRef!$A$2:$A158, "TwoTone",
    PriceRef!$C$2:$C158, $G105
  )
)</f>
        <v>500</v>
      </c>
    </row>
    <row r="106">
      <c r="A106" s="60" t="s">
        <v>1477</v>
      </c>
      <c r="B106" s="61" t="s">
        <v>1478</v>
      </c>
      <c r="C106" s="61" t="s">
        <v>753</v>
      </c>
      <c r="D106" s="61" t="s">
        <v>875</v>
      </c>
      <c r="E106" s="61"/>
      <c r="F106" s="61"/>
      <c r="G106" s="61" t="s">
        <v>767</v>
      </c>
      <c r="H106" s="62" t="s">
        <v>768</v>
      </c>
      <c r="I106" s="63" t="s">
        <v>868</v>
      </c>
      <c r="J106" s="65" t="s">
        <v>817</v>
      </c>
      <c r="K106" s="66" t="str">
        <f t="shared" si="1"/>
        <v>3LZ AH2 HUE TU7</v>
      </c>
      <c r="L106" s="64">
        <f>SUM(
  SUMIFS(
    PriceRef!$D$2:$D158,
    PriceRef!$A$2:$A158, "Seat",
    PriceRef!$B$2:$B158, $B106,
    PriceRef!$C$2:$C158, $C106
  ),
  SUMIFS(
    PriceRef!$D$2:$D158,
    PriceRef!$A$2:$A158, "Stitching",
    PriceRef!$C$2:$C158, $F106
  ),
  SUMIFS(
    PriceRef!$D$2:$D158,
    PriceRef!$A$2:$A158, "Suede",
    PriceRef!$C$2:$C158, $E106
  ),
  SUMIFS(
    PriceRef!$D$2:$D158,
    PriceRef!$A$2:$A158, "TwoTone",
    PriceRef!$C$2:$C158, $G106
  )
)</f>
        <v>595</v>
      </c>
    </row>
    <row r="107">
      <c r="A107" s="60" t="s">
        <v>1477</v>
      </c>
      <c r="B107" s="61" t="s">
        <v>1478</v>
      </c>
      <c r="C107" s="61" t="s">
        <v>753</v>
      </c>
      <c r="D107" s="61" t="s">
        <v>877</v>
      </c>
      <c r="E107" s="61" t="s">
        <v>1479</v>
      </c>
      <c r="F107" s="61"/>
      <c r="G107" s="61"/>
      <c r="H107" s="62" t="s">
        <v>878</v>
      </c>
      <c r="I107" s="63" t="s">
        <v>1495</v>
      </c>
      <c r="J107" s="65" t="s">
        <v>817</v>
      </c>
      <c r="K107" s="66" t="str">
        <f t="shared" si="1"/>
        <v>3LZ AH2 HUF N2Z</v>
      </c>
      <c r="L107" s="64">
        <f>SUM(
  SUMIFS(
    PriceRef!$D$2:$D158,
    PriceRef!$A$2:$A158, "Seat",
    PriceRef!$B$2:$B158, $B107,
    PriceRef!$C$2:$C158, $C107
  ),
  SUMIFS(
    PriceRef!$D$2:$D158,
    PriceRef!$A$2:$A158, "Stitching",
    PriceRef!$C$2:$C158, $F107
  ),
  SUMIFS(
    PriceRef!$D$2:$D158,
    PriceRef!$A$2:$A158, "Suede",
    PriceRef!$C$2:$C158, $E107
  ),
  SUMIFS(
    PriceRef!$D$2:$D158,
    PriceRef!$A$2:$A158, "TwoTone",
    PriceRef!$C$2:$C158, $G107
  )
)</f>
        <v>695</v>
      </c>
    </row>
    <row r="108">
      <c r="A108" s="60" t="s">
        <v>1477</v>
      </c>
      <c r="B108" s="61" t="s">
        <v>1478</v>
      </c>
      <c r="C108" s="61" t="s">
        <v>726</v>
      </c>
      <c r="D108" s="61" t="s">
        <v>877</v>
      </c>
      <c r="E108" s="61" t="s">
        <v>1479</v>
      </c>
      <c r="F108" s="61"/>
      <c r="G108" s="61"/>
      <c r="H108" s="62" t="s">
        <v>878</v>
      </c>
      <c r="I108" s="63" t="s">
        <v>1496</v>
      </c>
      <c r="J108" s="65" t="s">
        <v>817</v>
      </c>
      <c r="K108" s="66" t="str">
        <f t="shared" si="1"/>
        <v>3LZ AE4 HUF N2Z</v>
      </c>
      <c r="L108" s="64">
        <f>SUM(
  SUMIFS(
    PriceRef!$D$2:$D158,
    PriceRef!$A$2:$A158, "Seat",
    PriceRef!$B$2:$B158, $B108,
    PriceRef!$C$2:$C158, $C108
  ),
  SUMIFS(
    PriceRef!$D$2:$D158,
    PriceRef!$A$2:$A158, "Stitching",
    PriceRef!$C$2:$C158, $F108
  ),
  SUMIFS(
    PriceRef!$D$2:$D158,
    PriceRef!$A$2:$A158, "Suede",
    PriceRef!$C$2:$C158, $E108
  ),
  SUMIFS(
    PriceRef!$D$2:$D158,
    PriceRef!$A$2:$A158, "TwoTone",
    PriceRef!$C$2:$C158, $G108
  )
)</f>
        <v>1195</v>
      </c>
    </row>
    <row r="109">
      <c r="A109" s="60" t="s">
        <v>1477</v>
      </c>
      <c r="B109" s="61" t="s">
        <v>1478</v>
      </c>
      <c r="C109" s="61" t="s">
        <v>753</v>
      </c>
      <c r="D109" s="61" t="s">
        <v>881</v>
      </c>
      <c r="E109" s="61"/>
      <c r="F109" s="61"/>
      <c r="G109" s="61"/>
      <c r="H109" s="62" t="s">
        <v>882</v>
      </c>
      <c r="I109" s="63" t="s">
        <v>883</v>
      </c>
      <c r="J109" s="65" t="s">
        <v>817</v>
      </c>
      <c r="K109" s="66" t="str">
        <f t="shared" si="1"/>
        <v>3LZ AH2 HUW</v>
      </c>
      <c r="L109" s="64">
        <f>SUM(
  SUMIFS(
    PriceRef!$D$2:$D158,
    PriceRef!$A$2:$A158, "Seat",
    PriceRef!$B$2:$B158, $B109,
    PriceRef!$C$2:$C158, $C109
  ),
  SUMIFS(
    PriceRef!$D$2:$D158,
    PriceRef!$A$2:$A158, "Stitching",
    PriceRef!$C$2:$C158, $F109
  ),
  SUMIFS(
    PriceRef!$D$2:$D158,
    PriceRef!$A$2:$A158, "Suede",
    PriceRef!$C$2:$C158, $E109
  ),
  SUMIFS(
    PriceRef!$D$2:$D158,
    PriceRef!$A$2:$A158, "TwoTone",
    PriceRef!$C$2:$C158, $G109
  )
)</f>
        <v>0</v>
      </c>
    </row>
    <row r="110">
      <c r="A110" s="60" t="s">
        <v>1477</v>
      </c>
      <c r="B110" s="61" t="s">
        <v>1478</v>
      </c>
      <c r="C110" s="61" t="s">
        <v>726</v>
      </c>
      <c r="D110" s="61" t="s">
        <v>881</v>
      </c>
      <c r="E110" s="61"/>
      <c r="F110" s="61"/>
      <c r="G110" s="61"/>
      <c r="H110" s="62" t="s">
        <v>882</v>
      </c>
      <c r="I110" s="63" t="s">
        <v>884</v>
      </c>
      <c r="J110" s="65" t="s">
        <v>817</v>
      </c>
      <c r="K110" s="66" t="str">
        <f t="shared" si="1"/>
        <v>3LZ AE4 HUW</v>
      </c>
      <c r="L110" s="64">
        <f>SUM(
  SUMIFS(
    PriceRef!$D$2:$D158,
    PriceRef!$A$2:$A158, "Seat",
    PriceRef!$B$2:$B158, $B110,
    PriceRef!$C$2:$C158, $C110
  ),
  SUMIFS(
    PriceRef!$D$2:$D158,
    PriceRef!$A$2:$A158, "Stitching",
    PriceRef!$C$2:$C158, $F110
  ),
  SUMIFS(
    PriceRef!$D$2:$D158,
    PriceRef!$A$2:$A158, "Suede",
    PriceRef!$C$2:$C158, $E110
  ),
  SUMIFS(
    PriceRef!$D$2:$D158,
    PriceRef!$A$2:$A158, "TwoTone",
    PriceRef!$C$2:$C158, $G110
  )
)</f>
        <v>500</v>
      </c>
    </row>
    <row r="111">
      <c r="A111" s="60" t="s">
        <v>1477</v>
      </c>
      <c r="B111" s="61" t="s">
        <v>1478</v>
      </c>
      <c r="C111" s="61" t="s">
        <v>753</v>
      </c>
      <c r="D111" s="61" t="s">
        <v>885</v>
      </c>
      <c r="E111" s="61" t="s">
        <v>1479</v>
      </c>
      <c r="F111" s="61"/>
      <c r="G111" s="61"/>
      <c r="H111" s="62" t="s">
        <v>886</v>
      </c>
      <c r="I111" s="63" t="s">
        <v>1497</v>
      </c>
      <c r="J111" s="65" t="s">
        <v>817</v>
      </c>
      <c r="K111" s="66" t="str">
        <f t="shared" si="1"/>
        <v>3LZ AH2 HUX N2Z</v>
      </c>
      <c r="L111" s="64">
        <f>SUM(
  SUMIFS(
    PriceRef!$D$2:$D158,
    PriceRef!$A$2:$A158, "Seat",
    PriceRef!$B$2:$B158, $B111,
    PriceRef!$C$2:$C158, $C111
  ),
  SUMIFS(
    PriceRef!$D$2:$D158,
    PriceRef!$A$2:$A158, "Stitching",
    PriceRef!$C$2:$C158, $F111
  ),
  SUMIFS(
    PriceRef!$D$2:$D158,
    PriceRef!$A$2:$A158, "Suede",
    PriceRef!$C$2:$C158, $E111
  ),
  SUMIFS(
    PriceRef!$D$2:$D158,
    PriceRef!$A$2:$A158, "TwoTone",
    PriceRef!$C$2:$C158, $G111
  )
)</f>
        <v>695</v>
      </c>
    </row>
    <row r="112">
      <c r="A112" s="60" t="s">
        <v>1477</v>
      </c>
      <c r="B112" s="61" t="s">
        <v>1478</v>
      </c>
      <c r="C112" s="61" t="s">
        <v>726</v>
      </c>
      <c r="D112" s="61" t="s">
        <v>885</v>
      </c>
      <c r="E112" s="61" t="s">
        <v>1479</v>
      </c>
      <c r="F112" s="61"/>
      <c r="G112" s="61"/>
      <c r="H112" s="62" t="s">
        <v>886</v>
      </c>
      <c r="I112" s="63" t="s">
        <v>1498</v>
      </c>
      <c r="J112" s="65" t="s">
        <v>817</v>
      </c>
      <c r="K112" s="66" t="str">
        <f t="shared" si="1"/>
        <v>3LZ AE4 HUX N2Z</v>
      </c>
      <c r="L112" s="64">
        <f>SUM(
  SUMIFS(
    PriceRef!$D$2:$D158,
    PriceRef!$A$2:$A158, "Seat",
    PriceRef!$B$2:$B158, $B112,
    PriceRef!$C$2:$C158, $C112
  ),
  SUMIFS(
    PriceRef!$D$2:$D158,
    PriceRef!$A$2:$A158, "Stitching",
    PriceRef!$C$2:$C158, $F112
  ),
  SUMIFS(
    PriceRef!$D$2:$D158,
    PriceRef!$A$2:$A158, "Suede",
    PriceRef!$C$2:$C158, $E112
  ),
  SUMIFS(
    PriceRef!$D$2:$D158,
    PriceRef!$A$2:$A158, "TwoTone",
    PriceRef!$C$2:$C158, $G112
  )
)</f>
        <v>1195</v>
      </c>
    </row>
    <row r="113">
      <c r="A113" s="60" t="s">
        <v>1477</v>
      </c>
      <c r="B113" s="61" t="s">
        <v>1478</v>
      </c>
      <c r="C113" s="61" t="s">
        <v>753</v>
      </c>
      <c r="D113" s="61" t="s">
        <v>889</v>
      </c>
      <c r="E113" s="61"/>
      <c r="F113" s="61"/>
      <c r="G113" s="61"/>
      <c r="H113" s="62" t="s">
        <v>890</v>
      </c>
      <c r="I113" s="63" t="s">
        <v>891</v>
      </c>
      <c r="J113" s="65" t="s">
        <v>817</v>
      </c>
      <c r="K113" s="66" t="str">
        <f t="shared" si="1"/>
        <v>3LZ AH2 EMT</v>
      </c>
      <c r="L113" s="64">
        <f>SUM(
  SUMIFS(
    PriceRef!$D$2:$D158,
    PriceRef!$A$2:$A158, "Seat",
    PriceRef!$B$2:$B158, $B113,
    PriceRef!$C$2:$C158, $C113
  ),
  SUMIFS(
    PriceRef!$D$2:$D158,
    PriceRef!$A$2:$A158, "Stitching",
    PriceRef!$C$2:$C158, $F113
  ),
  SUMIFS(
    PriceRef!$D$2:$D158,
    PriceRef!$A$2:$A158, "Suede",
    PriceRef!$C$2:$C158, $E113
  ),
  SUMIFS(
    PriceRef!$D$2:$D158,
    PriceRef!$A$2:$A158, "TwoTone",
    PriceRef!$C$2:$C158, $G113
  )
)</f>
        <v>0</v>
      </c>
    </row>
    <row r="114">
      <c r="A114" s="60" t="s">
        <v>1477</v>
      </c>
      <c r="B114" s="61" t="s">
        <v>1478</v>
      </c>
      <c r="C114" s="61" t="s">
        <v>726</v>
      </c>
      <c r="D114" s="61" t="s">
        <v>889</v>
      </c>
      <c r="E114" s="61"/>
      <c r="F114" s="61"/>
      <c r="G114" s="61"/>
      <c r="H114" s="62" t="s">
        <v>890</v>
      </c>
      <c r="I114" s="63" t="s">
        <v>892</v>
      </c>
      <c r="J114" s="65" t="s">
        <v>817</v>
      </c>
      <c r="K114" s="66" t="str">
        <f t="shared" si="1"/>
        <v>3LZ AE4 EMT</v>
      </c>
      <c r="L114" s="64">
        <f>SUM(
  SUMIFS(
    PriceRef!$D$2:$D158,
    PriceRef!$A$2:$A158, "Seat",
    PriceRef!$B$2:$B158, $B114,
    PriceRef!$C$2:$C158, $C114
  ),
  SUMIFS(
    PriceRef!$D$2:$D158,
    PriceRef!$A$2:$A158, "Stitching",
    PriceRef!$C$2:$C158, $F114
  ),
  SUMIFS(
    PriceRef!$D$2:$D158,
    PriceRef!$A$2:$A158, "Suede",
    PriceRef!$C$2:$C158, $E114
  ),
  SUMIFS(
    PriceRef!$D$2:$D158,
    PriceRef!$A$2:$A158, "TwoTone",
    PriceRef!$C$2:$C158, $G114
  )
)</f>
        <v>500</v>
      </c>
    </row>
    <row r="115">
      <c r="A115" s="60" t="s">
        <v>1477</v>
      </c>
      <c r="B115" s="61" t="s">
        <v>1478</v>
      </c>
      <c r="C115" s="61" t="s">
        <v>753</v>
      </c>
      <c r="D115" s="61" t="s">
        <v>893</v>
      </c>
      <c r="E115" s="61" t="s">
        <v>1479</v>
      </c>
      <c r="F115" s="61"/>
      <c r="G115" s="61"/>
      <c r="H115" s="62" t="s">
        <v>894</v>
      </c>
      <c r="I115" s="63" t="s">
        <v>1499</v>
      </c>
      <c r="J115" s="65" t="s">
        <v>817</v>
      </c>
      <c r="K115" s="66" t="str">
        <f t="shared" si="1"/>
        <v>3LZ AH2 EPX N2Z</v>
      </c>
      <c r="L115" s="64">
        <f>SUM(
  SUMIFS(
    PriceRef!$D$2:$D158,
    PriceRef!$A$2:$A158, "Seat",
    PriceRef!$B$2:$B158, $B115,
    PriceRef!$C$2:$C158, $C115
  ),
  SUMIFS(
    PriceRef!$D$2:$D158,
    PriceRef!$A$2:$A158, "Stitching",
    PriceRef!$C$2:$C158, $F115
  ),
  SUMIFS(
    PriceRef!$D$2:$D158,
    PriceRef!$A$2:$A158, "Suede",
    PriceRef!$C$2:$C158, $E115
  ),
  SUMIFS(
    PriceRef!$D$2:$D158,
    PriceRef!$A$2:$A158, "TwoTone",
    PriceRef!$C$2:$C158, $G115
  )
)</f>
        <v>695</v>
      </c>
    </row>
    <row r="116">
      <c r="A116" s="60" t="s">
        <v>1477</v>
      </c>
      <c r="B116" s="61" t="s">
        <v>1478</v>
      </c>
      <c r="C116" s="61" t="s">
        <v>726</v>
      </c>
      <c r="D116" s="61" t="s">
        <v>893</v>
      </c>
      <c r="E116" s="61" t="s">
        <v>1479</v>
      </c>
      <c r="F116" s="61"/>
      <c r="G116" s="61"/>
      <c r="H116" s="62" t="s">
        <v>894</v>
      </c>
      <c r="I116" s="63" t="s">
        <v>1499</v>
      </c>
      <c r="J116" s="65" t="s">
        <v>817</v>
      </c>
      <c r="K116" s="66" t="str">
        <f t="shared" si="1"/>
        <v>3LZ AE4 EPX N2Z</v>
      </c>
      <c r="L116" s="64">
        <f>SUM(
  SUMIFS(
    PriceRef!$D$2:$D158,
    PriceRef!$A$2:$A158, "Seat",
    PriceRef!$B$2:$B158, $B116,
    PriceRef!$C$2:$C158, $C116
  ),
  SUMIFS(
    PriceRef!$D$2:$D158,
    PriceRef!$A$2:$A158, "Stitching",
    PriceRef!$C$2:$C158, $F116
  ),
  SUMIFS(
    PriceRef!$D$2:$D158,
    PriceRef!$A$2:$A158, "Suede",
    PriceRef!$C$2:$C158, $E116
  ),
  SUMIFS(
    PriceRef!$D$2:$D158,
    PriceRef!$A$2:$A158, "TwoTone",
    PriceRef!$C$2:$C158, $G116
  )
)</f>
        <v>1195</v>
      </c>
    </row>
    <row r="117">
      <c r="A117" s="60" t="s">
        <v>1477</v>
      </c>
      <c r="B117" s="61" t="s">
        <v>1478</v>
      </c>
      <c r="C117" s="61" t="s">
        <v>753</v>
      </c>
      <c r="D117" s="61" t="s">
        <v>897</v>
      </c>
      <c r="E117" s="61"/>
      <c r="F117" s="61"/>
      <c r="G117" s="61"/>
      <c r="H117" s="62" t="s">
        <v>898</v>
      </c>
      <c r="I117" s="63" t="s">
        <v>899</v>
      </c>
      <c r="J117" s="65" t="s">
        <v>817</v>
      </c>
      <c r="K117" s="66" t="str">
        <f t="shared" si="1"/>
        <v>3LZ AH2 EJH</v>
      </c>
      <c r="L117" s="64">
        <f>SUM(
  SUMIFS(
    PriceRef!$D$2:$D158,
    PriceRef!$A$2:$A158, "Seat",
    PriceRef!$B$2:$B158, $B117,
    PriceRef!$C$2:$C158, $C117
  ),
  SUMIFS(
    PriceRef!$D$2:$D158,
    PriceRef!$A$2:$A158, "Stitching",
    PriceRef!$C$2:$C158, $F117
  ),
  SUMIFS(
    PriceRef!$D$2:$D158,
    PriceRef!$A$2:$A158, "Suede",
    PriceRef!$C$2:$C158, $E117
  ),
  SUMIFS(
    PriceRef!$D$2:$D158,
    PriceRef!$A$2:$A158, "TwoTone",
    PriceRef!$C$2:$C158, $G117
  )
)</f>
        <v>0</v>
      </c>
    </row>
    <row r="118">
      <c r="A118" s="60" t="s">
        <v>1477</v>
      </c>
      <c r="B118" s="61" t="s">
        <v>1478</v>
      </c>
      <c r="C118" s="61" t="s">
        <v>726</v>
      </c>
      <c r="D118" s="61" t="s">
        <v>897</v>
      </c>
      <c r="E118" s="61"/>
      <c r="F118" s="61"/>
      <c r="G118" s="61"/>
      <c r="H118" s="62" t="s">
        <v>900</v>
      </c>
      <c r="I118" s="63" t="s">
        <v>901</v>
      </c>
      <c r="J118" s="65" t="s">
        <v>817</v>
      </c>
      <c r="K118" s="66" t="str">
        <f t="shared" si="1"/>
        <v>3LZ AE4 EJH</v>
      </c>
      <c r="L118" s="64">
        <f>SUM(
  SUMIFS(
    PriceRef!$D$2:$D158,
    PriceRef!$A$2:$A158, "Seat",
    PriceRef!$B$2:$B158, $B118,
    PriceRef!$C$2:$C158, $C118
  ),
  SUMIFS(
    PriceRef!$D$2:$D158,
    PriceRef!$A$2:$A158, "Stitching",
    PriceRef!$C$2:$C158, $F118
  ),
  SUMIFS(
    PriceRef!$D$2:$D158,
    PriceRef!$A$2:$A158, "Suede",
    PriceRef!$C$2:$C158, $E118
  ),
  SUMIFS(
    PriceRef!$D$2:$D158,
    PriceRef!$A$2:$A158, "TwoTone",
    PriceRef!$C$2:$C158, $G118
  )
)</f>
        <v>500</v>
      </c>
    </row>
    <row r="119">
      <c r="A119" s="60" t="s">
        <v>1477</v>
      </c>
      <c r="B119" s="61" t="s">
        <v>1478</v>
      </c>
      <c r="C119" s="61" t="s">
        <v>753</v>
      </c>
      <c r="D119" s="61" t="s">
        <v>902</v>
      </c>
      <c r="E119" s="61"/>
      <c r="F119" s="61"/>
      <c r="G119" s="61"/>
      <c r="H119" s="62" t="s">
        <v>903</v>
      </c>
      <c r="I119" s="63" t="s">
        <v>904</v>
      </c>
      <c r="J119" s="65" t="s">
        <v>817</v>
      </c>
      <c r="K119" s="66" t="str">
        <f t="shared" si="1"/>
        <v>3LZ AH2 HZN</v>
      </c>
      <c r="L119" s="64">
        <f>SUM(
  SUMIFS(
    PriceRef!$D$2:$D158,
    PriceRef!$A$2:$A158, "Seat",
    PriceRef!$B$2:$B158, $B119,
    PriceRef!$C$2:$C158, $C119
  ),
  SUMIFS(
    PriceRef!$D$2:$D158,
    PriceRef!$A$2:$A158, "Stitching",
    PriceRef!$C$2:$C158, $F119
  ),
  SUMIFS(
    PriceRef!$D$2:$D158,
    PriceRef!$A$2:$A158, "Suede",
    PriceRef!$C$2:$C158, $E119
  ),
  SUMIFS(
    PriceRef!$D$2:$D158,
    PriceRef!$A$2:$A158, "TwoTone",
    PriceRef!$C$2:$C158, $G119
  )
)</f>
        <v>0</v>
      </c>
    </row>
    <row r="120">
      <c r="A120" s="60" t="s">
        <v>1477</v>
      </c>
      <c r="B120" s="61" t="s">
        <v>1478</v>
      </c>
      <c r="C120" s="61" t="s">
        <v>726</v>
      </c>
      <c r="D120" s="61" t="s">
        <v>902</v>
      </c>
      <c r="E120" s="61"/>
      <c r="F120" s="61"/>
      <c r="G120" s="61"/>
      <c r="H120" s="62" t="s">
        <v>903</v>
      </c>
      <c r="I120" s="63" t="s">
        <v>905</v>
      </c>
      <c r="J120" s="65" t="s">
        <v>817</v>
      </c>
      <c r="K120" s="66" t="str">
        <f t="shared" si="1"/>
        <v>3LZ AE4 HZN</v>
      </c>
      <c r="L120" s="64">
        <f>SUM(
  SUMIFS(
    PriceRef!$D$2:$D158,
    PriceRef!$A$2:$A158, "Seat",
    PriceRef!$B$2:$B158, $B120,
    PriceRef!$C$2:$C158, $C120
  ),
  SUMIFS(
    PriceRef!$D$2:$D158,
    PriceRef!$A$2:$A158, "Stitching",
    PriceRef!$C$2:$C158, $F120
  ),
  SUMIFS(
    PriceRef!$D$2:$D158,
    PriceRef!$A$2:$A158, "Suede",
    PriceRef!$C$2:$C158, $E120
  ),
  SUMIFS(
    PriceRef!$D$2:$D158,
    PriceRef!$A$2:$A158, "TwoTone",
    PriceRef!$C$2:$C158, $G120
  )
)</f>
        <v>500</v>
      </c>
    </row>
    <row r="121">
      <c r="A121" s="60" t="s">
        <v>1500</v>
      </c>
      <c r="B121" s="61" t="s">
        <v>1501</v>
      </c>
      <c r="C121" s="61" t="s">
        <v>753</v>
      </c>
      <c r="D121" s="61" t="s">
        <v>908</v>
      </c>
      <c r="E121" s="61" t="s">
        <v>1479</v>
      </c>
      <c r="F121" s="61"/>
      <c r="G121" s="61"/>
      <c r="H121" s="62" t="s">
        <v>909</v>
      </c>
      <c r="I121" s="63" t="s">
        <v>1502</v>
      </c>
      <c r="J121" s="65" t="s">
        <v>817</v>
      </c>
      <c r="K121" s="66" t="str">
        <f t="shared" si="1"/>
        <v>3LZ R6X AH2 HM0 N2Z</v>
      </c>
      <c r="L121" s="64">
        <f>SUM(
  SUMIFS(
    PriceRef!$D$2:$D158,
    PriceRef!$A$2:$A158, "Seat",
    PriceRef!$B$2:$B158, $B121,
    PriceRef!$C$2:$C158, $C121
  ),
  SUMIFS(
    PriceRef!$D$2:$D158,
    PriceRef!$A$2:$A158, "Stitching",
    PriceRef!$C$2:$C158, $F121
  ),
  SUMIFS(
    PriceRef!$D$2:$D158,
    PriceRef!$A$2:$A158, "Suede",
    PriceRef!$C$2:$C158, $E121
  ),
  SUMIFS(
    PriceRef!$D$2:$D158,
    PriceRef!$A$2:$A158, "TwoTone",
    PriceRef!$C$2:$C158, $G121
  )
)</f>
        <v>1390</v>
      </c>
    </row>
    <row r="122">
      <c r="A122" s="60" t="s">
        <v>1500</v>
      </c>
      <c r="B122" s="61" t="s">
        <v>1501</v>
      </c>
      <c r="C122" s="61" t="s">
        <v>753</v>
      </c>
      <c r="D122" s="61" t="s">
        <v>908</v>
      </c>
      <c r="E122" s="61" t="s">
        <v>1479</v>
      </c>
      <c r="F122" s="61"/>
      <c r="G122" s="61" t="s">
        <v>767</v>
      </c>
      <c r="H122" s="62" t="s">
        <v>911</v>
      </c>
      <c r="I122" s="63" t="s">
        <v>1503</v>
      </c>
      <c r="J122" s="65" t="s">
        <v>817</v>
      </c>
      <c r="K122" s="66" t="str">
        <f t="shared" si="1"/>
        <v>3LZ R6X AH2 HM0 N2Z TU7</v>
      </c>
      <c r="L122" s="64">
        <f>SUM(
  SUMIFS(
    PriceRef!$D$2:$D158,
    PriceRef!$A$2:$A158, "Seat",
    PriceRef!$B$2:$B158, $B122,
    PriceRef!$C$2:$C158, $C122
  ),
  SUMIFS(
    PriceRef!$D$2:$D158,
    PriceRef!$A$2:$A158, "Stitching",
    PriceRef!$C$2:$C158, $F122
  ),
  SUMIFS(
    PriceRef!$D$2:$D158,
    PriceRef!$A$2:$A158, "Suede",
    PriceRef!$C$2:$C158, $E122
  ),
  SUMIFS(
    PriceRef!$D$2:$D158,
    PriceRef!$A$2:$A158, "TwoTone",
    PriceRef!$C$2:$C158, $G122
  )
)</f>
        <v>1985</v>
      </c>
    </row>
    <row r="123">
      <c r="A123" s="60" t="s">
        <v>1500</v>
      </c>
      <c r="B123" s="61" t="s">
        <v>1501</v>
      </c>
      <c r="C123" s="61" t="s">
        <v>753</v>
      </c>
      <c r="D123" s="61" t="s">
        <v>913</v>
      </c>
      <c r="E123" s="61"/>
      <c r="F123" s="61" t="s">
        <v>746</v>
      </c>
      <c r="G123" s="61"/>
      <c r="H123" s="62" t="s">
        <v>914</v>
      </c>
      <c r="I123" s="63" t="s">
        <v>915</v>
      </c>
      <c r="J123" s="65" t="s">
        <v>817</v>
      </c>
      <c r="K123" s="66" t="str">
        <f t="shared" si="1"/>
        <v>3LZ R6X AH2 HU0 38S</v>
      </c>
      <c r="L123" s="64">
        <f>SUM(
  SUMIFS(
    PriceRef!$D$2:$D158,
    PriceRef!$A$2:$A158, "Seat",
    PriceRef!$B$2:$B158, $B123,
    PriceRef!$C$2:$C158, $C123
  ),
  SUMIFS(
    PriceRef!$D$2:$D158,
    PriceRef!$A$2:$A158, "Stitching",
    PriceRef!$C$2:$C158, $F123
  ),
  SUMIFS(
    PriceRef!$D$2:$D158,
    PriceRef!$A$2:$A158, "Suede",
    PriceRef!$C$2:$C158, $E123
  ),
  SUMIFS(
    PriceRef!$D$2:$D158,
    PriceRef!$A$2:$A158, "TwoTone",
    PriceRef!$C$2:$C158, $G123
  )
)</f>
        <v>1190</v>
      </c>
    </row>
    <row r="124">
      <c r="A124" s="60" t="s">
        <v>1500</v>
      </c>
      <c r="B124" s="61" t="s">
        <v>1501</v>
      </c>
      <c r="C124" s="61" t="s">
        <v>726</v>
      </c>
      <c r="D124" s="61" t="s">
        <v>913</v>
      </c>
      <c r="E124" s="61"/>
      <c r="F124" s="61" t="s">
        <v>746</v>
      </c>
      <c r="G124" s="61"/>
      <c r="H124" s="62" t="s">
        <v>914</v>
      </c>
      <c r="I124" s="63" t="s">
        <v>916</v>
      </c>
      <c r="J124" s="65" t="s">
        <v>817</v>
      </c>
      <c r="K124" s="66" t="str">
        <f t="shared" si="1"/>
        <v>3LZ R6X AE4 HU0 38S</v>
      </c>
      <c r="L124" s="64">
        <f>SUM(
  SUMIFS(
    PriceRef!$D$2:$D158,
    PriceRef!$A$2:$A158, "Seat",
    PriceRef!$B$2:$B158, $B124,
    PriceRef!$C$2:$C158, $C124
  ),
  SUMIFS(
    PriceRef!$D$2:$D158,
    PriceRef!$A$2:$A158, "Stitching",
    PriceRef!$C$2:$C158, $F124
  ),
  SUMIFS(
    PriceRef!$D$2:$D158,
    PriceRef!$A$2:$A158, "Suede",
    PriceRef!$C$2:$C158, $E124
  ),
  SUMIFS(
    PriceRef!$D$2:$D158,
    PriceRef!$A$2:$A158, "TwoTone",
    PriceRef!$C$2:$C158, $G124
  )
)</f>
        <v>1690</v>
      </c>
    </row>
    <row r="125">
      <c r="A125" s="60" t="s">
        <v>1500</v>
      </c>
      <c r="B125" s="61" t="s">
        <v>1501</v>
      </c>
      <c r="C125" s="61" t="s">
        <v>753</v>
      </c>
      <c r="D125" s="61" t="s">
        <v>913</v>
      </c>
      <c r="E125" s="61"/>
      <c r="F125" s="61" t="s">
        <v>746</v>
      </c>
      <c r="G125" s="61" t="s">
        <v>767</v>
      </c>
      <c r="H125" s="62" t="s">
        <v>917</v>
      </c>
      <c r="I125" s="63" t="s">
        <v>918</v>
      </c>
      <c r="J125" s="65" t="s">
        <v>817</v>
      </c>
      <c r="K125" s="66" t="str">
        <f t="shared" si="1"/>
        <v>3LZ R6X AH2 HU0 38S TU7</v>
      </c>
      <c r="L125" s="64">
        <f>SUM(
  SUMIFS(
    PriceRef!$D$2:$D158,
    PriceRef!$A$2:$A158, "Seat",
    PriceRef!$B$2:$B158, $B125,
    PriceRef!$C$2:$C158, $C125
  ),
  SUMIFS(
    PriceRef!$D$2:$D158,
    PriceRef!$A$2:$A158, "Stitching",
    PriceRef!$C$2:$C158, $F125
  ),
  SUMIFS(
    PriceRef!$D$2:$D158,
    PriceRef!$A$2:$A158, "Suede",
    PriceRef!$C$2:$C158, $E125
  ),
  SUMIFS(
    PriceRef!$D$2:$D158,
    PriceRef!$A$2:$A158, "TwoTone",
    PriceRef!$C$2:$C158, $G125
  )
)</f>
        <v>1785</v>
      </c>
    </row>
    <row r="126">
      <c r="A126" s="60" t="s">
        <v>1500</v>
      </c>
      <c r="B126" s="61" t="s">
        <v>1501</v>
      </c>
      <c r="C126" s="61" t="s">
        <v>753</v>
      </c>
      <c r="D126" s="61" t="s">
        <v>919</v>
      </c>
      <c r="E126" s="61"/>
      <c r="F126" s="61"/>
      <c r="G126" s="61"/>
      <c r="H126" s="62" t="s">
        <v>920</v>
      </c>
      <c r="I126" s="63" t="s">
        <v>921</v>
      </c>
      <c r="J126" s="65" t="s">
        <v>817</v>
      </c>
      <c r="K126" s="66" t="str">
        <f t="shared" si="1"/>
        <v>3LZ R6X AH2 HUU</v>
      </c>
      <c r="L126" s="64">
        <f>SUM(
  SUMIFS(
    PriceRef!$D$2:$D158,
    PriceRef!$A$2:$A158, "Seat",
    PriceRef!$B$2:$B158, $B126,
    PriceRef!$C$2:$C158, $C126
  ),
  SUMIFS(
    PriceRef!$D$2:$D158,
    PriceRef!$A$2:$A158, "Stitching",
    PriceRef!$C$2:$C158, $F126
  ),
  SUMIFS(
    PriceRef!$D$2:$D158,
    PriceRef!$A$2:$A158, "Suede",
    PriceRef!$C$2:$C158, $E126
  ),
  SUMIFS(
    PriceRef!$D$2:$D158,
    PriceRef!$A$2:$A158, "TwoTone",
    PriceRef!$C$2:$C158, $G126
  )
)</f>
        <v>695</v>
      </c>
    </row>
    <row r="127">
      <c r="A127" s="60" t="s">
        <v>1500</v>
      </c>
      <c r="B127" s="61" t="s">
        <v>1501</v>
      </c>
      <c r="C127" s="61" t="s">
        <v>726</v>
      </c>
      <c r="D127" s="61" t="s">
        <v>919</v>
      </c>
      <c r="E127" s="61"/>
      <c r="F127" s="61"/>
      <c r="G127" s="61"/>
      <c r="H127" s="62" t="s">
        <v>920</v>
      </c>
      <c r="I127" s="63" t="s">
        <v>922</v>
      </c>
      <c r="J127" s="65" t="s">
        <v>817</v>
      </c>
      <c r="K127" s="66" t="str">
        <f t="shared" si="1"/>
        <v>3LZ R6X AE4 HUU</v>
      </c>
      <c r="L127" s="64">
        <f>SUM(
  SUMIFS(
    PriceRef!$D$2:$D158,
    PriceRef!$A$2:$A158, "Seat",
    PriceRef!$B$2:$B158, $B127,
    PriceRef!$C$2:$C158, $C127
  ),
  SUMIFS(
    PriceRef!$D$2:$D158,
    PriceRef!$A$2:$A158, "Stitching",
    PriceRef!$C$2:$C158, $F127
  ),
  SUMIFS(
    PriceRef!$D$2:$D158,
    PriceRef!$A$2:$A158, "Suede",
    PriceRef!$C$2:$C158, $E127
  ),
  SUMIFS(
    PriceRef!$D$2:$D158,
    PriceRef!$A$2:$A158, "TwoTone",
    PriceRef!$C$2:$C158, $G127
  )
)</f>
        <v>1195</v>
      </c>
    </row>
    <row r="128">
      <c r="A128" s="60" t="s">
        <v>1500</v>
      </c>
      <c r="B128" s="61" t="s">
        <v>1501</v>
      </c>
      <c r="C128" s="61" t="s">
        <v>753</v>
      </c>
      <c r="D128" s="61" t="s">
        <v>923</v>
      </c>
      <c r="E128" s="61" t="s">
        <v>1479</v>
      </c>
      <c r="F128" s="61"/>
      <c r="G128" s="61"/>
      <c r="H128" s="62" t="s">
        <v>924</v>
      </c>
      <c r="I128" s="63" t="s">
        <v>1504</v>
      </c>
      <c r="J128" s="65" t="s">
        <v>817</v>
      </c>
      <c r="K128" s="66" t="str">
        <f t="shared" si="1"/>
        <v>3LZ R6X AH2 HVT N2Z</v>
      </c>
      <c r="L128" s="64">
        <f>SUM(
  SUMIFS(
    PriceRef!$D$2:$D158,
    PriceRef!$A$2:$A158, "Seat",
    PriceRef!$B$2:$B158, $B128,
    PriceRef!$C$2:$C158, $C128
  ),
  SUMIFS(
    PriceRef!$D$2:$D158,
    PriceRef!$A$2:$A158, "Stitching",
    PriceRef!$C$2:$C158, $F128
  ),
  SUMIFS(
    PriceRef!$D$2:$D158,
    PriceRef!$A$2:$A158, "Suede",
    PriceRef!$C$2:$C158, $E128
  ),
  SUMIFS(
    PriceRef!$D$2:$D158,
    PriceRef!$A$2:$A158, "TwoTone",
    PriceRef!$C$2:$C158, $G128
  )
)</f>
        <v>1390</v>
      </c>
    </row>
    <row r="129">
      <c r="A129" s="60" t="s">
        <v>1500</v>
      </c>
      <c r="B129" s="61" t="s">
        <v>1501</v>
      </c>
      <c r="C129" s="61" t="s">
        <v>753</v>
      </c>
      <c r="D129" s="61" t="s">
        <v>926</v>
      </c>
      <c r="E129" s="61"/>
      <c r="F129" s="61"/>
      <c r="G129" s="61"/>
      <c r="H129" s="62" t="s">
        <v>927</v>
      </c>
      <c r="I129" s="63" t="s">
        <v>928</v>
      </c>
      <c r="J129" s="65" t="s">
        <v>817</v>
      </c>
      <c r="K129" s="66" t="str">
        <f t="shared" si="1"/>
        <v>3LZ R6X AH2 HVV</v>
      </c>
      <c r="L129" s="64">
        <f>SUM(
  SUMIFS(
    PriceRef!$D$2:$D158,
    PriceRef!$A$2:$A158, "Seat",
    PriceRef!$B$2:$B158, $B129,
    PriceRef!$C$2:$C158, $C129
  ),
  SUMIFS(
    PriceRef!$D$2:$D158,
    PriceRef!$A$2:$A158, "Stitching",
    PriceRef!$C$2:$C158, $F129
  ),
  SUMIFS(
    PriceRef!$D$2:$D158,
    PriceRef!$A$2:$A158, "Suede",
    PriceRef!$C$2:$C158, $E129
  ),
  SUMIFS(
    PriceRef!$D$2:$D158,
    PriceRef!$A$2:$A158, "TwoTone",
    PriceRef!$C$2:$C158, $G129
  )
)</f>
        <v>695</v>
      </c>
    </row>
    <row r="130">
      <c r="A130" s="60" t="s">
        <v>1500</v>
      </c>
      <c r="B130" s="61" t="s">
        <v>1501</v>
      </c>
      <c r="C130" s="61" t="s">
        <v>753</v>
      </c>
      <c r="D130" s="61" t="s">
        <v>926</v>
      </c>
      <c r="E130" s="61"/>
      <c r="F130" s="61"/>
      <c r="G130" s="61" t="s">
        <v>767</v>
      </c>
      <c r="H130" s="62" t="s">
        <v>929</v>
      </c>
      <c r="I130" s="63" t="s">
        <v>930</v>
      </c>
      <c r="J130" s="65" t="s">
        <v>817</v>
      </c>
      <c r="K130" s="66" t="str">
        <f t="shared" si="1"/>
        <v>3LZ R6X AH2 HVV TU7</v>
      </c>
      <c r="L130" s="64">
        <f>SUM(
  SUMIFS(
    PriceRef!$D$2:$D158,
    PriceRef!$A$2:$A158, "Seat",
    PriceRef!$B$2:$B158, $B130,
    PriceRef!$C$2:$C158, $C130
  ),
  SUMIFS(
    PriceRef!$D$2:$D158,
    PriceRef!$A$2:$A158, "Stitching",
    PriceRef!$C$2:$C158, $F130
  ),
  SUMIFS(
    PriceRef!$D$2:$D158,
    PriceRef!$A$2:$A158, "Suede",
    PriceRef!$C$2:$C158, $E130
  ),
  SUMIFS(
    PriceRef!$D$2:$D158,
    PriceRef!$A$2:$A158, "TwoTone",
    PriceRef!$C$2:$C158, $G130
  )
)</f>
        <v>1290</v>
      </c>
    </row>
    <row r="131">
      <c r="A131" s="60" t="s">
        <v>1500</v>
      </c>
      <c r="B131" s="61" t="s">
        <v>1501</v>
      </c>
      <c r="C131" s="61" t="s">
        <v>726</v>
      </c>
      <c r="D131" s="61" t="s">
        <v>931</v>
      </c>
      <c r="E131" s="61" t="s">
        <v>1479</v>
      </c>
      <c r="F131" s="61" t="s">
        <v>746</v>
      </c>
      <c r="G131" s="61"/>
      <c r="H131" s="62" t="s">
        <v>932</v>
      </c>
      <c r="I131" s="63" t="s">
        <v>1505</v>
      </c>
      <c r="J131" s="65" t="s">
        <v>817</v>
      </c>
      <c r="K131" s="66" t="str">
        <f t="shared" si="1"/>
        <v>3LZ R6X AE4 HX0 38S N2Z</v>
      </c>
      <c r="L131" s="64">
        <f>SUM(
  SUMIFS(
    PriceRef!$D$2:$D158,
    PriceRef!$A$2:$A158, "Seat",
    PriceRef!$B$2:$B158, $B131,
    PriceRef!$C$2:$C158, $C131
  ),
  SUMIFS(
    PriceRef!$D$2:$D158,
    PriceRef!$A$2:$A158, "Stitching",
    PriceRef!$C$2:$C158, $F131
  ),
  SUMIFS(
    PriceRef!$D$2:$D158,
    PriceRef!$A$2:$A158, "Suede",
    PriceRef!$C$2:$C158, $E131
  ),
  SUMIFS(
    PriceRef!$D$2:$D158,
    PriceRef!$A$2:$A158, "TwoTone",
    PriceRef!$C$2:$C158, $G131
  )
)</f>
        <v>2385</v>
      </c>
    </row>
    <row r="132">
      <c r="A132" s="60" t="s">
        <v>1500</v>
      </c>
      <c r="B132" s="61" t="s">
        <v>1501</v>
      </c>
      <c r="C132" s="61" t="s">
        <v>753</v>
      </c>
      <c r="D132" s="61" t="s">
        <v>931</v>
      </c>
      <c r="E132" s="61" t="s">
        <v>1479</v>
      </c>
      <c r="F132" s="61" t="s">
        <v>746</v>
      </c>
      <c r="G132" s="61" t="s">
        <v>767</v>
      </c>
      <c r="H132" s="62" t="s">
        <v>932</v>
      </c>
      <c r="I132" s="63" t="s">
        <v>1506</v>
      </c>
      <c r="J132" s="65" t="s">
        <v>817</v>
      </c>
      <c r="K132" s="66" t="str">
        <f t="shared" si="1"/>
        <v>3LZ R6X AH2 HX0 38S N2Z TU7</v>
      </c>
      <c r="L132" s="64">
        <f>SUM(
  SUMIFS(
    PriceRef!$D$2:$D158,
    PriceRef!$A$2:$A158, "Seat",
    PriceRef!$B$2:$B158, $B132,
    PriceRef!$C$2:$C158, $C132
  ),
  SUMIFS(
    PriceRef!$D$2:$D158,
    PriceRef!$A$2:$A158, "Stitching",
    PriceRef!$C$2:$C158, $F132
  ),
  SUMIFS(
    PriceRef!$D$2:$D158,
    PriceRef!$A$2:$A158, "Suede",
    PriceRef!$C$2:$C158, $E132
  ),
  SUMIFS(
    PriceRef!$D$2:$D158,
    PriceRef!$A$2:$A158, "TwoTone",
    PriceRef!$C$2:$C158, $G132
  )
)</f>
        <v>2480</v>
      </c>
    </row>
    <row r="133">
      <c r="A133" s="60" t="s">
        <v>1500</v>
      </c>
      <c r="B133" s="61" t="s">
        <v>1501</v>
      </c>
      <c r="C133" s="61" t="s">
        <v>753</v>
      </c>
      <c r="D133" s="61" t="s">
        <v>935</v>
      </c>
      <c r="E133" s="61"/>
      <c r="F133" s="61"/>
      <c r="G133" s="61"/>
      <c r="H133" s="62" t="s">
        <v>936</v>
      </c>
      <c r="I133" s="63" t="s">
        <v>937</v>
      </c>
      <c r="J133" s="65" t="s">
        <v>817</v>
      </c>
      <c r="K133" s="66" t="str">
        <f t="shared" si="1"/>
        <v>3LZ R6X AH2 HZB</v>
      </c>
      <c r="L133" s="64">
        <f>SUM(
  SUMIFS(
    PriceRef!$D$2:$D158,
    PriceRef!$A$2:$A158, "Seat",
    PriceRef!$B$2:$B158, $B133,
    PriceRef!$C$2:$C158, $C133
  ),
  SUMIFS(
    PriceRef!$D$2:$D158,
    PriceRef!$A$2:$A158, "Stitching",
    PriceRef!$C$2:$C158, $F133
  ),
  SUMIFS(
    PriceRef!$D$2:$D158,
    PriceRef!$A$2:$A158, "Suede",
    PriceRef!$C$2:$C158, $E133
  ),
  SUMIFS(
    PriceRef!$D$2:$D158,
    PriceRef!$A$2:$A158, "TwoTone",
    PriceRef!$C$2:$C158, $G133
  )
)</f>
        <v>695</v>
      </c>
    </row>
    <row r="134">
      <c r="A134" s="60" t="s">
        <v>1500</v>
      </c>
      <c r="B134" s="61" t="s">
        <v>1501</v>
      </c>
      <c r="C134" s="61" t="s">
        <v>753</v>
      </c>
      <c r="D134" s="61" t="s">
        <v>938</v>
      </c>
      <c r="E134" s="61" t="s">
        <v>1479</v>
      </c>
      <c r="F134" s="61"/>
      <c r="G134" s="61"/>
      <c r="H134" s="62" t="s">
        <v>939</v>
      </c>
      <c r="I134" s="63" t="s">
        <v>1507</v>
      </c>
      <c r="J134" s="65" t="s">
        <v>817</v>
      </c>
      <c r="K134" s="66" t="str">
        <f t="shared" si="1"/>
        <v>3LZ R6X AH2 HZP N2Z</v>
      </c>
      <c r="L134" s="64">
        <f>SUM(
  SUMIFS(
    PriceRef!$D$2:$D158,
    PriceRef!$A$2:$A158, "Seat",
    PriceRef!$B$2:$B158, $B134,
    PriceRef!$C$2:$C158, $C134
  ),
  SUMIFS(
    PriceRef!$D$2:$D158,
    PriceRef!$A$2:$A158, "Stitching",
    PriceRef!$C$2:$C158, $F134
  ),
  SUMIFS(
    PriceRef!$D$2:$D158,
    PriceRef!$A$2:$A158, "Suede",
    PriceRef!$C$2:$C158, $E134
  ),
  SUMIFS(
    PriceRef!$D$2:$D158,
    PriceRef!$A$2:$A158, "TwoTone",
    PriceRef!$C$2:$C158, $G134
  )
)</f>
        <v>1390</v>
      </c>
    </row>
    <row r="135">
      <c r="A135" s="60" t="s">
        <v>1500</v>
      </c>
      <c r="B135" s="61" t="s">
        <v>1501</v>
      </c>
      <c r="C135" s="61" t="s">
        <v>726</v>
      </c>
      <c r="D135" s="61" t="s">
        <v>938</v>
      </c>
      <c r="E135" s="61" t="s">
        <v>1479</v>
      </c>
      <c r="F135" s="61"/>
      <c r="G135" s="61"/>
      <c r="H135" s="62" t="s">
        <v>939</v>
      </c>
      <c r="I135" s="63" t="s">
        <v>1508</v>
      </c>
      <c r="J135" s="65" t="s">
        <v>817</v>
      </c>
      <c r="K135" s="66" t="str">
        <f t="shared" si="1"/>
        <v>3LZ R6X AE4 HZP N2Z</v>
      </c>
      <c r="L135" s="64">
        <f>SUM(
  SUMIFS(
    PriceRef!$D$2:$D158,
    PriceRef!$A$2:$A158, "Seat",
    PriceRef!$B$2:$B158, $B135,
    PriceRef!$C$2:$C158, $C135
  ),
  SUMIFS(
    PriceRef!$D$2:$D158,
    PriceRef!$A$2:$A158, "Stitching",
    PriceRef!$C$2:$C158, $F135
  ),
  SUMIFS(
    PriceRef!$D$2:$D158,
    PriceRef!$A$2:$A158, "Suede",
    PriceRef!$C$2:$C158, $E135
  ),
  SUMIFS(
    PriceRef!$D$2:$D158,
    PriceRef!$A$2:$A158, "TwoTone",
    PriceRef!$C$2:$C158, $G135
  )
)</f>
        <v>1890</v>
      </c>
    </row>
    <row r="136">
      <c r="A136" s="60" t="s">
        <v>1509</v>
      </c>
      <c r="B136" s="61" t="s">
        <v>1478</v>
      </c>
      <c r="C136" s="61" t="s">
        <v>726</v>
      </c>
      <c r="D136" s="61" t="s">
        <v>726</v>
      </c>
      <c r="E136" s="61"/>
      <c r="F136" s="61"/>
      <c r="G136" s="61"/>
      <c r="H136" s="62" t="s">
        <v>807</v>
      </c>
      <c r="I136" s="63" t="s">
        <v>808</v>
      </c>
      <c r="J136" s="65" t="s">
        <v>942</v>
      </c>
      <c r="K136" s="66" t="str">
        <f t="shared" si="1"/>
        <v>3LZ AE4 AE4</v>
      </c>
      <c r="L136" s="64">
        <f>SUM(
  SUMIFS(
    PriceRef!$D$2:$D158,
    PriceRef!$A$2:$A158, "Seat",
    PriceRef!$B$2:$B158, $B136,
    PriceRef!$C$2:$C158, $C136
  ),
  SUMIFS(
    PriceRef!$D$2:$D158,
    PriceRef!$A$2:$A158, "Stitching",
    PriceRef!$C$2:$C158, $F136
  ),
  SUMIFS(
    PriceRef!$D$2:$D158,
    PriceRef!$A$2:$A158, "Suede",
    PriceRef!$C$2:$C158, $E136
  ),
  SUMIFS(
    PriceRef!$D$2:$D158,
    PriceRef!$A$2:$A158, "TwoTone",
    PriceRef!$C$2:$C158, $G136
  )
)</f>
        <v>500</v>
      </c>
    </row>
    <row r="137">
      <c r="A137" s="60" t="s">
        <v>1509</v>
      </c>
      <c r="B137" s="61" t="s">
        <v>1478</v>
      </c>
      <c r="C137" s="61" t="s">
        <v>753</v>
      </c>
      <c r="D137" s="61" t="s">
        <v>753</v>
      </c>
      <c r="E137" s="61"/>
      <c r="F137" s="61"/>
      <c r="G137" s="61"/>
      <c r="H137" s="62" t="s">
        <v>810</v>
      </c>
      <c r="I137" s="63" t="s">
        <v>811</v>
      </c>
      <c r="J137" s="65" t="s">
        <v>942</v>
      </c>
      <c r="K137" s="66" t="str">
        <f t="shared" si="1"/>
        <v>3LZ AH2 AH2</v>
      </c>
      <c r="L137" s="64">
        <f>SUM(
  SUMIFS(
    PriceRef!$D$2:$D158,
    PriceRef!$A$2:$A158, "Seat",
    PriceRef!$B$2:$B158, $B137,
    PriceRef!$C$2:$C158, $C137
  ),
  SUMIFS(
    PriceRef!$D$2:$D158,
    PriceRef!$A$2:$A158, "Stitching",
    PriceRef!$C$2:$C158, $F137
  ),
  SUMIFS(
    PriceRef!$D$2:$D158,
    PriceRef!$A$2:$A158, "Suede",
    PriceRef!$C$2:$C158, $E137
  ),
  SUMIFS(
    PriceRef!$D$2:$D158,
    PriceRef!$A$2:$A158, "TwoTone",
    PriceRef!$C$2:$C158, $G137
  )
)</f>
        <v>0</v>
      </c>
    </row>
    <row r="138">
      <c r="A138" s="60" t="s">
        <v>1509</v>
      </c>
      <c r="B138" s="61" t="s">
        <v>1478</v>
      </c>
      <c r="C138" s="61" t="s">
        <v>822</v>
      </c>
      <c r="D138" s="61" t="s">
        <v>822</v>
      </c>
      <c r="E138" s="61"/>
      <c r="F138" s="61"/>
      <c r="G138" s="61"/>
      <c r="H138" s="62" t="s">
        <v>943</v>
      </c>
      <c r="I138" s="63" t="s">
        <v>944</v>
      </c>
      <c r="J138" s="65" t="s">
        <v>942</v>
      </c>
      <c r="K138" s="66" t="str">
        <f t="shared" si="1"/>
        <v>3LZ AUP AUP</v>
      </c>
      <c r="L138" s="64">
        <f>SUM(
  SUMIFS(
    PriceRef!$D$2:$D158,
    PriceRef!$A$2:$A158, "Seat",
    PriceRef!$B$2:$B158, $B138,
    PriceRef!$C$2:$C158, $C138
  ),
  SUMIFS(
    PriceRef!$D$2:$D158,
    PriceRef!$A$2:$A158, "Stitching",
    PriceRef!$C$2:$C158, $F138
  ),
  SUMIFS(
    PriceRef!$D$2:$D158,
    PriceRef!$A$2:$A158, "Suede",
    PriceRef!$C$2:$C158, $E138
  ),
  SUMIFS(
    PriceRef!$D$2:$D158,
    PriceRef!$A$2:$A158, "TwoTone",
    PriceRef!$C$2:$C158, $G138
  )
)</f>
        <v>250</v>
      </c>
    </row>
    <row r="139">
      <c r="A139" s="60" t="s">
        <v>945</v>
      </c>
      <c r="B139" s="61"/>
      <c r="C139" s="61"/>
      <c r="D139" s="61" t="s">
        <v>946</v>
      </c>
      <c r="E139" s="61"/>
      <c r="F139" s="61"/>
      <c r="G139" s="61"/>
      <c r="H139" s="62" t="s">
        <v>947</v>
      </c>
      <c r="I139" s="63" t="s">
        <v>948</v>
      </c>
      <c r="J139" s="65" t="s">
        <v>949</v>
      </c>
      <c r="K139" s="66" t="str">
        <f t="shared" si="1"/>
        <v>D30</v>
      </c>
      <c r="L139" s="64">
        <v>695.0</v>
      </c>
    </row>
    <row r="140">
      <c r="A140" s="60" t="s">
        <v>945</v>
      </c>
      <c r="B140" s="62" t="s">
        <v>1501</v>
      </c>
      <c r="C140" s="61"/>
      <c r="D140" s="61" t="s">
        <v>946</v>
      </c>
      <c r="E140" s="61"/>
      <c r="F140" s="61"/>
      <c r="G140" s="62"/>
      <c r="H140" s="62" t="s">
        <v>1510</v>
      </c>
      <c r="I140" s="63" t="s">
        <v>950</v>
      </c>
      <c r="J140" s="65" t="s">
        <v>949</v>
      </c>
      <c r="K140" s="66" t="str">
        <f t="shared" si="1"/>
        <v>3LZ R6X D30</v>
      </c>
      <c r="L140" s="64">
        <v>0.0</v>
      </c>
    </row>
    <row r="141">
      <c r="A141" s="60" t="s">
        <v>602</v>
      </c>
      <c r="B141" s="61" t="s">
        <v>1475</v>
      </c>
      <c r="C141" s="61"/>
      <c r="D141" s="61" t="s">
        <v>9</v>
      </c>
      <c r="E141" s="61"/>
      <c r="F141" s="61"/>
      <c r="G141" s="61"/>
      <c r="H141" s="62" t="s">
        <v>951</v>
      </c>
      <c r="I141" s="63" t="s">
        <v>1511</v>
      </c>
      <c r="J141" s="65" t="s">
        <v>949</v>
      </c>
      <c r="K141" s="66" t="str">
        <f t="shared" si="1"/>
        <v>2LZ BAZ</v>
      </c>
      <c r="L141" s="64">
        <v>595.0</v>
      </c>
    </row>
    <row r="142">
      <c r="A142" s="60" t="s">
        <v>602</v>
      </c>
      <c r="B142" s="61" t="s">
        <v>1478</v>
      </c>
      <c r="C142" s="61"/>
      <c r="D142" s="61" t="s">
        <v>9</v>
      </c>
      <c r="E142" s="61"/>
      <c r="F142" s="61"/>
      <c r="G142" s="61"/>
      <c r="H142" s="62" t="s">
        <v>951</v>
      </c>
      <c r="I142" s="63" t="s">
        <v>1512</v>
      </c>
      <c r="J142" s="65" t="s">
        <v>949</v>
      </c>
      <c r="K142" s="66" t="str">
        <f t="shared" si="1"/>
        <v>3LZ BAZ</v>
      </c>
      <c r="L142" s="64">
        <v>595.0</v>
      </c>
    </row>
    <row r="143">
      <c r="A143" s="60" t="s">
        <v>602</v>
      </c>
      <c r="B143" s="61" t="s">
        <v>1475</v>
      </c>
      <c r="C143" s="61"/>
      <c r="D143" s="61" t="s">
        <v>953</v>
      </c>
      <c r="E143" s="61"/>
      <c r="F143" s="61"/>
      <c r="G143" s="61"/>
      <c r="H143" s="62" t="s">
        <v>954</v>
      </c>
      <c r="I143" s="63" t="s">
        <v>1513</v>
      </c>
      <c r="J143" s="65" t="s">
        <v>949</v>
      </c>
      <c r="K143" s="66" t="str">
        <f t="shared" si="1"/>
        <v>2LZ FA5</v>
      </c>
      <c r="L143" s="64">
        <v>1500.0</v>
      </c>
    </row>
    <row r="144">
      <c r="A144" s="60" t="s">
        <v>602</v>
      </c>
      <c r="B144" s="61" t="s">
        <v>1478</v>
      </c>
      <c r="C144" s="61"/>
      <c r="D144" s="61" t="s">
        <v>953</v>
      </c>
      <c r="E144" s="61"/>
      <c r="F144" s="61"/>
      <c r="G144" s="61"/>
      <c r="H144" s="62" t="s">
        <v>954</v>
      </c>
      <c r="I144" s="63" t="s">
        <v>1514</v>
      </c>
      <c r="J144" s="65" t="s">
        <v>949</v>
      </c>
      <c r="K144" s="66" t="str">
        <f t="shared" si="1"/>
        <v>3LZ FA5</v>
      </c>
      <c r="L144" s="64">
        <v>1500.0</v>
      </c>
    </row>
    <row r="145">
      <c r="A145" s="60" t="s">
        <v>602</v>
      </c>
      <c r="B145" s="61" t="s">
        <v>1478</v>
      </c>
      <c r="C145" s="61"/>
      <c r="D145" s="61" t="s">
        <v>12</v>
      </c>
      <c r="E145" s="61"/>
      <c r="F145" s="61"/>
      <c r="G145" s="61"/>
      <c r="H145" s="62" t="s">
        <v>1515</v>
      </c>
      <c r="I145" s="63" t="s">
        <v>1516</v>
      </c>
      <c r="J145" s="65" t="s">
        <v>949</v>
      </c>
      <c r="K145" s="66" t="str">
        <f t="shared" si="1"/>
        <v>3LZ FA6</v>
      </c>
      <c r="L145" s="64">
        <v>4995.0</v>
      </c>
    </row>
    <row r="146">
      <c r="A146" s="60" t="s">
        <v>602</v>
      </c>
      <c r="B146" s="61" t="s">
        <v>1478</v>
      </c>
      <c r="C146" s="61"/>
      <c r="D146" s="61" t="s">
        <v>1517</v>
      </c>
      <c r="E146" s="61"/>
      <c r="F146" s="61"/>
      <c r="G146" s="61"/>
      <c r="H146" s="62" t="s">
        <v>1518</v>
      </c>
      <c r="I146" s="63" t="s">
        <v>1519</v>
      </c>
      <c r="J146" s="65" t="s">
        <v>949</v>
      </c>
      <c r="K146" s="66" t="str">
        <f t="shared" si="1"/>
        <v>3LZ DY0</v>
      </c>
      <c r="L146" s="64">
        <v>695.0</v>
      </c>
    </row>
    <row r="147">
      <c r="A147" s="60" t="s">
        <v>602</v>
      </c>
      <c r="B147" s="61" t="s">
        <v>1472</v>
      </c>
      <c r="C147" s="61"/>
      <c r="D147" s="61"/>
      <c r="E147" s="61" t="s">
        <v>728</v>
      </c>
      <c r="F147" s="61"/>
      <c r="G147" s="61"/>
      <c r="H147" s="62" t="s">
        <v>956</v>
      </c>
      <c r="I147" s="63" t="s">
        <v>1520</v>
      </c>
      <c r="J147" s="65" t="s">
        <v>949</v>
      </c>
      <c r="K147" s="66" t="str">
        <f t="shared" si="1"/>
        <v>1LZ N26</v>
      </c>
      <c r="L147" s="64">
        <f>SUM(
  SUMIFS(
    PriceRef!$D$2:$D158,
    PriceRef!$A$2:$A158, "Seat",
    PriceRef!$B$2:$B158, $B147,
    PriceRef!$C$2:$C158, $C147
  ),
  SUMIFS(
    PriceRef!$D$2:$D158,
    PriceRef!$A$2:$A158, "Stitching",
    PriceRef!$C$2:$C158, $F147
  ),
  SUMIFS(
    PriceRef!$D$2:$D158,
    PriceRef!$A$2:$A158, "Suede",
    PriceRef!$C$2:$C158, $E147
  ),
  SUMIFS(
    PriceRef!$D$2:$D158,
    PriceRef!$A$2:$A158, "TwoTone",
    PriceRef!$C$2:$C158, $G147
  )
)</f>
        <v>695</v>
      </c>
    </row>
    <row r="148">
      <c r="A148" s="60" t="s">
        <v>602</v>
      </c>
      <c r="B148" s="61" t="s">
        <v>1475</v>
      </c>
      <c r="C148" s="61"/>
      <c r="D148" s="61"/>
      <c r="E148" s="61" t="s">
        <v>728</v>
      </c>
      <c r="F148" s="61"/>
      <c r="G148" s="61"/>
      <c r="H148" s="62" t="s">
        <v>956</v>
      </c>
      <c r="I148" s="63" t="s">
        <v>1521</v>
      </c>
      <c r="J148" s="65" t="s">
        <v>949</v>
      </c>
      <c r="K148" s="66" t="str">
        <f t="shared" si="1"/>
        <v>2LZ N26</v>
      </c>
      <c r="L148" s="64">
        <f>SUM(
  SUMIFS(
    PriceRef!$D$2:$D158,
    PriceRef!$A$2:$A158, "Seat",
    PriceRef!$B$2:$B158, $B148,
    PriceRef!$C$2:$C158, $C148
  ),
  SUMIFS(
    PriceRef!$D$2:$D158,
    PriceRef!$A$2:$A158, "Stitching",
    PriceRef!$C$2:$C158, $F148
  ),
  SUMIFS(
    PriceRef!$D$2:$D158,
    PriceRef!$A$2:$A158, "Suede",
    PriceRef!$C$2:$C158, $E148
  ),
  SUMIFS(
    PriceRef!$D$2:$D158,
    PriceRef!$A$2:$A158, "TwoTone",
    PriceRef!$C$2:$C158, $G148
  )
)</f>
        <v>695</v>
      </c>
    </row>
    <row r="149">
      <c r="A149" s="60" t="s">
        <v>602</v>
      </c>
      <c r="B149" s="61" t="s">
        <v>1478</v>
      </c>
      <c r="C149" s="61"/>
      <c r="D149" s="61"/>
      <c r="E149" s="61" t="s">
        <v>1479</v>
      </c>
      <c r="F149" s="61"/>
      <c r="G149" s="61"/>
      <c r="H149" s="62" t="s">
        <v>1522</v>
      </c>
      <c r="I149" s="63" t="s">
        <v>1523</v>
      </c>
      <c r="J149" s="65" t="s">
        <v>949</v>
      </c>
      <c r="K149" s="66" t="str">
        <f t="shared" si="1"/>
        <v>3LZ N2Z</v>
      </c>
      <c r="L149" s="64">
        <f>SUM(
  SUMIFS(
    PriceRef!$D$2:$D158,
    PriceRef!$A$2:$A158, "Seat",
    PriceRef!$B$2:$B158, $B149,
    PriceRef!$C$2:$C158, $C149
  ),
  SUMIFS(
    PriceRef!$D$2:$D158,
    PriceRef!$A$2:$A158, "Stitching",
    PriceRef!$C$2:$C158, $F149
  ),
  SUMIFS(
    PriceRef!$D$2:$D158,
    PriceRef!$A$2:$A158, "Suede",
    PriceRef!$C$2:$C158, $E149
  ),
  SUMIFS(
    PriceRef!$D$2:$D158,
    PriceRef!$A$2:$A158, "TwoTone",
    PriceRef!$C$2:$C158, $G149
  )
)</f>
        <v>695</v>
      </c>
    </row>
    <row r="150">
      <c r="A150" s="60" t="s">
        <v>602</v>
      </c>
      <c r="B150" s="61" t="s">
        <v>1475</v>
      </c>
      <c r="C150" s="61" t="s">
        <v>753</v>
      </c>
      <c r="D150" s="61"/>
      <c r="E150" s="61"/>
      <c r="F150" s="61"/>
      <c r="G150" s="61" t="s">
        <v>767</v>
      </c>
      <c r="H150" s="62" t="s">
        <v>572</v>
      </c>
      <c r="I150" s="63" t="s">
        <v>1524</v>
      </c>
      <c r="J150" s="65" t="s">
        <v>949</v>
      </c>
      <c r="K150" s="66" t="str">
        <f t="shared" si="1"/>
        <v>2LZ AH2 TU7</v>
      </c>
      <c r="L150" s="64">
        <f>SUM(
  SUMIFS(
    PriceRef!$D$2:$D158,
    PriceRef!$A$2:$A158, "Seat",
    PriceRef!$B$2:$B158, $B150,
    PriceRef!$C$2:$C158, $C150
  ),
  SUMIFS(
    PriceRef!$D$2:$D158,
    PriceRef!$A$2:$A158, "Stitching",
    PriceRef!$C$2:$C158, $F150
  ),
  SUMIFS(
    PriceRef!$D$2:$D158,
    PriceRef!$A$2:$A158, "Suede",
    PriceRef!$C$2:$C158, $E150
  ),
  SUMIFS(
    PriceRef!$D$2:$D158,
    PriceRef!$A$2:$A158, "TwoTone",
    PriceRef!$C$2:$C158, $G150
  )
)</f>
        <v>2290</v>
      </c>
    </row>
    <row r="151">
      <c r="A151" s="60" t="s">
        <v>602</v>
      </c>
      <c r="B151" s="61" t="s">
        <v>1478</v>
      </c>
      <c r="C151" s="61" t="s">
        <v>753</v>
      </c>
      <c r="D151" s="61"/>
      <c r="E151" s="61"/>
      <c r="F151" s="61"/>
      <c r="G151" s="61" t="s">
        <v>767</v>
      </c>
      <c r="H151" s="62" t="s">
        <v>572</v>
      </c>
      <c r="I151" s="63" t="s">
        <v>1525</v>
      </c>
      <c r="J151" s="65" t="s">
        <v>949</v>
      </c>
      <c r="K151" s="66" t="str">
        <f t="shared" si="1"/>
        <v>3LZ AH2 TU7</v>
      </c>
      <c r="L151" s="64">
        <f>SUM(
  SUMIFS(
    PriceRef!$D$2:$D158,
    PriceRef!$A$2:$A158, "Seat",
    PriceRef!$B$2:$B158, $B151,
    PriceRef!$C$2:$C158, $C151
  ),
  SUMIFS(
    PriceRef!$D$2:$D158,
    PriceRef!$A$2:$A158, "Stitching",
    PriceRef!$C$2:$C158, $F151
  ),
  SUMIFS(
    PriceRef!$D$2:$D158,
    PriceRef!$A$2:$A158, "Suede",
    PriceRef!$C$2:$C158, $E151
  ),
  SUMIFS(
    PriceRef!$D$2:$D158,
    PriceRef!$A$2:$A158, "TwoTone",
    PriceRef!$C$2:$C158, $G151
  )
)</f>
        <v>595</v>
      </c>
    </row>
    <row r="152">
      <c r="A152" s="60" t="s">
        <v>602</v>
      </c>
      <c r="B152" s="61"/>
      <c r="C152" s="61"/>
      <c r="D152" s="61" t="s">
        <v>960</v>
      </c>
      <c r="E152" s="61"/>
      <c r="F152" s="61"/>
      <c r="G152" s="61"/>
      <c r="H152" s="62" t="s">
        <v>606</v>
      </c>
      <c r="I152" s="63" t="s">
        <v>1526</v>
      </c>
      <c r="J152" s="65" t="s">
        <v>949</v>
      </c>
      <c r="K152" s="66" t="str">
        <f t="shared" si="1"/>
        <v>UQT</v>
      </c>
      <c r="L152" s="64">
        <v>1300.0</v>
      </c>
    </row>
    <row r="153">
      <c r="A153" s="60" t="s">
        <v>962</v>
      </c>
      <c r="B153" s="61"/>
      <c r="C153" s="61"/>
      <c r="D153" s="61">
        <v>379.0</v>
      </c>
      <c r="E153" s="61"/>
      <c r="F153" s="61"/>
      <c r="G153" s="61"/>
      <c r="H153" s="62" t="s">
        <v>963</v>
      </c>
      <c r="I153" s="63" t="s">
        <v>1527</v>
      </c>
      <c r="J153" s="67" t="s">
        <v>965</v>
      </c>
      <c r="K153" s="66" t="str">
        <f t="shared" si="1"/>
        <v>379</v>
      </c>
      <c r="L153" s="64">
        <v>495.0</v>
      </c>
    </row>
    <row r="154">
      <c r="A154" s="60" t="s">
        <v>962</v>
      </c>
      <c r="B154" s="61"/>
      <c r="C154" s="61"/>
      <c r="D154" s="61">
        <v>719.0</v>
      </c>
      <c r="E154" s="61"/>
      <c r="F154" s="61"/>
      <c r="G154" s="61"/>
      <c r="H154" s="62" t="s">
        <v>966</v>
      </c>
      <c r="I154" s="63" t="s">
        <v>166</v>
      </c>
      <c r="J154" s="67" t="s">
        <v>965</v>
      </c>
      <c r="K154" s="66" t="str">
        <f t="shared" si="1"/>
        <v>719</v>
      </c>
      <c r="L154" s="64">
        <v>495.0</v>
      </c>
    </row>
    <row r="155">
      <c r="A155" s="60" t="s">
        <v>962</v>
      </c>
      <c r="B155" s="61"/>
      <c r="C155" s="61"/>
      <c r="D155" s="61" t="s">
        <v>967</v>
      </c>
      <c r="E155" s="61"/>
      <c r="F155" s="61"/>
      <c r="G155" s="61"/>
      <c r="H155" s="62" t="s">
        <v>968</v>
      </c>
      <c r="I155" s="63" t="s">
        <v>1528</v>
      </c>
      <c r="J155" s="67" t="s">
        <v>965</v>
      </c>
      <c r="K155" s="66" t="str">
        <f t="shared" si="1"/>
        <v>3A9</v>
      </c>
      <c r="L155" s="64">
        <v>495.0</v>
      </c>
    </row>
    <row r="156">
      <c r="A156" s="60" t="s">
        <v>962</v>
      </c>
      <c r="B156" s="61"/>
      <c r="C156" s="61"/>
      <c r="D156" s="61" t="s">
        <v>5</v>
      </c>
      <c r="E156" s="61"/>
      <c r="F156" s="61"/>
      <c r="G156" s="61"/>
      <c r="H156" s="62" t="s">
        <v>970</v>
      </c>
      <c r="I156" s="63" t="s">
        <v>1529</v>
      </c>
      <c r="J156" s="67" t="s">
        <v>965</v>
      </c>
      <c r="K156" s="66" t="str">
        <f t="shared" si="1"/>
        <v>3F9</v>
      </c>
      <c r="L156" s="64">
        <v>495.0</v>
      </c>
    </row>
    <row r="157">
      <c r="A157" s="60" t="s">
        <v>962</v>
      </c>
      <c r="B157" s="61"/>
      <c r="C157" s="61"/>
      <c r="D157" s="61" t="s">
        <v>972</v>
      </c>
      <c r="E157" s="61"/>
      <c r="F157" s="61"/>
      <c r="G157" s="61"/>
      <c r="H157" s="62" t="s">
        <v>973</v>
      </c>
      <c r="I157" s="63"/>
      <c r="J157" s="67" t="s">
        <v>965</v>
      </c>
      <c r="K157" s="66" t="str">
        <f t="shared" si="1"/>
        <v>3M9</v>
      </c>
      <c r="L157" s="64">
        <v>495.0</v>
      </c>
    </row>
    <row r="158">
      <c r="A158" s="60" t="s">
        <v>962</v>
      </c>
      <c r="B158" s="61"/>
      <c r="C158" s="61"/>
      <c r="D158" s="61" t="s">
        <v>974</v>
      </c>
      <c r="E158" s="61"/>
      <c r="F158" s="61"/>
      <c r="G158" s="61"/>
      <c r="H158" s="62" t="s">
        <v>975</v>
      </c>
      <c r="I158" s="63" t="s">
        <v>1530</v>
      </c>
      <c r="J158" s="67" t="s">
        <v>965</v>
      </c>
      <c r="K158" s="66" t="str">
        <f t="shared" si="1"/>
        <v>3N9</v>
      </c>
      <c r="L158" s="64">
        <v>495.0</v>
      </c>
    </row>
  </sheetData>
  <customSheetViews>
    <customSheetView guid="{394DB86B-E24D-45B0-AA91-1500FAE92EF1}" filter="1" showAutoFilter="1">
      <autoFilter ref="$A$1:$L$158"/>
    </customSheetView>
    <customSheetView guid="{B85D8ECB-49C0-4569-B578-25F16D8E67D6}" filter="1" showAutoFilter="1">
      <autoFilter ref="$A$1:$L$158"/>
    </customSheetView>
    <customSheetView guid="{7334F225-E228-4992-B1DA-18CE0E932279}" filter="1" showAutoFilter="1">
      <autoFilter ref="$A$1:$L$158"/>
    </customSheetView>
  </customSheetView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8.14"/>
    <col customWidth="1" min="2" max="2" width="59.57"/>
    <col customWidth="1" min="3" max="3" width="16.0"/>
    <col customWidth="1" min="4" max="4" width="49.71"/>
    <col customWidth="1" min="5" max="6" width="9.14"/>
    <col customWidth="1" min="7" max="26" width="8.71"/>
  </cols>
  <sheetData>
    <row r="1">
      <c r="A1" s="68" t="s">
        <v>1</v>
      </c>
      <c r="B1" s="83" t="s">
        <v>977</v>
      </c>
      <c r="C1" s="84" t="s">
        <v>1531</v>
      </c>
      <c r="D1" s="73"/>
      <c r="E1" s="73"/>
      <c r="F1" s="73"/>
      <c r="G1" s="73"/>
      <c r="H1" s="73"/>
      <c r="I1" s="73"/>
      <c r="J1" s="73"/>
      <c r="K1" s="73"/>
      <c r="L1" s="73"/>
      <c r="M1" s="73"/>
      <c r="N1" s="73"/>
      <c r="O1" s="73"/>
      <c r="P1" s="73"/>
      <c r="Q1" s="73"/>
      <c r="R1" s="73"/>
      <c r="S1" s="73"/>
      <c r="T1" s="73"/>
      <c r="U1" s="73"/>
      <c r="V1" s="73"/>
      <c r="W1" s="73"/>
      <c r="X1" s="73"/>
      <c r="Y1" s="73"/>
      <c r="Z1" s="73"/>
    </row>
    <row r="2">
      <c r="A2" s="74" t="s">
        <v>749</v>
      </c>
      <c r="B2" s="85" t="s">
        <v>980</v>
      </c>
      <c r="C2" s="73" t="str">
        <f>IFERROR(__xludf.DUMMYFUNCTION("IFERROR(
  FILTER(
    A2:B220,
    ( COUNTIF(ERAY!$A$2:$A$115, A2:A220)
    + COUNTIF(ERay.Z06_Int!$D$2:$G$158, A2:A220)
    ) = 0
  ),
  ""All codes accounted for""
)"),"A2X")</f>
        <v>A2X</v>
      </c>
      <c r="D2" s="73" t="str">
        <f>IFERROR(__xludf.DUMMYFUNCTION("""COMPUTED_VALUE"""),"Seat adjuster, driver 8-way power")</f>
        <v>Seat adjuster, driver 8-way power</v>
      </c>
      <c r="E2" s="73"/>
      <c r="F2" s="73"/>
      <c r="G2" s="73"/>
      <c r="H2" s="73"/>
      <c r="I2" s="73"/>
      <c r="J2" s="73"/>
      <c r="K2" s="73"/>
      <c r="L2" s="73"/>
      <c r="M2" s="73"/>
      <c r="N2" s="73"/>
      <c r="O2" s="73"/>
      <c r="P2" s="73"/>
      <c r="Q2" s="73"/>
      <c r="R2" s="73"/>
      <c r="S2" s="73"/>
      <c r="T2" s="73"/>
      <c r="U2" s="73"/>
      <c r="V2" s="73"/>
      <c r="W2" s="73"/>
      <c r="X2" s="73"/>
      <c r="Y2" s="73"/>
      <c r="Z2" s="73"/>
    </row>
    <row r="3">
      <c r="A3" s="74" t="s">
        <v>981</v>
      </c>
      <c r="B3" s="77" t="s">
        <v>1532</v>
      </c>
      <c r="C3" s="73" t="str">
        <f>IFERROR(__xludf.DUMMYFUNCTION("""COMPUTED_VALUE"""),"A7K")</f>
        <v>A7K</v>
      </c>
      <c r="D3" s="73" t="str">
        <f>IFERROR(__xludf.DUMMYFUNCTION("""COMPUTED_VALUE"""),"Seat adjuster, passenger 8-way power")</f>
        <v>Seat adjuster, passenger 8-way power</v>
      </c>
      <c r="E3" s="73"/>
      <c r="F3" s="73"/>
      <c r="G3" s="73"/>
      <c r="H3" s="73"/>
      <c r="I3" s="73"/>
      <c r="J3" s="73"/>
      <c r="K3" s="73"/>
      <c r="L3" s="73"/>
      <c r="M3" s="73"/>
      <c r="N3" s="73"/>
      <c r="O3" s="73"/>
      <c r="P3" s="73"/>
      <c r="Q3" s="73"/>
      <c r="R3" s="73"/>
      <c r="S3" s="73"/>
      <c r="T3" s="73"/>
      <c r="U3" s="73"/>
      <c r="V3" s="73"/>
      <c r="W3" s="73"/>
      <c r="X3" s="73"/>
      <c r="Y3" s="73"/>
      <c r="Z3" s="73"/>
    </row>
    <row r="4">
      <c r="A4" s="74" t="s">
        <v>751</v>
      </c>
      <c r="B4" s="77" t="s">
        <v>1533</v>
      </c>
      <c r="C4" s="73" t="str">
        <f>IFERROR(__xludf.DUMMYFUNCTION("""COMPUTED_VALUE"""),"AHE")</f>
        <v>AHE</v>
      </c>
      <c r="D4" s="73" t="str">
        <f>IFERROR(__xludf.DUMMYFUNCTION("""COMPUTED_VALUE"""),"Seat adjuster, driver power bolster")</f>
        <v>Seat adjuster, driver power bolster</v>
      </c>
      <c r="E4" s="73"/>
      <c r="F4" s="73"/>
      <c r="G4" s="73"/>
      <c r="H4" s="73"/>
      <c r="I4" s="73"/>
      <c r="J4" s="73"/>
      <c r="K4" s="73"/>
      <c r="L4" s="73"/>
      <c r="M4" s="73"/>
      <c r="N4" s="73"/>
      <c r="O4" s="73"/>
      <c r="P4" s="73"/>
      <c r="Q4" s="73"/>
      <c r="R4" s="73"/>
      <c r="S4" s="73"/>
      <c r="T4" s="73"/>
      <c r="U4" s="73"/>
      <c r="V4" s="73"/>
      <c r="W4" s="73"/>
      <c r="X4" s="73"/>
      <c r="Y4" s="73"/>
      <c r="Z4" s="73"/>
    </row>
    <row r="5">
      <c r="A5" s="74" t="s">
        <v>746</v>
      </c>
      <c r="B5" s="77" t="s">
        <v>1534</v>
      </c>
      <c r="C5" s="73" t="str">
        <f>IFERROR(__xludf.DUMMYFUNCTION("""COMPUTED_VALUE"""),"AHH")</f>
        <v>AHH</v>
      </c>
      <c r="D5" s="73" t="str">
        <f>IFERROR(__xludf.DUMMYFUNCTION("""COMPUTED_VALUE"""),"Seat adjuster, passenger power bolster")</f>
        <v>Seat adjuster, passenger power bolster</v>
      </c>
      <c r="E5" s="73"/>
      <c r="F5" s="73"/>
      <c r="G5" s="73"/>
      <c r="H5" s="73"/>
      <c r="I5" s="73"/>
      <c r="J5" s="73"/>
      <c r="K5" s="73"/>
      <c r="L5" s="73"/>
      <c r="M5" s="73"/>
      <c r="N5" s="73"/>
      <c r="O5" s="73"/>
      <c r="P5" s="73"/>
      <c r="Q5" s="73"/>
      <c r="R5" s="73"/>
      <c r="S5" s="73"/>
      <c r="T5" s="73"/>
      <c r="U5" s="73"/>
      <c r="V5" s="73"/>
      <c r="W5" s="73"/>
      <c r="X5" s="73"/>
      <c r="Y5" s="73"/>
      <c r="Z5" s="73"/>
    </row>
    <row r="6">
      <c r="A6" s="74" t="s">
        <v>967</v>
      </c>
      <c r="B6" s="77" t="s">
        <v>1535</v>
      </c>
      <c r="C6" s="73" t="str">
        <f>IFERROR(__xludf.DUMMYFUNCTION("""COMPUTED_VALUE"""),"AJ7")</f>
        <v>AJ7</v>
      </c>
      <c r="D6" s="73" t="str">
        <f>IFERROR(__xludf.DUMMYFUNCTION("""COMPUTED_VALUE"""),"Airbags, frontal and side-impact, driver and passenger")</f>
        <v>Airbags, frontal and side-impact, driver and passenger</v>
      </c>
      <c r="E6" s="73"/>
      <c r="F6" s="73"/>
      <c r="G6" s="73"/>
      <c r="H6" s="73"/>
      <c r="I6" s="73"/>
      <c r="J6" s="73"/>
      <c r="K6" s="73"/>
      <c r="L6" s="73"/>
      <c r="M6" s="73"/>
      <c r="N6" s="73"/>
      <c r="O6" s="73"/>
      <c r="P6" s="73"/>
      <c r="Q6" s="73"/>
      <c r="R6" s="73"/>
      <c r="S6" s="73"/>
      <c r="T6" s="73"/>
      <c r="U6" s="73"/>
      <c r="V6" s="73"/>
      <c r="W6" s="73"/>
      <c r="X6" s="73"/>
      <c r="Y6" s="73"/>
      <c r="Z6" s="73"/>
    </row>
    <row r="7">
      <c r="A7" s="74" t="s">
        <v>5</v>
      </c>
      <c r="B7" s="77" t="s">
        <v>1536</v>
      </c>
      <c r="C7" s="73" t="str">
        <f>IFERROR(__xludf.DUMMYFUNCTION("""COMPUTED_VALUE"""),"AL9")</f>
        <v>AL9</v>
      </c>
      <c r="D7" s="73" t="str">
        <f>IFERROR(__xludf.DUMMYFUNCTION("""COMPUTED_VALUE"""),"Seat adjuster, power driver lumbar control")</f>
        <v>Seat adjuster, power driver lumbar control</v>
      </c>
      <c r="E7" s="73"/>
      <c r="F7" s="73"/>
      <c r="G7" s="73"/>
      <c r="H7" s="73"/>
      <c r="I7" s="73"/>
      <c r="J7" s="73"/>
      <c r="K7" s="73"/>
      <c r="L7" s="73"/>
      <c r="M7" s="73"/>
      <c r="N7" s="73"/>
      <c r="O7" s="73"/>
      <c r="P7" s="73"/>
      <c r="Q7" s="73"/>
      <c r="R7" s="73"/>
      <c r="S7" s="73"/>
      <c r="T7" s="73"/>
      <c r="U7" s="73"/>
      <c r="V7" s="73"/>
      <c r="W7" s="73"/>
      <c r="X7" s="73"/>
      <c r="Y7" s="73"/>
      <c r="Z7" s="73"/>
    </row>
    <row r="8">
      <c r="A8" s="74" t="s">
        <v>972</v>
      </c>
      <c r="B8" s="77" t="s">
        <v>1537</v>
      </c>
      <c r="C8" s="73" t="str">
        <f>IFERROR(__xludf.DUMMYFUNCTION("""COMPUTED_VALUE"""),"AP9")</f>
        <v>AP9</v>
      </c>
      <c r="D8" s="73" t="str">
        <f>IFERROR(__xludf.DUMMYFUNCTION("""COMPUTED_VALUE"""),"Cargo nets")</f>
        <v>Cargo nets</v>
      </c>
      <c r="E8" s="73"/>
      <c r="F8" s="73"/>
      <c r="G8" s="73"/>
      <c r="H8" s="73"/>
      <c r="I8" s="73"/>
      <c r="J8" s="73"/>
      <c r="K8" s="73"/>
      <c r="L8" s="73"/>
      <c r="M8" s="73"/>
      <c r="N8" s="73"/>
      <c r="O8" s="73"/>
      <c r="P8" s="73"/>
      <c r="Q8" s="73"/>
      <c r="R8" s="73"/>
      <c r="S8" s="73"/>
      <c r="T8" s="73"/>
      <c r="U8" s="73"/>
      <c r="V8" s="73"/>
      <c r="W8" s="73"/>
      <c r="X8" s="73"/>
      <c r="Y8" s="73"/>
      <c r="Z8" s="73"/>
    </row>
    <row r="9">
      <c r="A9" s="74" t="s">
        <v>974</v>
      </c>
      <c r="B9" s="77" t="s">
        <v>1538</v>
      </c>
      <c r="C9" s="73" t="str">
        <f>IFERROR(__xludf.DUMMYFUNCTION("""COMPUTED_VALUE"""),"AQA")</f>
        <v>AQA</v>
      </c>
      <c r="D9" s="73" t="str">
        <f>IFERROR(__xludf.DUMMYFUNCTION("""COMPUTED_VALUE"""),"Memory Driver and Passenger Convenience Package")</f>
        <v>Memory Driver and Passenger Convenience Package</v>
      </c>
      <c r="E9" s="73"/>
      <c r="F9" s="73"/>
      <c r="G9" s="73"/>
      <c r="H9" s="73"/>
      <c r="I9" s="73"/>
      <c r="J9" s="73"/>
      <c r="K9" s="73"/>
      <c r="L9" s="73"/>
      <c r="M9" s="73"/>
      <c r="N9" s="73"/>
      <c r="O9" s="73"/>
      <c r="P9" s="73"/>
      <c r="Q9" s="73"/>
      <c r="R9" s="73"/>
      <c r="S9" s="73"/>
      <c r="T9" s="73"/>
      <c r="U9" s="73"/>
      <c r="V9" s="73"/>
      <c r="W9" s="73"/>
      <c r="X9" s="73"/>
      <c r="Y9" s="73"/>
      <c r="Z9" s="73"/>
    </row>
    <row r="10">
      <c r="A10" s="74" t="s">
        <v>84</v>
      </c>
      <c r="B10" s="77" t="s">
        <v>1539</v>
      </c>
      <c r="C10" s="73" t="str">
        <f>IFERROR(__xludf.DUMMYFUNCTION("""COMPUTED_VALUE"""),"AT9")</f>
        <v>AT9</v>
      </c>
      <c r="D10" s="73" t="str">
        <f>IFERROR(__xludf.DUMMYFUNCTION("""COMPUTED_VALUE"""),"Seat adjuster, power passenger lumbar control")</f>
        <v>Seat adjuster, power passenger lumbar control</v>
      </c>
      <c r="E10" s="73"/>
      <c r="F10" s="73"/>
      <c r="G10" s="73"/>
      <c r="H10" s="73"/>
      <c r="I10" s="73"/>
      <c r="J10" s="73"/>
      <c r="K10" s="73"/>
      <c r="L10" s="73"/>
      <c r="M10" s="73"/>
      <c r="N10" s="73"/>
      <c r="O10" s="73"/>
      <c r="P10" s="73"/>
      <c r="Q10" s="73"/>
      <c r="R10" s="73"/>
      <c r="S10" s="73"/>
      <c r="T10" s="73"/>
      <c r="U10" s="73"/>
      <c r="V10" s="73"/>
      <c r="W10" s="73"/>
      <c r="X10" s="73"/>
      <c r="Y10" s="73"/>
      <c r="Z10" s="73"/>
    </row>
    <row r="11">
      <c r="A11" s="86" t="s">
        <v>1348</v>
      </c>
      <c r="B11" s="77" t="s">
        <v>1540</v>
      </c>
      <c r="C11" s="73" t="str">
        <f>IFERROR(__xludf.DUMMYFUNCTION("""COMPUTED_VALUE"""),"B4Z")</f>
        <v>B4Z</v>
      </c>
      <c r="D11" s="73" t="str">
        <f>IFERROR(__xludf.DUMMYFUNCTION("""COMPUTED_VALUE"""),"Performance Traction Management")</f>
        <v>Performance Traction Management</v>
      </c>
      <c r="E11" s="73"/>
      <c r="F11" s="73"/>
      <c r="G11" s="73"/>
      <c r="H11" s="73"/>
      <c r="I11" s="73"/>
      <c r="J11" s="73"/>
      <c r="K11" s="73"/>
      <c r="L11" s="73"/>
      <c r="M11" s="73"/>
      <c r="N11" s="73"/>
      <c r="O11" s="73"/>
      <c r="P11" s="73"/>
      <c r="Q11" s="73"/>
      <c r="R11" s="73"/>
      <c r="S11" s="73"/>
      <c r="T11" s="73"/>
      <c r="U11" s="73"/>
      <c r="V11" s="73"/>
      <c r="W11" s="73"/>
      <c r="X11" s="73"/>
      <c r="Y11" s="73"/>
      <c r="Z11" s="73"/>
    </row>
    <row r="12">
      <c r="A12" s="74" t="s">
        <v>101</v>
      </c>
      <c r="B12" s="77" t="s">
        <v>1541</v>
      </c>
      <c r="C12" s="73" t="str">
        <f>IFERROR(__xludf.DUMMYFUNCTION("""COMPUTED_VALUE"""),"CFX")</f>
        <v>CFX</v>
      </c>
      <c r="D12" s="73" t="str">
        <f>IFERROR(__xludf.DUMMYFUNCTION("""COMPUTED_VALUE"""),"Plaque, personalized with Corvette Museum logo")</f>
        <v>Plaque, personalized with Corvette Museum logo</v>
      </c>
      <c r="E12" s="73"/>
      <c r="F12" s="73"/>
      <c r="G12" s="73"/>
      <c r="H12" s="73"/>
      <c r="I12" s="73"/>
      <c r="J12" s="73"/>
      <c r="K12" s="73"/>
      <c r="L12" s="73"/>
      <c r="M12" s="73"/>
      <c r="N12" s="73"/>
      <c r="O12" s="73"/>
      <c r="P12" s="73"/>
      <c r="Q12" s="73"/>
      <c r="R12" s="73"/>
      <c r="S12" s="73"/>
      <c r="T12" s="73"/>
      <c r="U12" s="73"/>
      <c r="V12" s="73"/>
      <c r="W12" s="73"/>
      <c r="X12" s="73"/>
      <c r="Y12" s="73"/>
      <c r="Z12" s="73"/>
    </row>
    <row r="13">
      <c r="A13" s="74" t="s">
        <v>104</v>
      </c>
      <c r="B13" s="77" t="s">
        <v>1542</v>
      </c>
      <c r="C13" s="73" t="str">
        <f>IFERROR(__xludf.DUMMYFUNCTION("""COMPUTED_VALUE"""),"CJ2")</f>
        <v>CJ2</v>
      </c>
      <c r="D13" s="73" t="str">
        <f>IFERROR(__xludf.DUMMYFUNCTION("""COMPUTED_VALUE"""),"Air conditioning, dual-zone automatic climate control")</f>
        <v>Air conditioning, dual-zone automatic climate control</v>
      </c>
      <c r="E13" s="73"/>
      <c r="F13" s="73"/>
      <c r="G13" s="73"/>
      <c r="H13" s="73"/>
      <c r="I13" s="73"/>
      <c r="J13" s="73"/>
      <c r="K13" s="73"/>
      <c r="L13" s="73"/>
      <c r="M13" s="73"/>
      <c r="N13" s="73"/>
      <c r="O13" s="73"/>
      <c r="P13" s="73"/>
      <c r="Q13" s="73"/>
      <c r="R13" s="73"/>
      <c r="S13" s="73"/>
      <c r="T13" s="73"/>
      <c r="U13" s="73"/>
      <c r="V13" s="73"/>
      <c r="W13" s="73"/>
      <c r="X13" s="73"/>
      <c r="Y13" s="73"/>
      <c r="Z13" s="73"/>
    </row>
    <row r="14">
      <c r="A14" s="74" t="s">
        <v>1351</v>
      </c>
      <c r="B14" s="77" t="s">
        <v>1543</v>
      </c>
      <c r="C14" s="73" t="str">
        <f>IFERROR(__xludf.DUMMYFUNCTION("""COMPUTED_VALUE"""),"DRG")</f>
        <v>DRG</v>
      </c>
      <c r="D14" s="73" t="str">
        <f>IFERROR(__xludf.DUMMYFUNCTION("""COMPUTED_VALUE"""),"Mirrors, outside, Carbon Flash Metallic-painted")</f>
        <v>Mirrors, outside, Carbon Flash Metallic-painted</v>
      </c>
      <c r="E14" s="73"/>
      <c r="F14" s="73"/>
      <c r="G14" s="73"/>
      <c r="H14" s="73"/>
      <c r="I14" s="73"/>
      <c r="J14" s="73"/>
      <c r="K14" s="73"/>
      <c r="L14" s="73"/>
      <c r="M14" s="73"/>
      <c r="N14" s="73"/>
      <c r="O14" s="73"/>
      <c r="P14" s="73"/>
      <c r="Q14" s="73"/>
      <c r="R14" s="73"/>
      <c r="S14" s="73"/>
      <c r="T14" s="73"/>
      <c r="U14" s="73"/>
      <c r="V14" s="73"/>
      <c r="W14" s="73"/>
      <c r="X14" s="73"/>
      <c r="Y14" s="73"/>
      <c r="Z14" s="73"/>
    </row>
    <row r="15">
      <c r="A15" s="74" t="s">
        <v>999</v>
      </c>
      <c r="B15" s="77" t="s">
        <v>1544</v>
      </c>
      <c r="C15" s="73" t="str">
        <f>IFERROR(__xludf.DUMMYFUNCTION("""COMPUTED_VALUE"""),"DRZ")</f>
        <v>DRZ</v>
      </c>
      <c r="D15" s="73" t="str">
        <f>IFERROR(__xludf.DUMMYFUNCTION("""COMPUTED_VALUE"""),"Rear Camera Mirror")</f>
        <v>Rear Camera Mirror</v>
      </c>
      <c r="E15" s="73"/>
      <c r="F15" s="73"/>
      <c r="G15" s="73"/>
      <c r="H15" s="73"/>
      <c r="I15" s="73"/>
      <c r="J15" s="73"/>
      <c r="K15" s="73"/>
      <c r="L15" s="73"/>
      <c r="M15" s="73"/>
      <c r="N15" s="73"/>
      <c r="O15" s="73"/>
      <c r="P15" s="73"/>
      <c r="Q15" s="73"/>
      <c r="R15" s="73"/>
      <c r="S15" s="73"/>
      <c r="T15" s="73"/>
      <c r="U15" s="73"/>
      <c r="V15" s="73"/>
      <c r="W15" s="73"/>
      <c r="X15" s="73"/>
      <c r="Y15" s="73"/>
      <c r="Z15" s="73"/>
    </row>
    <row r="16">
      <c r="A16" s="74" t="s">
        <v>1001</v>
      </c>
      <c r="B16" s="77" t="s">
        <v>1545</v>
      </c>
      <c r="C16" s="73" t="str">
        <f>IFERROR(__xludf.DUMMYFUNCTION("""COMPUTED_VALUE"""),"DWK")</f>
        <v>DWK</v>
      </c>
      <c r="D16" s="73" t="str">
        <f>IFERROR(__xludf.DUMMYFUNCTION("""COMPUTED_VALUE"""),"Mirrors, outside heated, power-adjustable")</f>
        <v>Mirrors, outside heated, power-adjustable</v>
      </c>
      <c r="E16" s="73"/>
      <c r="F16" s="73"/>
      <c r="G16" s="73"/>
      <c r="H16" s="73"/>
      <c r="I16" s="73"/>
      <c r="J16" s="73"/>
      <c r="K16" s="73"/>
      <c r="L16" s="73"/>
      <c r="M16" s="73"/>
      <c r="N16" s="73"/>
      <c r="O16" s="73"/>
      <c r="P16" s="73"/>
      <c r="Q16" s="73"/>
      <c r="R16" s="73"/>
      <c r="S16" s="73"/>
      <c r="T16" s="73"/>
      <c r="U16" s="73"/>
      <c r="V16" s="73"/>
      <c r="W16" s="73"/>
      <c r="X16" s="73"/>
      <c r="Y16" s="73"/>
      <c r="Z16" s="73"/>
    </row>
    <row r="17">
      <c r="A17" s="74" t="s">
        <v>1003</v>
      </c>
      <c r="B17" s="77" t="s">
        <v>1546</v>
      </c>
      <c r="C17" s="73" t="str">
        <f>IFERROR(__xludf.DUMMYFUNCTION("""COMPUTED_VALUE"""),"DYX")</f>
        <v>DYX</v>
      </c>
      <c r="D17" s="73" t="str">
        <f>IFERROR(__xludf.DUMMYFUNCTION("""COMPUTED_VALUE"""),"Mirrors, outside heated, power-adjustable")</f>
        <v>Mirrors, outside heated, power-adjustable</v>
      </c>
      <c r="E17" s="73"/>
      <c r="F17" s="73"/>
      <c r="G17" s="73"/>
      <c r="H17" s="73"/>
      <c r="I17" s="73"/>
      <c r="J17" s="73"/>
      <c r="K17" s="73"/>
      <c r="L17" s="73"/>
      <c r="M17" s="73"/>
      <c r="N17" s="73"/>
      <c r="O17" s="73"/>
      <c r="P17" s="73"/>
      <c r="Q17" s="73"/>
      <c r="R17" s="73"/>
      <c r="S17" s="73"/>
      <c r="T17" s="73"/>
      <c r="U17" s="73"/>
      <c r="V17" s="73"/>
      <c r="W17" s="73"/>
      <c r="X17" s="73"/>
      <c r="Y17" s="73"/>
      <c r="Z17" s="73"/>
    </row>
    <row r="18">
      <c r="A18" s="74" t="s">
        <v>726</v>
      </c>
      <c r="B18" s="77" t="s">
        <v>1547</v>
      </c>
      <c r="C18" s="73" t="str">
        <f>IFERROR(__xludf.DUMMYFUNCTION("""COMPUTED_VALUE"""),"FE5")</f>
        <v>FE5</v>
      </c>
      <c r="D18" s="73" t="str">
        <f>IFERROR(__xludf.DUMMYFUNCTION("""COMPUTED_VALUE"""),"Suspension, performance")</f>
        <v>Suspension, performance</v>
      </c>
      <c r="E18" s="73"/>
      <c r="F18" s="73"/>
      <c r="G18" s="73"/>
      <c r="H18" s="73"/>
      <c r="I18" s="73"/>
      <c r="J18" s="73"/>
      <c r="K18" s="73"/>
      <c r="L18" s="73"/>
      <c r="M18" s="73"/>
      <c r="N18" s="73"/>
      <c r="O18" s="73"/>
      <c r="P18" s="73"/>
      <c r="Q18" s="73"/>
      <c r="R18" s="73"/>
      <c r="S18" s="73"/>
      <c r="T18" s="73"/>
      <c r="U18" s="73"/>
      <c r="V18" s="73"/>
      <c r="W18" s="73"/>
      <c r="X18" s="73"/>
      <c r="Y18" s="73"/>
      <c r="Z18" s="73"/>
    </row>
    <row r="19">
      <c r="A19" s="74" t="s">
        <v>753</v>
      </c>
      <c r="B19" s="77" t="s">
        <v>1548</v>
      </c>
      <c r="C19" s="73" t="str">
        <f>IFERROR(__xludf.DUMMYFUNCTION("""COMPUTED_VALUE"""),"FE9")</f>
        <v>FE9</v>
      </c>
      <c r="D19" s="73" t="str">
        <f>IFERROR(__xludf.DUMMYFUNCTION("""COMPUTED_VALUE"""),"Emissions, Federal requirements")</f>
        <v>Emissions, Federal requirements</v>
      </c>
      <c r="E19" s="73"/>
      <c r="F19" s="73"/>
      <c r="G19" s="73"/>
      <c r="H19" s="73"/>
      <c r="I19" s="73"/>
      <c r="J19" s="73"/>
      <c r="K19" s="73"/>
      <c r="L19" s="73"/>
      <c r="M19" s="73"/>
      <c r="N19" s="73"/>
      <c r="O19" s="73"/>
      <c r="P19" s="73"/>
      <c r="Q19" s="73"/>
      <c r="R19" s="73"/>
      <c r="S19" s="73"/>
      <c r="T19" s="73"/>
      <c r="U19" s="73"/>
      <c r="V19" s="73"/>
      <c r="W19" s="73"/>
      <c r="X19" s="73"/>
      <c r="Y19" s="73"/>
      <c r="Z19" s="73"/>
    </row>
    <row r="20">
      <c r="A20" s="74" t="s">
        <v>1007</v>
      </c>
      <c r="B20" s="77" t="s">
        <v>1549</v>
      </c>
      <c r="C20" s="73" t="str">
        <f>IFERROR(__xludf.DUMMYFUNCTION("""COMPUTED_VALUE"""),"FED")</f>
        <v>FED</v>
      </c>
      <c r="D20" s="73" t="str">
        <f>IFERROR(__xludf.DUMMYFUNCTION("""COMPUTED_VALUE"""),"Suspension, ZER")</f>
        <v>Suspension, ZER</v>
      </c>
      <c r="E20" s="73"/>
      <c r="F20" s="73"/>
      <c r="G20" s="73"/>
      <c r="H20" s="73"/>
      <c r="I20" s="73"/>
      <c r="J20" s="73"/>
      <c r="K20" s="73"/>
      <c r="L20" s="73"/>
      <c r="M20" s="73"/>
      <c r="N20" s="73"/>
      <c r="O20" s="73"/>
      <c r="P20" s="73"/>
      <c r="Q20" s="73"/>
      <c r="R20" s="73"/>
      <c r="S20" s="73"/>
      <c r="T20" s="73"/>
      <c r="U20" s="73"/>
      <c r="V20" s="73"/>
      <c r="W20" s="73"/>
      <c r="X20" s="73"/>
      <c r="Y20" s="73"/>
      <c r="Z20" s="73"/>
    </row>
    <row r="21">
      <c r="A21" s="74" t="s">
        <v>1009</v>
      </c>
      <c r="B21" s="77" t="s">
        <v>1550</v>
      </c>
      <c r="C21" s="73" t="str">
        <f>IFERROR(__xludf.DUMMYFUNCTION("""COMPUTED_VALUE"""),"GM7")</f>
        <v>GM7</v>
      </c>
      <c r="D21" s="73" t="str">
        <f>IFERROR(__xludf.DUMMYFUNCTION("""COMPUTED_VALUE"""),"Rear axle, performance ratio")</f>
        <v>Rear axle, performance ratio</v>
      </c>
      <c r="E21" s="73"/>
      <c r="F21" s="73"/>
      <c r="G21" s="73"/>
      <c r="H21" s="73"/>
      <c r="I21" s="73"/>
      <c r="J21" s="73"/>
      <c r="K21" s="73"/>
      <c r="L21" s="73"/>
      <c r="M21" s="73"/>
      <c r="N21" s="73"/>
      <c r="O21" s="73"/>
      <c r="P21" s="73"/>
      <c r="Q21" s="73"/>
      <c r="R21" s="73"/>
      <c r="S21" s="73"/>
      <c r="T21" s="73"/>
      <c r="U21" s="73"/>
      <c r="V21" s="73"/>
      <c r="W21" s="73"/>
      <c r="X21" s="73"/>
      <c r="Y21" s="73"/>
      <c r="Z21" s="73"/>
    </row>
    <row r="22">
      <c r="A22" s="74" t="s">
        <v>1011</v>
      </c>
      <c r="B22" s="77" t="s">
        <v>1551</v>
      </c>
      <c r="C22" s="73" t="str">
        <f>IFERROR(__xludf.DUMMYFUNCTION("""COMPUTED_VALUE"""),"HP1")</f>
        <v>HP1</v>
      </c>
      <c r="D22" s="73" t="str">
        <f>IFERROR(__xludf.DUMMYFUNCTION("""COMPUTED_VALUE"""),"Front axle, electrified propulsion")</f>
        <v>Front axle, electrified propulsion</v>
      </c>
      <c r="E22" s="73"/>
      <c r="F22" s="73"/>
      <c r="G22" s="73"/>
      <c r="H22" s="73"/>
      <c r="I22" s="73"/>
      <c r="J22" s="73"/>
      <c r="K22" s="73"/>
      <c r="L22" s="73"/>
      <c r="M22" s="73"/>
      <c r="N22" s="73"/>
      <c r="O22" s="73"/>
      <c r="P22" s="73"/>
      <c r="Q22" s="73"/>
      <c r="R22" s="73"/>
      <c r="S22" s="73"/>
      <c r="T22" s="73"/>
      <c r="U22" s="73"/>
      <c r="V22" s="73"/>
      <c r="W22" s="73"/>
      <c r="X22" s="73"/>
      <c r="Y22" s="73"/>
      <c r="Z22" s="73"/>
    </row>
    <row r="23">
      <c r="A23" s="74" t="s">
        <v>1013</v>
      </c>
      <c r="B23" s="77" t="s">
        <v>1552</v>
      </c>
      <c r="C23" s="73" t="str">
        <f>IFERROR(__xludf.DUMMYFUNCTION("""COMPUTED_VALUE"""),"IVE")</f>
        <v>IVE</v>
      </c>
      <c r="D23" s="73" t="str">
        <f>IFERROR(__xludf.DUMMYFUNCTION("""COMPUTED_VALUE"""),"NEW!  Infotainment system with Google Built-In")</f>
        <v>NEW!  Infotainment system with Google Built-In</v>
      </c>
      <c r="E23" s="73"/>
      <c r="F23" s="73"/>
      <c r="G23" s="73"/>
      <c r="H23" s="73"/>
      <c r="I23" s="73"/>
      <c r="J23" s="73"/>
      <c r="K23" s="73"/>
      <c r="L23" s="73"/>
      <c r="M23" s="73"/>
      <c r="N23" s="73"/>
      <c r="O23" s="73"/>
      <c r="P23" s="73"/>
      <c r="Q23" s="73"/>
      <c r="R23" s="73"/>
      <c r="S23" s="73"/>
      <c r="T23" s="73"/>
      <c r="U23" s="73"/>
      <c r="V23" s="73"/>
      <c r="W23" s="73"/>
      <c r="X23" s="73"/>
      <c r="Y23" s="73"/>
      <c r="Z23" s="73"/>
    </row>
    <row r="24">
      <c r="A24" s="74" t="s">
        <v>1015</v>
      </c>
      <c r="B24" s="77" t="s">
        <v>1553</v>
      </c>
      <c r="C24" s="73" t="str">
        <f>IFERROR(__xludf.DUMMYFUNCTION("""COMPUTED_VALUE"""),"IWE")</f>
        <v>IWE</v>
      </c>
      <c r="D24" s="73" t="str">
        <f>IFERROR(__xludf.DUMMYFUNCTION("""COMPUTED_VALUE"""),"Sueded Microfiber-Wrapped Upper Interior Trim Package")</f>
        <v>Sueded Microfiber-Wrapped Upper Interior Trim Package</v>
      </c>
      <c r="E24" s="73"/>
      <c r="F24" s="73"/>
      <c r="G24" s="73"/>
      <c r="H24" s="73"/>
      <c r="I24" s="73"/>
      <c r="J24" s="73"/>
      <c r="K24" s="73"/>
      <c r="L24" s="73"/>
      <c r="M24" s="73"/>
      <c r="N24" s="73"/>
      <c r="O24" s="73"/>
      <c r="P24" s="73"/>
      <c r="Q24" s="73"/>
      <c r="R24" s="73"/>
      <c r="S24" s="73"/>
      <c r="T24" s="73"/>
      <c r="U24" s="73"/>
      <c r="V24" s="73"/>
      <c r="W24" s="73"/>
      <c r="X24" s="73"/>
      <c r="Y24" s="73"/>
      <c r="Z24" s="73"/>
    </row>
    <row r="25">
      <c r="A25" s="74" t="s">
        <v>721</v>
      </c>
      <c r="B25" s="77" t="s">
        <v>1554</v>
      </c>
      <c r="C25" s="73" t="str">
        <f>IFERROR(__xludf.DUMMYFUNCTION("""COMPUTED_VALUE"""),"J57")</f>
        <v>J57</v>
      </c>
      <c r="D25" s="73" t="str">
        <f>IFERROR(__xludf.DUMMYFUNCTION("""COMPUTED_VALUE"""),"Brakes, 4-wheel antilock, 4-wheel disc")</f>
        <v>Brakes, 4-wheel antilock, 4-wheel disc</v>
      </c>
      <c r="E25" s="73"/>
      <c r="F25" s="73"/>
      <c r="G25" s="73"/>
      <c r="H25" s="73"/>
      <c r="I25" s="73"/>
      <c r="J25" s="73"/>
      <c r="K25" s="73"/>
      <c r="L25" s="73"/>
      <c r="M25" s="73"/>
      <c r="N25" s="73"/>
      <c r="O25" s="73"/>
      <c r="P25" s="73"/>
      <c r="Q25" s="73"/>
      <c r="R25" s="73"/>
      <c r="S25" s="73"/>
      <c r="T25" s="73"/>
      <c r="U25" s="73"/>
      <c r="V25" s="73"/>
      <c r="W25" s="73"/>
      <c r="X25" s="73"/>
      <c r="Y25" s="73"/>
      <c r="Z25" s="73"/>
    </row>
    <row r="26">
      <c r="A26" s="74" t="s">
        <v>1018</v>
      </c>
      <c r="B26" s="77" t="s">
        <v>1555</v>
      </c>
      <c r="C26" s="73" t="str">
        <f>IFERROR(__xludf.DUMMYFUNCTION("""COMPUTED_VALUE"""),"K7A")</f>
        <v>K7A</v>
      </c>
      <c r="D26" s="73" t="str">
        <f>IFERROR(__xludf.DUMMYFUNCTION("""COMPUTED_VALUE"""),"NEW!  Wireless Phone Charging")</f>
        <v>NEW!  Wireless Phone Charging</v>
      </c>
      <c r="E26" s="73"/>
      <c r="F26" s="73"/>
      <c r="G26" s="73"/>
      <c r="H26" s="73"/>
      <c r="I26" s="73"/>
      <c r="J26" s="73"/>
      <c r="K26" s="73"/>
      <c r="L26" s="73"/>
      <c r="M26" s="73"/>
      <c r="N26" s="73"/>
      <c r="O26" s="73"/>
      <c r="P26" s="73"/>
      <c r="Q26" s="73"/>
      <c r="R26" s="73"/>
      <c r="S26" s="73"/>
      <c r="T26" s="73"/>
      <c r="U26" s="73"/>
      <c r="V26" s="73"/>
      <c r="W26" s="73"/>
      <c r="X26" s="73"/>
      <c r="Y26" s="73"/>
      <c r="Z26" s="73"/>
    </row>
    <row r="27">
      <c r="A27" s="74" t="s">
        <v>1020</v>
      </c>
      <c r="B27" s="77" t="s">
        <v>1556</v>
      </c>
      <c r="C27" s="73" t="str">
        <f>IFERROR(__xludf.DUMMYFUNCTION("""COMPUTED_VALUE"""),"K7B")</f>
        <v>K7B</v>
      </c>
      <c r="D27" s="73" t="str">
        <f>IFERROR(__xludf.DUMMYFUNCTION("""COMPUTED_VALUE"""),"NEW!  Wireless Phone Charging")</f>
        <v>NEW!  Wireless Phone Charging</v>
      </c>
      <c r="E27" s="73"/>
      <c r="F27" s="73"/>
      <c r="G27" s="73"/>
      <c r="H27" s="73"/>
      <c r="I27" s="73"/>
      <c r="J27" s="73"/>
      <c r="K27" s="73"/>
      <c r="L27" s="73"/>
      <c r="M27" s="73"/>
      <c r="N27" s="73"/>
      <c r="O27" s="73"/>
      <c r="P27" s="73"/>
      <c r="Q27" s="73"/>
      <c r="R27" s="73"/>
      <c r="S27" s="73"/>
      <c r="T27" s="73"/>
      <c r="U27" s="73"/>
      <c r="V27" s="73"/>
      <c r="W27" s="73"/>
      <c r="X27" s="73"/>
      <c r="Y27" s="73"/>
      <c r="Z27" s="73"/>
    </row>
    <row r="28">
      <c r="A28" s="74" t="s">
        <v>822</v>
      </c>
      <c r="B28" s="77" t="s">
        <v>1557</v>
      </c>
      <c r="C28" s="73" t="str">
        <f>IFERROR(__xludf.DUMMYFUNCTION("""COMPUTED_VALUE"""),"KI3")</f>
        <v>KI3</v>
      </c>
      <c r="D28" s="73" t="str">
        <f>IFERROR(__xludf.DUMMYFUNCTION("""COMPUTED_VALUE"""),"Steering wheel, heated")</f>
        <v>Steering wheel, heated</v>
      </c>
      <c r="E28" s="73"/>
      <c r="F28" s="73"/>
      <c r="G28" s="73"/>
      <c r="H28" s="73"/>
      <c r="I28" s="73"/>
      <c r="J28" s="73"/>
      <c r="K28" s="73"/>
      <c r="L28" s="73"/>
      <c r="M28" s="73"/>
      <c r="N28" s="73"/>
      <c r="O28" s="73"/>
      <c r="P28" s="73"/>
      <c r="Q28" s="73"/>
      <c r="R28" s="73"/>
      <c r="S28" s="73"/>
      <c r="T28" s="73"/>
      <c r="U28" s="73"/>
      <c r="V28" s="73"/>
      <c r="W28" s="73"/>
      <c r="X28" s="73"/>
      <c r="Y28" s="73"/>
      <c r="Z28" s="73"/>
    </row>
    <row r="29">
      <c r="A29" s="74" t="s">
        <v>1023</v>
      </c>
      <c r="B29" s="77" t="s">
        <v>1558</v>
      </c>
      <c r="C29" s="73" t="str">
        <f>IFERROR(__xludf.DUMMYFUNCTION("""COMPUTED_VALUE"""),"KQV")</f>
        <v>KQV</v>
      </c>
      <c r="D29" s="73" t="str">
        <f>IFERROR(__xludf.DUMMYFUNCTION("""COMPUTED_VALUE"""),"Seats, heated and vented driver and passenger")</f>
        <v>Seats, heated and vented driver and passenger</v>
      </c>
      <c r="E29" s="73"/>
      <c r="F29" s="73"/>
      <c r="G29" s="73"/>
      <c r="H29" s="73"/>
      <c r="I29" s="73"/>
      <c r="J29" s="73"/>
      <c r="K29" s="73"/>
      <c r="L29" s="73"/>
      <c r="M29" s="73"/>
      <c r="N29" s="73"/>
      <c r="O29" s="73"/>
      <c r="P29" s="73"/>
      <c r="Q29" s="73"/>
      <c r="R29" s="73"/>
      <c r="S29" s="73"/>
      <c r="T29" s="73"/>
      <c r="U29" s="73"/>
      <c r="V29" s="73"/>
      <c r="W29" s="73"/>
      <c r="X29" s="73"/>
      <c r="Y29" s="73"/>
      <c r="Z29" s="73"/>
    </row>
    <row r="30">
      <c r="A30" s="74" t="s">
        <v>123</v>
      </c>
      <c r="B30" s="77" t="s">
        <v>1559</v>
      </c>
      <c r="C30" s="73" t="str">
        <f>IFERROR(__xludf.DUMMYFUNCTION("""COMPUTED_VALUE"""),"LT2")</f>
        <v>LT2</v>
      </c>
      <c r="D30" s="73" t="str">
        <f>IFERROR(__xludf.DUMMYFUNCTION("""COMPUTED_VALUE"""),"Engine, 6.2L V8 DI")</f>
        <v>Engine, 6.2L V8 DI</v>
      </c>
      <c r="E30" s="73"/>
      <c r="F30" s="73"/>
      <c r="G30" s="73"/>
      <c r="H30" s="73"/>
      <c r="I30" s="73"/>
      <c r="J30" s="73"/>
      <c r="K30" s="73"/>
      <c r="L30" s="73"/>
      <c r="M30" s="73"/>
      <c r="N30" s="73"/>
      <c r="O30" s="73"/>
      <c r="P30" s="73"/>
      <c r="Q30" s="73"/>
      <c r="R30" s="73"/>
      <c r="S30" s="73"/>
      <c r="T30" s="73"/>
      <c r="U30" s="73"/>
      <c r="V30" s="73"/>
      <c r="W30" s="73"/>
      <c r="X30" s="73"/>
      <c r="Y30" s="73"/>
      <c r="Z30" s="73"/>
    </row>
    <row r="31">
      <c r="A31" s="74" t="s">
        <v>9</v>
      </c>
      <c r="B31" s="77" t="s">
        <v>1560</v>
      </c>
      <c r="C31" s="73" t="str">
        <f>IFERROR(__xludf.DUMMYFUNCTION("""COMPUTED_VALUE"""),"MLH")</f>
        <v>MLH</v>
      </c>
      <c r="D31" s="73" t="str">
        <f>IFERROR(__xludf.DUMMYFUNCTION("""COMPUTED_VALUE"""),"Transmission, 8-speed dual clutch, includes manual and auto modes")</f>
        <v>Transmission, 8-speed dual clutch, includes manual and auto modes</v>
      </c>
      <c r="E31" s="73"/>
      <c r="F31" s="73"/>
      <c r="G31" s="73"/>
      <c r="H31" s="73"/>
      <c r="I31" s="73"/>
      <c r="J31" s="73"/>
      <c r="K31" s="73"/>
      <c r="L31" s="73"/>
      <c r="M31" s="73"/>
      <c r="N31" s="73"/>
      <c r="O31" s="73"/>
      <c r="P31" s="73"/>
      <c r="Q31" s="73"/>
      <c r="R31" s="73"/>
      <c r="S31" s="73"/>
      <c r="T31" s="73"/>
      <c r="U31" s="73"/>
      <c r="V31" s="73"/>
      <c r="W31" s="73"/>
      <c r="X31" s="73"/>
      <c r="Y31" s="73"/>
      <c r="Z31" s="73"/>
    </row>
    <row r="32">
      <c r="A32" s="74" t="s">
        <v>128</v>
      </c>
      <c r="B32" s="77" t="s">
        <v>1561</v>
      </c>
      <c r="C32" s="73" t="str">
        <f>IFERROR(__xludf.DUMMYFUNCTION("""COMPUTED_VALUE"""),"N38")</f>
        <v>N38</v>
      </c>
      <c r="D32" s="73" t="str">
        <f>IFERROR(__xludf.DUMMYFUNCTION("""COMPUTED_VALUE"""),"Steering column, power tilt and telescopic")</f>
        <v>Steering column, power tilt and telescopic</v>
      </c>
      <c r="E32" s="73"/>
      <c r="F32" s="73"/>
      <c r="G32" s="73"/>
      <c r="H32" s="73"/>
      <c r="I32" s="73"/>
      <c r="J32" s="73"/>
      <c r="K32" s="73"/>
      <c r="L32" s="73"/>
      <c r="M32" s="73"/>
      <c r="N32" s="73"/>
      <c r="O32" s="73"/>
      <c r="P32" s="73"/>
      <c r="Q32" s="73"/>
      <c r="R32" s="73"/>
      <c r="S32" s="73"/>
      <c r="T32" s="73"/>
      <c r="U32" s="73"/>
      <c r="V32" s="73"/>
      <c r="W32" s="73"/>
      <c r="X32" s="73"/>
      <c r="Y32" s="73"/>
      <c r="Z32" s="73"/>
    </row>
    <row r="33">
      <c r="A33" s="74" t="s">
        <v>134</v>
      </c>
      <c r="B33" s="77" t="s">
        <v>1562</v>
      </c>
      <c r="C33" s="73" t="str">
        <f>IFERROR(__xludf.DUMMYFUNCTION("""COMPUTED_VALUE"""),"N3W")</f>
        <v>N3W</v>
      </c>
      <c r="D33" s="73" t="str">
        <f>IFERROR(__xludf.DUMMYFUNCTION("""COMPUTED_VALUE"""),"Steering wheel, carbon fiber and leather-wrapped")</f>
        <v>Steering wheel, carbon fiber and leather-wrapped</v>
      </c>
      <c r="E33" s="73"/>
      <c r="F33" s="73"/>
      <c r="G33" s="73"/>
      <c r="H33" s="73"/>
      <c r="I33" s="73"/>
      <c r="J33" s="73"/>
      <c r="K33" s="73"/>
      <c r="L33" s="73"/>
      <c r="M33" s="73"/>
      <c r="N33" s="73"/>
      <c r="O33" s="73"/>
      <c r="P33" s="73"/>
      <c r="Q33" s="73"/>
      <c r="R33" s="73"/>
      <c r="S33" s="73"/>
      <c r="T33" s="73"/>
      <c r="U33" s="73"/>
      <c r="V33" s="73"/>
      <c r="W33" s="73"/>
      <c r="X33" s="73"/>
      <c r="Y33" s="73"/>
      <c r="Z33" s="73"/>
    </row>
    <row r="34">
      <c r="A34" s="74" t="s">
        <v>143</v>
      </c>
      <c r="B34" s="77" t="s">
        <v>1563</v>
      </c>
      <c r="C34" s="73" t="str">
        <f>IFERROR(__xludf.DUMMYFUNCTION("""COMPUTED_VALUE"""),"NB8")</f>
        <v>NB8</v>
      </c>
      <c r="D34" s="73" t="str">
        <f>IFERROR(__xludf.DUMMYFUNCTION("""COMPUTED_VALUE"""),"Emissions override, California ")</f>
        <v>Emissions override, California </v>
      </c>
      <c r="E34" s="73"/>
      <c r="F34" s="73"/>
      <c r="G34" s="73"/>
      <c r="H34" s="73"/>
      <c r="I34" s="73"/>
      <c r="J34" s="73"/>
      <c r="K34" s="73"/>
      <c r="L34" s="73"/>
      <c r="M34" s="73"/>
      <c r="N34" s="73"/>
      <c r="O34" s="73"/>
      <c r="P34" s="73"/>
      <c r="Q34" s="73"/>
      <c r="R34" s="73"/>
      <c r="S34" s="73"/>
      <c r="T34" s="73"/>
      <c r="U34" s="73"/>
      <c r="V34" s="73"/>
      <c r="W34" s="73"/>
      <c r="X34" s="73"/>
      <c r="Y34" s="73"/>
      <c r="Z34" s="73"/>
    </row>
    <row r="35">
      <c r="A35" s="74" t="s">
        <v>149</v>
      </c>
      <c r="B35" s="77" t="s">
        <v>1564</v>
      </c>
      <c r="C35" s="73" t="str">
        <f>IFERROR(__xludf.DUMMYFUNCTION("""COMPUTED_VALUE"""),"NB9")</f>
        <v>NB9</v>
      </c>
      <c r="D35" s="73" t="str">
        <f>IFERROR(__xludf.DUMMYFUNCTION("""COMPUTED_VALUE"""),"Emissions override, state-specific")</f>
        <v>Emissions override, state-specific</v>
      </c>
      <c r="E35" s="73"/>
      <c r="F35" s="73"/>
      <c r="G35" s="73"/>
      <c r="H35" s="73"/>
      <c r="I35" s="73"/>
      <c r="J35" s="73"/>
      <c r="K35" s="73"/>
      <c r="L35" s="73"/>
      <c r="M35" s="73"/>
      <c r="N35" s="73"/>
      <c r="O35" s="73"/>
      <c r="P35" s="73"/>
      <c r="Q35" s="73"/>
      <c r="R35" s="73"/>
      <c r="S35" s="73"/>
      <c r="T35" s="73"/>
      <c r="U35" s="73"/>
      <c r="V35" s="73"/>
      <c r="W35" s="73"/>
      <c r="X35" s="73"/>
      <c r="Y35" s="73"/>
      <c r="Z35" s="73"/>
    </row>
    <row r="36">
      <c r="A36" s="74" t="s">
        <v>154</v>
      </c>
      <c r="B36" s="77" t="s">
        <v>1565</v>
      </c>
      <c r="C36" s="73" t="str">
        <f>IFERROR(__xludf.DUMMYFUNCTION("""COMPUTED_VALUE"""),"NC7")</f>
        <v>NC7</v>
      </c>
      <c r="D36" s="73" t="str">
        <f>IFERROR(__xludf.DUMMYFUNCTION("""COMPUTED_VALUE"""),"Emissions override, Federal")</f>
        <v>Emissions override, Federal</v>
      </c>
      <c r="E36" s="73"/>
      <c r="F36" s="73"/>
      <c r="G36" s="73"/>
      <c r="H36" s="73"/>
      <c r="I36" s="73"/>
      <c r="J36" s="73"/>
      <c r="K36" s="73"/>
      <c r="L36" s="73"/>
      <c r="M36" s="73"/>
      <c r="N36" s="73"/>
      <c r="O36" s="73"/>
      <c r="P36" s="73"/>
      <c r="Q36" s="73"/>
      <c r="R36" s="73"/>
      <c r="S36" s="73"/>
      <c r="T36" s="73"/>
      <c r="U36" s="73"/>
      <c r="V36" s="73"/>
      <c r="W36" s="73"/>
      <c r="X36" s="73"/>
      <c r="Y36" s="73"/>
      <c r="Z36" s="73"/>
    </row>
    <row r="37">
      <c r="A37" s="74" t="s">
        <v>158</v>
      </c>
      <c r="B37" s="77" t="s">
        <v>1566</v>
      </c>
      <c r="C37" s="73" t="str">
        <f>IFERROR(__xludf.DUMMYFUNCTION("""COMPUTED_VALUE"""),"NE1")</f>
        <v>NE1</v>
      </c>
      <c r="D37" s="73" t="str">
        <f>IFERROR(__xludf.DUMMYFUNCTION("""COMPUTED_VALUE"""),"Emissions")</f>
        <v>Emissions</v>
      </c>
      <c r="E37" s="73"/>
      <c r="F37" s="73"/>
      <c r="G37" s="73"/>
      <c r="H37" s="73"/>
      <c r="I37" s="73"/>
      <c r="J37" s="73"/>
      <c r="K37" s="73"/>
      <c r="L37" s="73"/>
      <c r="M37" s="73"/>
      <c r="N37" s="73"/>
      <c r="O37" s="73"/>
      <c r="P37" s="73"/>
      <c r="Q37" s="73"/>
      <c r="R37" s="73"/>
      <c r="S37" s="73"/>
      <c r="T37" s="73"/>
      <c r="U37" s="73"/>
      <c r="V37" s="73"/>
      <c r="W37" s="73"/>
      <c r="X37" s="73"/>
      <c r="Y37" s="73"/>
      <c r="Z37" s="73"/>
    </row>
    <row r="38">
      <c r="A38" s="74" t="s">
        <v>161</v>
      </c>
      <c r="B38" s="77" t="s">
        <v>1567</v>
      </c>
      <c r="C38" s="73" t="str">
        <f>IFERROR(__xludf.DUMMYFUNCTION("""COMPUTED_VALUE"""),"NK4")</f>
        <v>NK4</v>
      </c>
      <c r="D38" s="73" t="str">
        <f>IFERROR(__xludf.DUMMYFUNCTION("""COMPUTED_VALUE"""),"Steering wheel, leather-wrapped")</f>
        <v>Steering wheel, leather-wrapped</v>
      </c>
      <c r="E38" s="73"/>
      <c r="F38" s="73"/>
      <c r="G38" s="73"/>
      <c r="H38" s="73"/>
      <c r="I38" s="73"/>
      <c r="J38" s="73"/>
      <c r="K38" s="73"/>
      <c r="L38" s="73"/>
      <c r="M38" s="73"/>
      <c r="N38" s="73"/>
      <c r="O38" s="73"/>
      <c r="P38" s="73"/>
      <c r="Q38" s="73"/>
      <c r="R38" s="73"/>
      <c r="S38" s="73"/>
      <c r="T38" s="73"/>
      <c r="U38" s="73"/>
      <c r="V38" s="73"/>
      <c r="W38" s="73"/>
      <c r="X38" s="73"/>
      <c r="Y38" s="73"/>
      <c r="Z38" s="73"/>
    </row>
    <row r="39">
      <c r="A39" s="74" t="s">
        <v>164</v>
      </c>
      <c r="B39" s="77" t="s">
        <v>1568</v>
      </c>
      <c r="C39" s="73" t="str">
        <f>IFERROR(__xludf.DUMMYFUNCTION("""COMPUTED_VALUE"""),"NPP")</f>
        <v>NPP</v>
      </c>
      <c r="D39" s="73" t="str">
        <f>IFERROR(__xludf.DUMMYFUNCTION("""COMPUTED_VALUE"""),"Exhaust, performance")</f>
        <v>Exhaust, performance</v>
      </c>
      <c r="E39" s="73"/>
      <c r="F39" s="73"/>
      <c r="G39" s="73"/>
      <c r="H39" s="73"/>
      <c r="I39" s="73"/>
      <c r="J39" s="73"/>
      <c r="K39" s="73"/>
      <c r="L39" s="73"/>
      <c r="M39" s="73"/>
      <c r="N39" s="73"/>
      <c r="O39" s="73"/>
      <c r="P39" s="73"/>
      <c r="Q39" s="73"/>
      <c r="R39" s="73"/>
      <c r="S39" s="73"/>
      <c r="T39" s="73"/>
      <c r="U39" s="73"/>
      <c r="V39" s="73"/>
      <c r="W39" s="73"/>
      <c r="X39" s="73"/>
      <c r="Y39" s="73"/>
      <c r="Z39" s="73"/>
    </row>
    <row r="40">
      <c r="A40" s="74" t="s">
        <v>167</v>
      </c>
      <c r="B40" s="77" t="s">
        <v>1569</v>
      </c>
      <c r="C40" s="73" t="str">
        <f>IFERROR(__xludf.DUMMYFUNCTION("""COMPUTED_VALUE"""),"P0H")</f>
        <v>P0H</v>
      </c>
      <c r="D40" s="73" t="str">
        <f>IFERROR(__xludf.DUMMYFUNCTION("""COMPUTED_VALUE"""),"12 Months OnStar Connect Plus")</f>
        <v>12 Months OnStar Connect Plus</v>
      </c>
      <c r="E40" s="73"/>
      <c r="F40" s="73"/>
      <c r="G40" s="73"/>
      <c r="H40" s="73"/>
      <c r="I40" s="73"/>
      <c r="J40" s="73"/>
      <c r="K40" s="73"/>
      <c r="L40" s="73"/>
      <c r="M40" s="73"/>
      <c r="N40" s="73"/>
      <c r="O40" s="73"/>
      <c r="P40" s="73"/>
      <c r="Q40" s="73"/>
      <c r="R40" s="73"/>
      <c r="S40" s="73"/>
      <c r="T40" s="73"/>
      <c r="U40" s="73"/>
      <c r="V40" s="73"/>
      <c r="W40" s="73"/>
      <c r="X40" s="73"/>
      <c r="Y40" s="73"/>
      <c r="Z40" s="73"/>
    </row>
    <row r="41">
      <c r="A41" s="74" t="s">
        <v>1323</v>
      </c>
      <c r="B41" s="77" t="s">
        <v>1570</v>
      </c>
      <c r="C41" s="73" t="str">
        <f>IFERROR(__xludf.DUMMYFUNCTION("""COMPUTED_VALUE"""),"P0I")</f>
        <v>P0I</v>
      </c>
      <c r="D41" s="73" t="str">
        <f>IFERROR(__xludf.DUMMYFUNCTION("""COMPUTED_VALUE"""),"24 Months OnStar Connect Plus")</f>
        <v>24 Months OnStar Connect Plus</v>
      </c>
      <c r="E41" s="73"/>
      <c r="F41" s="73"/>
      <c r="G41" s="73"/>
      <c r="H41" s="73"/>
      <c r="I41" s="73"/>
      <c r="J41" s="73"/>
      <c r="K41" s="73"/>
      <c r="L41" s="73"/>
      <c r="M41" s="73"/>
      <c r="N41" s="73"/>
      <c r="O41" s="73"/>
      <c r="P41" s="73"/>
      <c r="Q41" s="73"/>
      <c r="R41" s="73"/>
      <c r="S41" s="73"/>
      <c r="T41" s="73"/>
      <c r="U41" s="73"/>
      <c r="V41" s="73"/>
      <c r="W41" s="73"/>
      <c r="X41" s="73"/>
      <c r="Y41" s="73"/>
      <c r="Z41" s="73"/>
    </row>
    <row r="42">
      <c r="A42" s="74" t="s">
        <v>1036</v>
      </c>
      <c r="B42" s="77" t="s">
        <v>1571</v>
      </c>
      <c r="C42" s="73" t="str">
        <f>IFERROR(__xludf.DUMMYFUNCTION("""COMPUTED_VALUE"""),"P0J")</f>
        <v>P0J</v>
      </c>
      <c r="D42" s="73" t="str">
        <f>IFERROR(__xludf.DUMMYFUNCTION("""COMPUTED_VALUE"""),"24 Months OnStar Protect")</f>
        <v>24 Months OnStar Protect</v>
      </c>
      <c r="E42" s="73"/>
      <c r="F42" s="73"/>
      <c r="G42" s="73"/>
      <c r="H42" s="73"/>
      <c r="I42" s="73"/>
      <c r="J42" s="73"/>
      <c r="K42" s="73"/>
      <c r="L42" s="73"/>
      <c r="M42" s="73"/>
      <c r="N42" s="73"/>
      <c r="O42" s="73"/>
      <c r="P42" s="73"/>
      <c r="Q42" s="73"/>
      <c r="R42" s="73"/>
      <c r="S42" s="73"/>
      <c r="T42" s="73"/>
      <c r="U42" s="73"/>
      <c r="V42" s="73"/>
      <c r="W42" s="73"/>
      <c r="X42" s="73"/>
      <c r="Y42" s="73"/>
      <c r="Z42" s="73"/>
    </row>
    <row r="43">
      <c r="A43" s="74" t="s">
        <v>1326</v>
      </c>
      <c r="B43" s="77" t="s">
        <v>1572</v>
      </c>
      <c r="C43" s="73" t="str">
        <f>IFERROR(__xludf.DUMMYFUNCTION("""COMPUTED_VALUE"""),"P0K")</f>
        <v>P0K</v>
      </c>
      <c r="D43" s="73" t="str">
        <f>IFERROR(__xludf.DUMMYFUNCTION("""COMPUTED_VALUE"""),"36 Months OnStar Protect")</f>
        <v>36 Months OnStar Protect</v>
      </c>
      <c r="E43" s="73"/>
      <c r="F43" s="73"/>
      <c r="G43" s="73"/>
      <c r="H43" s="73"/>
      <c r="I43" s="73"/>
      <c r="J43" s="73"/>
      <c r="K43" s="73"/>
      <c r="L43" s="73"/>
      <c r="M43" s="73"/>
      <c r="N43" s="73"/>
      <c r="O43" s="73"/>
      <c r="P43" s="73"/>
      <c r="Q43" s="73"/>
      <c r="R43" s="73"/>
      <c r="S43" s="73"/>
      <c r="T43" s="73"/>
      <c r="U43" s="73"/>
      <c r="V43" s="73"/>
      <c r="W43" s="73"/>
      <c r="X43" s="73"/>
      <c r="Y43" s="73"/>
      <c r="Z43" s="73"/>
    </row>
    <row r="44">
      <c r="A44" s="74" t="s">
        <v>1038</v>
      </c>
      <c r="B44" s="77" t="s">
        <v>1573</v>
      </c>
      <c r="C44" s="73" t="str">
        <f>IFERROR(__xludf.DUMMYFUNCTION("""COMPUTED_VALUE"""),"P0L")</f>
        <v>P0L</v>
      </c>
      <c r="D44" s="73" t="str">
        <f>IFERROR(__xludf.DUMMYFUNCTION("""COMPUTED_VALUE"""),"48 Months OnStar Protect")</f>
        <v>48 Months OnStar Protect</v>
      </c>
      <c r="E44" s="73"/>
      <c r="F44" s="73"/>
      <c r="G44" s="73"/>
      <c r="H44" s="73"/>
      <c r="I44" s="73"/>
      <c r="J44" s="73"/>
      <c r="K44" s="73"/>
      <c r="L44" s="73"/>
      <c r="M44" s="73"/>
      <c r="N44" s="73"/>
      <c r="O44" s="73"/>
      <c r="P44" s="73"/>
      <c r="Q44" s="73"/>
      <c r="R44" s="73"/>
      <c r="S44" s="73"/>
      <c r="T44" s="73"/>
      <c r="U44" s="73"/>
      <c r="V44" s="73"/>
      <c r="W44" s="73"/>
      <c r="X44" s="73"/>
      <c r="Y44" s="73"/>
      <c r="Z44" s="73"/>
    </row>
    <row r="45">
      <c r="A45" s="74" t="s">
        <v>171</v>
      </c>
      <c r="B45" s="77" t="s">
        <v>1574</v>
      </c>
      <c r="C45" s="73" t="str">
        <f>IFERROR(__xludf.DUMMYFUNCTION("""COMPUTED_VALUE"""),"P0Q")</f>
        <v>P0Q</v>
      </c>
      <c r="D45" s="73" t="str">
        <f>IFERROR(__xludf.DUMMYFUNCTION("""COMPUTED_VALUE"""),"60 Months OnStar Protect")</f>
        <v>60 Months OnStar Protect</v>
      </c>
      <c r="E45" s="73"/>
      <c r="F45" s="73"/>
      <c r="G45" s="73"/>
      <c r="H45" s="73"/>
      <c r="I45" s="73"/>
      <c r="J45" s="73"/>
      <c r="K45" s="73"/>
      <c r="L45" s="73"/>
      <c r="M45" s="73"/>
      <c r="N45" s="73"/>
      <c r="O45" s="73"/>
      <c r="P45" s="73"/>
      <c r="Q45" s="73"/>
      <c r="R45" s="73"/>
      <c r="S45" s="73"/>
      <c r="T45" s="73"/>
      <c r="U45" s="73"/>
      <c r="V45" s="73"/>
      <c r="W45" s="73"/>
      <c r="X45" s="73"/>
      <c r="Y45" s="73"/>
      <c r="Z45" s="73"/>
    </row>
    <row r="46">
      <c r="A46" s="74" t="s">
        <v>946</v>
      </c>
      <c r="B46" s="77" t="s">
        <v>1575</v>
      </c>
      <c r="C46" s="73" t="str">
        <f>IFERROR(__xludf.DUMMYFUNCTION("""COMPUTED_VALUE"""),"P0U")</f>
        <v>P0U</v>
      </c>
      <c r="D46" s="73" t="str">
        <f>IFERROR(__xludf.DUMMYFUNCTION("""COMPUTED_VALUE"""),"12 Months OnStar Protect")</f>
        <v>12 Months OnStar Protect</v>
      </c>
      <c r="E46" s="73"/>
      <c r="F46" s="73"/>
      <c r="G46" s="73"/>
      <c r="H46" s="73"/>
      <c r="I46" s="73"/>
      <c r="J46" s="73"/>
      <c r="K46" s="73"/>
      <c r="L46" s="73"/>
      <c r="M46" s="73"/>
      <c r="N46" s="73"/>
      <c r="O46" s="73"/>
      <c r="P46" s="73"/>
      <c r="Q46" s="73"/>
      <c r="R46" s="73"/>
      <c r="S46" s="73"/>
      <c r="T46" s="73"/>
      <c r="U46" s="73"/>
      <c r="V46" s="73"/>
      <c r="W46" s="73"/>
      <c r="X46" s="73"/>
      <c r="Y46" s="73"/>
      <c r="Z46" s="73"/>
    </row>
    <row r="47">
      <c r="A47" s="74" t="s">
        <v>173</v>
      </c>
      <c r="B47" s="77" t="s">
        <v>1576</v>
      </c>
      <c r="C47" s="73" t="str">
        <f>IFERROR(__xludf.DUMMYFUNCTION("""COMPUTED_VALUE"""),"P0V")</f>
        <v>P0V</v>
      </c>
      <c r="D47" s="73" t="str">
        <f>IFERROR(__xludf.DUMMYFUNCTION("""COMPUTED_VALUE"""),"12 Months OnStar Telematics")</f>
        <v>12 Months OnStar Telematics</v>
      </c>
      <c r="E47" s="73"/>
      <c r="F47" s="73"/>
      <c r="G47" s="73"/>
      <c r="H47" s="73"/>
      <c r="I47" s="73"/>
      <c r="J47" s="73"/>
      <c r="K47" s="73"/>
      <c r="L47" s="73"/>
      <c r="M47" s="73"/>
      <c r="N47" s="73"/>
      <c r="O47" s="73"/>
      <c r="P47" s="73"/>
      <c r="Q47" s="73"/>
      <c r="R47" s="73"/>
      <c r="S47" s="73"/>
      <c r="T47" s="73"/>
      <c r="U47" s="73"/>
      <c r="V47" s="73"/>
      <c r="W47" s="73"/>
      <c r="X47" s="73"/>
      <c r="Y47" s="73"/>
      <c r="Z47" s="73"/>
    </row>
    <row r="48">
      <c r="A48" s="74" t="s">
        <v>176</v>
      </c>
      <c r="B48" s="77" t="s">
        <v>1577</v>
      </c>
      <c r="C48" s="73" t="str">
        <f>IFERROR(__xludf.DUMMYFUNCTION("""COMPUTED_VALUE"""),"P0W")</f>
        <v>P0W</v>
      </c>
      <c r="D48" s="73" t="str">
        <f>IFERROR(__xludf.DUMMYFUNCTION("""COMPUTED_VALUE"""),"24 Months OnStar Telematics ")</f>
        <v>24 Months OnStar Telematics </v>
      </c>
      <c r="E48" s="73"/>
      <c r="F48" s="73"/>
      <c r="G48" s="73"/>
      <c r="H48" s="73"/>
      <c r="I48" s="73"/>
      <c r="J48" s="73"/>
      <c r="K48" s="73"/>
      <c r="L48" s="73"/>
      <c r="M48" s="73"/>
      <c r="N48" s="73"/>
      <c r="O48" s="73"/>
      <c r="P48" s="73"/>
      <c r="Q48" s="73"/>
      <c r="R48" s="73"/>
      <c r="S48" s="73"/>
      <c r="T48" s="73"/>
      <c r="U48" s="73"/>
      <c r="V48" s="73"/>
      <c r="W48" s="73"/>
      <c r="X48" s="73"/>
      <c r="Y48" s="73"/>
      <c r="Z48" s="73"/>
    </row>
    <row r="49">
      <c r="A49" s="74" t="s">
        <v>179</v>
      </c>
      <c r="B49" s="77" t="s">
        <v>1578</v>
      </c>
      <c r="C49" s="73" t="str">
        <f>IFERROR(__xludf.DUMMYFUNCTION("""COMPUTED_VALUE"""),"P0X")</f>
        <v>P0X</v>
      </c>
      <c r="D49" s="73" t="str">
        <f>IFERROR(__xludf.DUMMYFUNCTION("""COMPUTED_VALUE"""),"36 Months OnStar Telematics")</f>
        <v>36 Months OnStar Telematics</v>
      </c>
      <c r="E49" s="73"/>
      <c r="F49" s="73"/>
      <c r="G49" s="73"/>
      <c r="H49" s="73"/>
      <c r="I49" s="73"/>
      <c r="J49" s="73"/>
      <c r="K49" s="73"/>
      <c r="L49" s="73"/>
      <c r="M49" s="73"/>
      <c r="N49" s="73"/>
      <c r="O49" s="73"/>
      <c r="P49" s="73"/>
      <c r="Q49" s="73"/>
      <c r="R49" s="73"/>
      <c r="S49" s="73"/>
      <c r="T49" s="73"/>
      <c r="U49" s="73"/>
      <c r="V49" s="73"/>
      <c r="W49" s="73"/>
      <c r="X49" s="73"/>
      <c r="Y49" s="73"/>
      <c r="Z49" s="73"/>
    </row>
    <row r="50">
      <c r="A50" s="74" t="s">
        <v>181</v>
      </c>
      <c r="B50" s="77" t="s">
        <v>1579</v>
      </c>
      <c r="C50" s="73" t="str">
        <f>IFERROR(__xludf.DUMMYFUNCTION("""COMPUTED_VALUE"""),"P0Y")</f>
        <v>P0Y</v>
      </c>
      <c r="D50" s="73" t="str">
        <f>IFERROR(__xludf.DUMMYFUNCTION("""COMPUTED_VALUE"""),"48 Months OnStar Telematics")</f>
        <v>48 Months OnStar Telematics</v>
      </c>
      <c r="E50" s="73"/>
      <c r="F50" s="73"/>
      <c r="G50" s="73"/>
      <c r="H50" s="73"/>
      <c r="I50" s="73"/>
      <c r="J50" s="73"/>
      <c r="K50" s="73"/>
      <c r="L50" s="73"/>
      <c r="M50" s="73"/>
      <c r="N50" s="73"/>
      <c r="O50" s="73"/>
      <c r="P50" s="73"/>
      <c r="Q50" s="73"/>
      <c r="R50" s="73"/>
      <c r="S50" s="73"/>
      <c r="T50" s="73"/>
      <c r="U50" s="73"/>
      <c r="V50" s="73"/>
      <c r="W50" s="73"/>
      <c r="X50" s="73"/>
      <c r="Y50" s="73"/>
      <c r="Z50" s="73"/>
    </row>
    <row r="51">
      <c r="A51" s="74" t="s">
        <v>185</v>
      </c>
      <c r="B51" s="77" t="s">
        <v>1580</v>
      </c>
      <c r="C51" s="73" t="str">
        <f>IFERROR(__xludf.DUMMYFUNCTION("""COMPUTED_VALUE"""),"P0Z")</f>
        <v>P0Z</v>
      </c>
      <c r="D51" s="73" t="str">
        <f>IFERROR(__xludf.DUMMYFUNCTION("""COMPUTED_VALUE"""),"60 Months OnStar Telematics")</f>
        <v>60 Months OnStar Telematics</v>
      </c>
      <c r="E51" s="73"/>
      <c r="F51" s="73"/>
      <c r="G51" s="73"/>
      <c r="H51" s="73"/>
      <c r="I51" s="73"/>
      <c r="J51" s="73"/>
      <c r="K51" s="73"/>
      <c r="L51" s="73"/>
      <c r="M51" s="73"/>
      <c r="N51" s="73"/>
      <c r="O51" s="73"/>
      <c r="P51" s="73"/>
      <c r="Q51" s="73"/>
      <c r="R51" s="73"/>
      <c r="S51" s="73"/>
      <c r="T51" s="73"/>
      <c r="U51" s="73"/>
      <c r="V51" s="73"/>
      <c r="W51" s="73"/>
      <c r="X51" s="73"/>
      <c r="Y51" s="73"/>
      <c r="Z51" s="73"/>
    </row>
    <row r="52">
      <c r="A52" s="74" t="s">
        <v>188</v>
      </c>
      <c r="B52" s="77" t="s">
        <v>1581</v>
      </c>
      <c r="C52" s="73" t="str">
        <f>IFERROR(__xludf.DUMMYFUNCTION("""COMPUTED_VALUE"""),"PPW")</f>
        <v>PPW</v>
      </c>
      <c r="D52" s="73" t="str">
        <f>IFERROR(__xludf.DUMMYFUNCTION("""COMPUTED_VALUE"""),"Wireless Apple CarPlay/Wireless Android Auto")</f>
        <v>Wireless Apple CarPlay/Wireless Android Auto</v>
      </c>
      <c r="E52" s="73"/>
      <c r="F52" s="73"/>
      <c r="G52" s="73"/>
      <c r="H52" s="73"/>
      <c r="I52" s="73"/>
      <c r="J52" s="73"/>
      <c r="K52" s="73"/>
      <c r="L52" s="73"/>
      <c r="M52" s="73"/>
      <c r="N52" s="73"/>
      <c r="O52" s="73"/>
      <c r="P52" s="73"/>
      <c r="Q52" s="73"/>
      <c r="R52" s="73"/>
      <c r="S52" s="73"/>
      <c r="T52" s="73"/>
      <c r="U52" s="73"/>
      <c r="V52" s="73"/>
      <c r="W52" s="73"/>
      <c r="X52" s="73"/>
      <c r="Y52" s="73"/>
      <c r="Z52" s="73"/>
    </row>
    <row r="53">
      <c r="A53" s="74" t="s">
        <v>191</v>
      </c>
      <c r="B53" s="77" t="s">
        <v>1582</v>
      </c>
      <c r="C53" s="73" t="str">
        <f>IFERROR(__xludf.DUMMYFUNCTION("""COMPUTED_VALUE"""),"PQG")</f>
        <v>PQG</v>
      </c>
      <c r="D53" s="73" t="str">
        <f>IFERROR(__xludf.DUMMYFUNCTION("""COMPUTED_VALUE"""),"36 Months OnStar Connect Plus")</f>
        <v>36 Months OnStar Connect Plus</v>
      </c>
      <c r="E53" s="73"/>
      <c r="F53" s="73"/>
      <c r="G53" s="73"/>
      <c r="H53" s="73"/>
      <c r="I53" s="73"/>
      <c r="J53" s="73"/>
      <c r="K53" s="73"/>
      <c r="L53" s="73"/>
      <c r="M53" s="73"/>
      <c r="N53" s="73"/>
      <c r="O53" s="73"/>
      <c r="P53" s="73"/>
      <c r="Q53" s="73"/>
      <c r="R53" s="73"/>
      <c r="S53" s="73"/>
      <c r="T53" s="73"/>
      <c r="U53" s="73"/>
      <c r="V53" s="73"/>
      <c r="W53" s="73"/>
      <c r="X53" s="73"/>
      <c r="Y53" s="73"/>
      <c r="Z53" s="73"/>
    </row>
    <row r="54">
      <c r="A54" s="74" t="s">
        <v>194</v>
      </c>
      <c r="B54" s="77" t="s">
        <v>1583</v>
      </c>
      <c r="C54" s="73" t="str">
        <f>IFERROR(__xludf.DUMMYFUNCTION("""COMPUTED_VALUE"""),"PQH")</f>
        <v>PQH</v>
      </c>
      <c r="D54" s="73" t="str">
        <f>IFERROR(__xludf.DUMMYFUNCTION("""COMPUTED_VALUE"""),"48 Months OnStar Connect Plus")</f>
        <v>48 Months OnStar Connect Plus</v>
      </c>
      <c r="E54" s="73"/>
      <c r="F54" s="73"/>
      <c r="G54" s="73"/>
      <c r="H54" s="73"/>
      <c r="I54" s="73"/>
      <c r="J54" s="73"/>
      <c r="K54" s="73"/>
      <c r="L54" s="73"/>
      <c r="M54" s="73"/>
      <c r="N54" s="73"/>
      <c r="O54" s="73"/>
      <c r="P54" s="73"/>
      <c r="Q54" s="73"/>
      <c r="R54" s="73"/>
      <c r="S54" s="73"/>
      <c r="T54" s="73"/>
      <c r="U54" s="73"/>
      <c r="V54" s="73"/>
      <c r="W54" s="73"/>
      <c r="X54" s="73"/>
      <c r="Y54" s="73"/>
      <c r="Z54" s="73"/>
    </row>
    <row r="55">
      <c r="A55" s="74" t="s">
        <v>1050</v>
      </c>
      <c r="B55" s="77" t="s">
        <v>1584</v>
      </c>
      <c r="C55" s="73" t="str">
        <f>IFERROR(__xludf.DUMMYFUNCTION("""COMPUTED_VALUE"""),"PQI")</f>
        <v>PQI</v>
      </c>
      <c r="D55" s="73" t="str">
        <f>IFERROR(__xludf.DUMMYFUNCTION("""COMPUTED_VALUE"""),"60 Months OnStar Connect Plus")</f>
        <v>60 Months OnStar Connect Plus</v>
      </c>
      <c r="E55" s="73"/>
      <c r="F55" s="73"/>
      <c r="G55" s="73"/>
      <c r="H55" s="73"/>
      <c r="I55" s="73"/>
      <c r="J55" s="73"/>
      <c r="K55" s="73"/>
      <c r="L55" s="73"/>
      <c r="M55" s="73"/>
      <c r="N55" s="73"/>
      <c r="O55" s="73"/>
      <c r="P55" s="73"/>
      <c r="Q55" s="73"/>
      <c r="R55" s="73"/>
      <c r="S55" s="73"/>
      <c r="T55" s="73"/>
      <c r="U55" s="73"/>
      <c r="V55" s="73"/>
      <c r="W55" s="73"/>
      <c r="X55" s="73"/>
      <c r="Y55" s="73"/>
      <c r="Z55" s="73"/>
    </row>
    <row r="56">
      <c r="A56" s="74" t="s">
        <v>1052</v>
      </c>
      <c r="B56" s="77" t="s">
        <v>1585</v>
      </c>
      <c r="C56" s="73" t="str">
        <f>IFERROR(__xludf.DUMMYFUNCTION("""COMPUTED_VALUE"""),"PRB")</f>
        <v>PRB</v>
      </c>
      <c r="D56" s="73" t="str">
        <f>IFERROR(__xludf.DUMMYFUNCTION("""COMPUTED_VALUE"""),"3 Years OnStar One")</f>
        <v>3 Years OnStar One</v>
      </c>
      <c r="E56" s="73"/>
      <c r="F56" s="73"/>
      <c r="G56" s="73"/>
      <c r="H56" s="73"/>
      <c r="I56" s="73"/>
      <c r="J56" s="73"/>
      <c r="K56" s="73"/>
      <c r="L56" s="73"/>
      <c r="M56" s="73"/>
      <c r="N56" s="73"/>
      <c r="O56" s="73"/>
      <c r="P56" s="73"/>
      <c r="Q56" s="73"/>
      <c r="R56" s="73"/>
      <c r="S56" s="73"/>
      <c r="T56" s="73"/>
      <c r="U56" s="73"/>
      <c r="V56" s="73"/>
      <c r="W56" s="73"/>
      <c r="X56" s="73"/>
      <c r="Y56" s="73"/>
      <c r="Z56" s="73"/>
    </row>
    <row r="57">
      <c r="A57" s="74" t="s">
        <v>196</v>
      </c>
      <c r="B57" s="77" t="s">
        <v>1586</v>
      </c>
      <c r="C57" s="73" t="str">
        <f>IFERROR(__xludf.DUMMYFUNCTION("""COMPUTED_VALUE"""),"R6P")</f>
        <v>R6P</v>
      </c>
      <c r="D57" s="73" t="str">
        <f>IFERROR(__xludf.DUMMYFUNCTION("""COMPUTED_VALUE"""),"3 Years SiriusXM")</f>
        <v>3 Years SiriusXM</v>
      </c>
      <c r="E57" s="73"/>
      <c r="F57" s="73"/>
      <c r="G57" s="73"/>
      <c r="H57" s="73"/>
      <c r="I57" s="73"/>
      <c r="J57" s="73"/>
      <c r="K57" s="73"/>
      <c r="L57" s="73"/>
      <c r="M57" s="73"/>
      <c r="N57" s="73"/>
      <c r="O57" s="73"/>
      <c r="P57" s="73"/>
      <c r="Q57" s="73"/>
      <c r="R57" s="73"/>
      <c r="S57" s="73"/>
      <c r="T57" s="73"/>
      <c r="U57" s="73"/>
      <c r="V57" s="73"/>
      <c r="W57" s="73"/>
      <c r="X57" s="73"/>
      <c r="Y57" s="73"/>
      <c r="Z57" s="73"/>
    </row>
    <row r="58">
      <c r="A58" s="74" t="s">
        <v>198</v>
      </c>
      <c r="B58" s="77" t="s">
        <v>1587</v>
      </c>
      <c r="C58" s="73" t="str">
        <f>IFERROR(__xludf.DUMMYFUNCTION("""COMPUTED_VALUE"""),"R6X")</f>
        <v>R6X</v>
      </c>
      <c r="D58" s="73" t="str">
        <f>IFERROR(__xludf.DUMMYFUNCTION("""COMPUTED_VALUE"""),"Custom Interior Trim and Seat Combination")</f>
        <v>Custom Interior Trim and Seat Combination</v>
      </c>
      <c r="E58" s="73"/>
      <c r="F58" s="73"/>
      <c r="G58" s="73"/>
      <c r="H58" s="73"/>
      <c r="I58" s="73"/>
      <c r="J58" s="73"/>
      <c r="K58" s="73"/>
      <c r="L58" s="73"/>
      <c r="M58" s="73"/>
      <c r="N58" s="73"/>
      <c r="O58" s="73"/>
      <c r="P58" s="73"/>
      <c r="Q58" s="73"/>
      <c r="R58" s="73"/>
      <c r="S58" s="73"/>
      <c r="T58" s="73"/>
      <c r="U58" s="73"/>
      <c r="V58" s="73"/>
      <c r="W58" s="73"/>
      <c r="X58" s="73"/>
      <c r="Y58" s="73"/>
      <c r="Z58" s="73"/>
    </row>
    <row r="59">
      <c r="A59" s="74" t="s">
        <v>200</v>
      </c>
      <c r="B59" s="77" t="s">
        <v>1588</v>
      </c>
      <c r="C59" s="73" t="str">
        <f>IFERROR(__xludf.DUMMYFUNCTION("""COMPUTED_VALUE"""),"R8G")</f>
        <v>R8G</v>
      </c>
      <c r="D59" s="73" t="str">
        <f>IFERROR(__xludf.DUMMYFUNCTION("""COMPUTED_VALUE"""),"12 Months OnStar One Fleet")</f>
        <v>12 Months OnStar One Fleet</v>
      </c>
      <c r="E59" s="73"/>
      <c r="F59" s="73"/>
      <c r="G59" s="73"/>
      <c r="H59" s="73"/>
      <c r="I59" s="73"/>
      <c r="J59" s="73"/>
      <c r="K59" s="73"/>
      <c r="L59" s="73"/>
      <c r="M59" s="73"/>
      <c r="N59" s="73"/>
      <c r="O59" s="73"/>
      <c r="P59" s="73"/>
      <c r="Q59" s="73"/>
      <c r="R59" s="73"/>
      <c r="S59" s="73"/>
      <c r="T59" s="73"/>
      <c r="U59" s="73"/>
      <c r="V59" s="73"/>
      <c r="W59" s="73"/>
      <c r="X59" s="73"/>
      <c r="Y59" s="73"/>
      <c r="Z59" s="73"/>
    </row>
    <row r="60">
      <c r="A60" s="74" t="s">
        <v>1358</v>
      </c>
      <c r="B60" s="77" t="s">
        <v>1589</v>
      </c>
      <c r="C60" s="73" t="str">
        <f>IFERROR(__xludf.DUMMYFUNCTION("""COMPUTED_VALUE"""),"R8P")</f>
        <v>R8P</v>
      </c>
      <c r="D60" s="73" t="str">
        <f>IFERROR(__xludf.DUMMYFUNCTION("""COMPUTED_VALUE"""),"36 Months OnStar One Fleet")</f>
        <v>36 Months OnStar One Fleet</v>
      </c>
      <c r="E60" s="73"/>
      <c r="F60" s="73"/>
      <c r="G60" s="73"/>
      <c r="H60" s="73"/>
      <c r="I60" s="73"/>
      <c r="J60" s="73"/>
      <c r="K60" s="73"/>
      <c r="L60" s="73"/>
      <c r="M60" s="73"/>
      <c r="N60" s="73"/>
      <c r="O60" s="73"/>
      <c r="P60" s="73"/>
      <c r="Q60" s="73"/>
      <c r="R60" s="73"/>
      <c r="S60" s="73"/>
      <c r="T60" s="73"/>
      <c r="U60" s="73"/>
      <c r="V60" s="73"/>
      <c r="W60" s="73"/>
      <c r="X60" s="73"/>
      <c r="Y60" s="73"/>
      <c r="Z60" s="73"/>
    </row>
    <row r="61">
      <c r="A61" s="74" t="s">
        <v>202</v>
      </c>
      <c r="B61" s="77" t="s">
        <v>1590</v>
      </c>
      <c r="C61" s="73" t="str">
        <f>IFERROR(__xludf.DUMMYFUNCTION("""COMPUTED_VALUE"""),"R8W")</f>
        <v>R8W</v>
      </c>
      <c r="D61" s="73" t="str">
        <f>IFERROR(__xludf.DUMMYFUNCTION("""COMPUTED_VALUE"""),"60 Months OnStar One Fleet")</f>
        <v>60 Months OnStar One Fleet</v>
      </c>
      <c r="E61" s="73"/>
      <c r="F61" s="73"/>
      <c r="G61" s="73"/>
      <c r="H61" s="73"/>
      <c r="I61" s="73"/>
      <c r="J61" s="73"/>
      <c r="K61" s="73"/>
      <c r="L61" s="73"/>
      <c r="M61" s="73"/>
      <c r="N61" s="73"/>
      <c r="O61" s="73"/>
      <c r="P61" s="73"/>
      <c r="Q61" s="73"/>
      <c r="R61" s="73"/>
      <c r="S61" s="73"/>
      <c r="T61" s="73"/>
      <c r="U61" s="73"/>
      <c r="V61" s="73"/>
      <c r="W61" s="73"/>
      <c r="X61" s="73"/>
      <c r="Y61" s="73"/>
      <c r="Z61" s="73"/>
    </row>
    <row r="62">
      <c r="A62" s="74" t="s">
        <v>204</v>
      </c>
      <c r="B62" s="77" t="s">
        <v>1591</v>
      </c>
      <c r="C62" s="73" t="str">
        <f>IFERROR(__xludf.DUMMYFUNCTION("""COMPUTED_VALUE"""),"R8Z")</f>
        <v>R8Z</v>
      </c>
      <c r="D62" s="73" t="str">
        <f>IFERROR(__xludf.DUMMYFUNCTION("""COMPUTED_VALUE"""),"48 Months OnStar One Fleet")</f>
        <v>48 Months OnStar One Fleet</v>
      </c>
      <c r="E62" s="73"/>
      <c r="F62" s="73"/>
      <c r="G62" s="73"/>
      <c r="H62" s="73"/>
      <c r="I62" s="73"/>
      <c r="J62" s="73"/>
      <c r="K62" s="73"/>
      <c r="L62" s="73"/>
      <c r="M62" s="73"/>
      <c r="N62" s="73"/>
      <c r="O62" s="73"/>
      <c r="P62" s="73"/>
      <c r="Q62" s="73"/>
      <c r="R62" s="73"/>
      <c r="S62" s="73"/>
      <c r="T62" s="73"/>
      <c r="U62" s="73"/>
      <c r="V62" s="73"/>
      <c r="W62" s="73"/>
      <c r="X62" s="73"/>
      <c r="Y62" s="73"/>
      <c r="Z62" s="73"/>
    </row>
    <row r="63">
      <c r="A63" s="74" t="s">
        <v>206</v>
      </c>
      <c r="B63" s="77" t="s">
        <v>1592</v>
      </c>
      <c r="C63" s="73" t="str">
        <f>IFERROR(__xludf.DUMMYFUNCTION("""COMPUTED_VALUE"""),"R9L")</f>
        <v>R9L</v>
      </c>
      <c r="D63" s="73" t="str">
        <f>IFERROR(__xludf.DUMMYFUNCTION("""COMPUTED_VALUE"""),"Removes OnStar Basics (OnStar Fleet Basics for Fleet)")</f>
        <v>Removes OnStar Basics (OnStar Fleet Basics for Fleet)</v>
      </c>
      <c r="E63" s="73"/>
      <c r="F63" s="73"/>
      <c r="G63" s="73"/>
      <c r="H63" s="73"/>
      <c r="I63" s="73"/>
      <c r="J63" s="73"/>
      <c r="K63" s="73"/>
      <c r="L63" s="73"/>
      <c r="M63" s="73"/>
      <c r="N63" s="73"/>
      <c r="O63" s="73"/>
      <c r="P63" s="73"/>
      <c r="Q63" s="73"/>
      <c r="R63" s="73"/>
      <c r="S63" s="73"/>
      <c r="T63" s="73"/>
      <c r="U63" s="73"/>
      <c r="V63" s="73"/>
      <c r="W63" s="73"/>
      <c r="X63" s="73"/>
      <c r="Y63" s="73"/>
      <c r="Z63" s="73"/>
    </row>
    <row r="64">
      <c r="A64" s="74" t="s">
        <v>209</v>
      </c>
      <c r="B64" s="77" t="s">
        <v>1593</v>
      </c>
      <c r="C64" s="73" t="str">
        <f>IFERROR(__xludf.DUMMYFUNCTION("""COMPUTED_VALUE"""),"R9V")</f>
        <v>R9V</v>
      </c>
      <c r="D64" s="73" t="str">
        <f>IFERROR(__xludf.DUMMYFUNCTION("""COMPUTED_VALUE"""),"Mobile Service Plus")</f>
        <v>Mobile Service Plus</v>
      </c>
      <c r="E64" s="73"/>
      <c r="F64" s="73"/>
      <c r="G64" s="73"/>
      <c r="H64" s="73"/>
      <c r="I64" s="73"/>
      <c r="J64" s="73"/>
      <c r="K64" s="73"/>
      <c r="L64" s="73"/>
      <c r="M64" s="73"/>
      <c r="N64" s="73"/>
      <c r="O64" s="73"/>
      <c r="P64" s="73"/>
      <c r="Q64" s="73"/>
      <c r="R64" s="73"/>
      <c r="S64" s="73"/>
      <c r="T64" s="73"/>
      <c r="U64" s="73"/>
      <c r="V64" s="73"/>
      <c r="W64" s="73"/>
      <c r="X64" s="73"/>
      <c r="Y64" s="73"/>
      <c r="Z64" s="73"/>
    </row>
    <row r="65">
      <c r="A65" s="74" t="s">
        <v>1061</v>
      </c>
      <c r="B65" s="77" t="s">
        <v>1594</v>
      </c>
      <c r="C65" s="73" t="str">
        <f>IFERROR(__xludf.DUMMYFUNCTION("""COMPUTED_VALUE"""),"R9W")</f>
        <v>R9W</v>
      </c>
      <c r="D65" s="73" t="str">
        <f>IFERROR(__xludf.DUMMYFUNCTION("""COMPUTED_VALUE"""),"Deleted Mobile Service Plus")</f>
        <v>Deleted Mobile Service Plus</v>
      </c>
      <c r="E65" s="73"/>
      <c r="F65" s="73"/>
      <c r="G65" s="73"/>
      <c r="H65" s="73"/>
      <c r="I65" s="73"/>
      <c r="J65" s="73"/>
      <c r="K65" s="73"/>
      <c r="L65" s="73"/>
      <c r="M65" s="73"/>
      <c r="N65" s="73"/>
      <c r="O65" s="73"/>
      <c r="P65" s="73"/>
      <c r="Q65" s="73"/>
      <c r="R65" s="73"/>
      <c r="S65" s="73"/>
      <c r="T65" s="73"/>
      <c r="U65" s="73"/>
      <c r="V65" s="73"/>
      <c r="W65" s="73"/>
      <c r="X65" s="73"/>
      <c r="Y65" s="73"/>
      <c r="Z65" s="73"/>
    </row>
    <row r="66">
      <c r="A66" s="74" t="s">
        <v>1517</v>
      </c>
      <c r="B66" s="77" t="s">
        <v>1595</v>
      </c>
      <c r="C66" s="73" t="str">
        <f>IFERROR(__xludf.DUMMYFUNCTION("""COMPUTED_VALUE"""),"R9Y")</f>
        <v>R9Y</v>
      </c>
      <c r="D66" s="73" t="str">
        <f>IFERROR(__xludf.DUMMYFUNCTION("""COMPUTED_VALUE"""),"Mobile Service Plus")</f>
        <v>Mobile Service Plus</v>
      </c>
      <c r="E66" s="73"/>
      <c r="F66" s="73"/>
      <c r="G66" s="73"/>
      <c r="H66" s="73"/>
      <c r="I66" s="73"/>
      <c r="J66" s="73"/>
      <c r="K66" s="73"/>
      <c r="L66" s="73"/>
      <c r="M66" s="73"/>
      <c r="N66" s="73"/>
      <c r="O66" s="73"/>
      <c r="P66" s="73"/>
      <c r="Q66" s="73"/>
      <c r="R66" s="73"/>
      <c r="S66" s="73"/>
      <c r="T66" s="73"/>
      <c r="U66" s="73"/>
      <c r="V66" s="73"/>
      <c r="W66" s="73"/>
      <c r="X66" s="73"/>
      <c r="Y66" s="73"/>
      <c r="Z66" s="73"/>
    </row>
    <row r="67">
      <c r="A67" s="74" t="s">
        <v>1063</v>
      </c>
      <c r="B67" s="77" t="s">
        <v>1596</v>
      </c>
      <c r="C67" s="73" t="str">
        <f>IFERROR(__xludf.DUMMYFUNCTION("""COMPUTED_VALUE"""),"RFH")</f>
        <v>RFH</v>
      </c>
      <c r="D67" s="73" t="str">
        <f>IFERROR(__xludf.DUMMYFUNCTION("""COMPUTED_VALUE"""),"24 Months OnStar One Fleet")</f>
        <v>24 Months OnStar One Fleet</v>
      </c>
      <c r="E67" s="73"/>
      <c r="F67" s="73"/>
      <c r="G67" s="73"/>
      <c r="H67" s="73"/>
      <c r="I67" s="73"/>
      <c r="J67" s="73"/>
      <c r="K67" s="73"/>
      <c r="L67" s="73"/>
      <c r="M67" s="73"/>
      <c r="N67" s="73"/>
      <c r="O67" s="73"/>
      <c r="P67" s="73"/>
      <c r="Q67" s="73"/>
      <c r="R67" s="73"/>
      <c r="S67" s="73"/>
      <c r="T67" s="73"/>
      <c r="U67" s="73"/>
      <c r="V67" s="73"/>
      <c r="W67" s="73"/>
      <c r="X67" s="73"/>
      <c r="Y67" s="73"/>
      <c r="Z67" s="73"/>
    </row>
    <row r="68">
      <c r="A68" s="74" t="s">
        <v>211</v>
      </c>
      <c r="B68" s="77" t="s">
        <v>1597</v>
      </c>
      <c r="C68" s="73" t="str">
        <f>IFERROR(__xludf.DUMMYFUNCTION("""COMPUTED_VALUE"""),"T4L")</f>
        <v>T4L</v>
      </c>
      <c r="D68" s="73" t="str">
        <f>IFERROR(__xludf.DUMMYFUNCTION("""COMPUTED_VALUE"""),"Headlamps, LED")</f>
        <v>Headlamps, LED</v>
      </c>
      <c r="E68" s="73"/>
      <c r="F68" s="73"/>
      <c r="G68" s="73"/>
      <c r="H68" s="73"/>
      <c r="I68" s="73"/>
      <c r="J68" s="73"/>
      <c r="K68" s="73"/>
      <c r="L68" s="73"/>
      <c r="M68" s="73"/>
      <c r="N68" s="73"/>
      <c r="O68" s="73"/>
      <c r="P68" s="73"/>
      <c r="Q68" s="73"/>
      <c r="R68" s="73"/>
      <c r="S68" s="73"/>
      <c r="T68" s="73"/>
      <c r="U68" s="73"/>
      <c r="V68" s="73"/>
      <c r="W68" s="73"/>
      <c r="X68" s="73"/>
      <c r="Y68" s="73"/>
      <c r="Z68" s="73"/>
    </row>
    <row r="69">
      <c r="A69" s="74" t="s">
        <v>213</v>
      </c>
      <c r="B69" s="77" t="s">
        <v>1598</v>
      </c>
      <c r="C69" s="73" t="str">
        <f>IFERROR(__xludf.DUMMYFUNCTION("""COMPUTED_VALUE"""),"TDM")</f>
        <v>TDM</v>
      </c>
      <c r="D69" s="73" t="str">
        <f>IFERROR(__xludf.DUMMYFUNCTION("""COMPUTED_VALUE"""),"Teen Driver")</f>
        <v>Teen Driver</v>
      </c>
      <c r="E69" s="73"/>
      <c r="F69" s="73"/>
      <c r="G69" s="73"/>
      <c r="H69" s="73"/>
      <c r="I69" s="73"/>
      <c r="J69" s="73"/>
      <c r="K69" s="73"/>
      <c r="L69" s="73"/>
      <c r="M69" s="73"/>
      <c r="N69" s="73"/>
      <c r="O69" s="73"/>
      <c r="P69" s="73"/>
      <c r="Q69" s="73"/>
      <c r="R69" s="73"/>
      <c r="S69" s="73"/>
      <c r="T69" s="73"/>
      <c r="U69" s="73"/>
      <c r="V69" s="73"/>
      <c r="W69" s="73"/>
      <c r="X69" s="73"/>
      <c r="Y69" s="73"/>
      <c r="Z69" s="73"/>
    </row>
    <row r="70">
      <c r="A70" s="74" t="s">
        <v>215</v>
      </c>
      <c r="B70" s="77" t="s">
        <v>1599</v>
      </c>
      <c r="C70" s="73" t="str">
        <f>IFERROR(__xludf.DUMMYFUNCTION("""COMPUTED_VALUE"""),"TQ5")</f>
        <v>TQ5</v>
      </c>
      <c r="D70" s="73" t="str">
        <f>IFERROR(__xludf.DUMMYFUNCTION("""COMPUTED_VALUE"""),"IntelliBeam")</f>
        <v>IntelliBeam</v>
      </c>
      <c r="E70" s="73"/>
      <c r="F70" s="73"/>
      <c r="G70" s="73"/>
      <c r="H70" s="73"/>
      <c r="I70" s="73"/>
      <c r="J70" s="73"/>
      <c r="K70" s="73"/>
      <c r="L70" s="73"/>
      <c r="M70" s="73"/>
      <c r="N70" s="73"/>
      <c r="O70" s="73"/>
      <c r="P70" s="73"/>
      <c r="Q70" s="73"/>
      <c r="R70" s="73"/>
      <c r="S70" s="73"/>
      <c r="T70" s="73"/>
      <c r="U70" s="73"/>
      <c r="V70" s="73"/>
      <c r="W70" s="73"/>
      <c r="X70" s="73"/>
      <c r="Y70" s="73"/>
      <c r="Z70" s="73"/>
    </row>
    <row r="71">
      <c r="A71" s="74" t="s">
        <v>10</v>
      </c>
      <c r="B71" s="77" t="s">
        <v>1600</v>
      </c>
      <c r="C71" s="73" t="str">
        <f>IFERROR(__xludf.DUMMYFUNCTION("""COMPUTED_VALUE"""),"TR7")</f>
        <v>TR7</v>
      </c>
      <c r="D71" s="73" t="str">
        <f>IFERROR(__xludf.DUMMYFUNCTION("""COMPUTED_VALUE"""),"Headlamp control, automatic leveling system")</f>
        <v>Headlamp control, automatic leveling system</v>
      </c>
      <c r="E71" s="73"/>
      <c r="F71" s="73"/>
      <c r="G71" s="73"/>
      <c r="H71" s="73"/>
      <c r="I71" s="73"/>
      <c r="J71" s="73"/>
      <c r="K71" s="73"/>
      <c r="L71" s="73"/>
      <c r="M71" s="73"/>
      <c r="N71" s="73"/>
      <c r="O71" s="73"/>
      <c r="P71" s="73"/>
      <c r="Q71" s="73"/>
      <c r="R71" s="73"/>
      <c r="S71" s="73"/>
      <c r="T71" s="73"/>
      <c r="U71" s="73"/>
      <c r="V71" s="73"/>
      <c r="W71" s="73"/>
      <c r="X71" s="73"/>
      <c r="Y71" s="73"/>
      <c r="Z71" s="73"/>
    </row>
    <row r="72">
      <c r="A72" s="74" t="s">
        <v>220</v>
      </c>
      <c r="B72" s="77" t="s">
        <v>1601</v>
      </c>
      <c r="C72" s="73" t="str">
        <f>IFERROR(__xludf.DUMMYFUNCTION("""COMPUTED_VALUE"""),"U2K")</f>
        <v>U2K</v>
      </c>
      <c r="D72" s="73" t="str">
        <f>IFERROR(__xludf.DUMMYFUNCTION("""COMPUTED_VALUE"""),"SiriusXM with 360L")</f>
        <v>SiriusXM with 360L</v>
      </c>
      <c r="E72" s="73"/>
      <c r="F72" s="73"/>
      <c r="G72" s="73"/>
      <c r="H72" s="73"/>
      <c r="I72" s="73"/>
      <c r="J72" s="73"/>
      <c r="K72" s="73"/>
      <c r="L72" s="73"/>
      <c r="M72" s="73"/>
      <c r="N72" s="73"/>
      <c r="O72" s="73"/>
      <c r="P72" s="73"/>
      <c r="Q72" s="73"/>
      <c r="R72" s="73"/>
      <c r="S72" s="73"/>
      <c r="T72" s="73"/>
      <c r="U72" s="73"/>
      <c r="V72" s="73"/>
      <c r="W72" s="73"/>
      <c r="X72" s="73"/>
      <c r="Y72" s="73"/>
      <c r="Z72" s="73"/>
    </row>
    <row r="73">
      <c r="A73" s="86" t="s">
        <v>1312</v>
      </c>
      <c r="B73" s="77" t="s">
        <v>1602</v>
      </c>
      <c r="C73" s="73" t="str">
        <f>IFERROR(__xludf.DUMMYFUNCTION("""COMPUTED_VALUE"""),"U5G")</f>
        <v>U5G</v>
      </c>
      <c r="D73" s="73" t="str">
        <f>IFERROR(__xludf.DUMMYFUNCTION("""COMPUTED_VALUE"""),"NEW!  5G vehicle connectivity")</f>
        <v>NEW!  5G vehicle connectivity</v>
      </c>
      <c r="E73" s="73"/>
      <c r="F73" s="73"/>
      <c r="G73" s="73"/>
      <c r="H73" s="73"/>
      <c r="I73" s="73"/>
      <c r="J73" s="73"/>
      <c r="K73" s="73"/>
      <c r="L73" s="73"/>
      <c r="M73" s="73"/>
      <c r="N73" s="73"/>
      <c r="O73" s="73"/>
      <c r="P73" s="73"/>
      <c r="Q73" s="73"/>
      <c r="R73" s="73"/>
      <c r="S73" s="73"/>
      <c r="T73" s="73"/>
      <c r="U73" s="73"/>
      <c r="V73" s="73"/>
      <c r="W73" s="73"/>
      <c r="X73" s="73"/>
      <c r="Y73" s="73"/>
      <c r="Z73" s="73"/>
    </row>
    <row r="74">
      <c r="A74" s="74" t="s">
        <v>228</v>
      </c>
      <c r="B74" s="77" t="s">
        <v>1603</v>
      </c>
      <c r="C74" s="73" t="str">
        <f>IFERROR(__xludf.DUMMYFUNCTION("""COMPUTED_VALUE"""),"U80")</f>
        <v>U80</v>
      </c>
      <c r="D74" s="73" t="str">
        <f>IFERROR(__xludf.DUMMYFUNCTION("""COMPUTED_VALUE"""),"Compass, digital")</f>
        <v>Compass, digital</v>
      </c>
      <c r="E74" s="73"/>
      <c r="F74" s="73"/>
      <c r="G74" s="73"/>
      <c r="H74" s="73"/>
      <c r="I74" s="73"/>
      <c r="J74" s="73"/>
      <c r="K74" s="73"/>
      <c r="L74" s="73"/>
      <c r="M74" s="73"/>
      <c r="N74" s="73"/>
      <c r="O74" s="73"/>
      <c r="P74" s="73"/>
      <c r="Q74" s="73"/>
      <c r="R74" s="73"/>
      <c r="S74" s="73"/>
      <c r="T74" s="73"/>
      <c r="U74" s="73"/>
      <c r="V74" s="73"/>
      <c r="W74" s="73"/>
      <c r="X74" s="73"/>
      <c r="Y74" s="73"/>
      <c r="Z74" s="73"/>
    </row>
    <row r="75">
      <c r="A75" s="74" t="s">
        <v>231</v>
      </c>
      <c r="B75" s="77" t="s">
        <v>1604</v>
      </c>
      <c r="C75" s="73" t="str">
        <f>IFERROR(__xludf.DUMMYFUNCTION("""COMPUTED_VALUE"""),"UD7")</f>
        <v>UD7</v>
      </c>
      <c r="D75" s="73" t="str">
        <f>IFERROR(__xludf.DUMMYFUNCTION("""COMPUTED_VALUE"""),"Rear Park Assist")</f>
        <v>Rear Park Assist</v>
      </c>
      <c r="E75" s="73"/>
      <c r="F75" s="73"/>
      <c r="G75" s="73"/>
      <c r="H75" s="73"/>
      <c r="I75" s="73"/>
      <c r="J75" s="73"/>
      <c r="K75" s="73"/>
      <c r="L75" s="73"/>
      <c r="M75" s="73"/>
      <c r="N75" s="73"/>
      <c r="O75" s="73"/>
      <c r="P75" s="73"/>
      <c r="Q75" s="73"/>
      <c r="R75" s="73"/>
      <c r="S75" s="73"/>
      <c r="T75" s="73"/>
      <c r="U75" s="73"/>
      <c r="V75" s="73"/>
      <c r="W75" s="73"/>
      <c r="X75" s="73"/>
      <c r="Y75" s="73"/>
      <c r="Z75" s="73"/>
    </row>
    <row r="76">
      <c r="A76" s="74" t="s">
        <v>235</v>
      </c>
      <c r="B76" s="77" t="s">
        <v>1605</v>
      </c>
      <c r="C76" s="73" t="str">
        <f>IFERROR(__xludf.DUMMYFUNCTION("""COMPUTED_VALUE"""),"UE1")</f>
        <v>UE1</v>
      </c>
      <c r="D76" s="73" t="str">
        <f>IFERROR(__xludf.DUMMYFUNCTION("""COMPUTED_VALUE"""),"OnStar services capable")</f>
        <v>OnStar services capable</v>
      </c>
      <c r="E76" s="73"/>
      <c r="F76" s="73"/>
      <c r="G76" s="73"/>
      <c r="H76" s="73"/>
      <c r="I76" s="73"/>
      <c r="J76" s="73"/>
      <c r="K76" s="73"/>
      <c r="L76" s="73"/>
      <c r="M76" s="73"/>
      <c r="N76" s="73"/>
      <c r="O76" s="73"/>
      <c r="P76" s="73"/>
      <c r="Q76" s="73"/>
      <c r="R76" s="73"/>
      <c r="S76" s="73"/>
      <c r="T76" s="73"/>
      <c r="U76" s="73"/>
      <c r="V76" s="73"/>
      <c r="W76" s="73"/>
      <c r="X76" s="73"/>
      <c r="Y76" s="73"/>
      <c r="Z76" s="73"/>
    </row>
    <row r="77">
      <c r="A77" s="74" t="s">
        <v>953</v>
      </c>
      <c r="B77" s="77" t="s">
        <v>1606</v>
      </c>
      <c r="C77" s="73" t="str">
        <f>IFERROR(__xludf.DUMMYFUNCTION("""COMPUTED_VALUE"""),"UEU")</f>
        <v>UEU</v>
      </c>
      <c r="D77" s="73" t="str">
        <f>IFERROR(__xludf.DUMMYFUNCTION("""COMPUTED_VALUE"""),"Forward Collision Alert")</f>
        <v>Forward Collision Alert</v>
      </c>
      <c r="E77" s="73"/>
      <c r="F77" s="73"/>
      <c r="G77" s="73"/>
      <c r="H77" s="73"/>
      <c r="I77" s="73"/>
      <c r="J77" s="73"/>
      <c r="K77" s="73"/>
      <c r="L77" s="73"/>
      <c r="M77" s="73"/>
      <c r="N77" s="73"/>
      <c r="O77" s="73"/>
      <c r="P77" s="73"/>
      <c r="Q77" s="73"/>
      <c r="R77" s="73"/>
      <c r="S77" s="73"/>
      <c r="T77" s="73"/>
      <c r="U77" s="73"/>
      <c r="V77" s="73"/>
      <c r="W77" s="73"/>
      <c r="X77" s="73"/>
      <c r="Y77" s="73"/>
      <c r="Z77" s="73"/>
    </row>
    <row r="78">
      <c r="A78" s="74" t="s">
        <v>12</v>
      </c>
      <c r="B78" s="77" t="s">
        <v>1607</v>
      </c>
      <c r="C78" s="73" t="str">
        <f>IFERROR(__xludf.DUMMYFUNCTION("""COMPUTED_VALUE"""),"UFG")</f>
        <v>UFG</v>
      </c>
      <c r="D78" s="73" t="str">
        <f>IFERROR(__xludf.DUMMYFUNCTION("""COMPUTED_VALUE"""),"Rear Cross Traffic Alert")</f>
        <v>Rear Cross Traffic Alert</v>
      </c>
      <c r="E78" s="73"/>
      <c r="F78" s="73"/>
      <c r="G78" s="73"/>
      <c r="H78" s="73"/>
      <c r="I78" s="73"/>
      <c r="J78" s="73"/>
      <c r="K78" s="73"/>
      <c r="L78" s="73"/>
      <c r="M78" s="73"/>
      <c r="N78" s="73"/>
      <c r="O78" s="73"/>
      <c r="P78" s="73"/>
      <c r="Q78" s="73"/>
      <c r="R78" s="73"/>
      <c r="S78" s="73"/>
      <c r="T78" s="73"/>
      <c r="U78" s="73"/>
      <c r="V78" s="73"/>
      <c r="W78" s="73"/>
      <c r="X78" s="73"/>
      <c r="Y78" s="73"/>
      <c r="Z78" s="73"/>
    </row>
    <row r="79">
      <c r="A79" s="74" t="s">
        <v>1608</v>
      </c>
      <c r="B79" s="77" t="s">
        <v>1609</v>
      </c>
      <c r="C79" s="73" t="str">
        <f>IFERROR(__xludf.DUMMYFUNCTION("""COMPUTED_VALUE"""),"UFT")</f>
        <v>UFT</v>
      </c>
      <c r="D79" s="73" t="str">
        <f>IFERROR(__xludf.DUMMYFUNCTION("""COMPUTED_VALUE"""),"Side Blind Zone Alert")</f>
        <v>Side Blind Zone Alert</v>
      </c>
      <c r="E79" s="73"/>
      <c r="F79" s="73"/>
      <c r="G79" s="73"/>
      <c r="H79" s="73"/>
      <c r="I79" s="73"/>
      <c r="J79" s="73"/>
      <c r="K79" s="73"/>
      <c r="L79" s="73"/>
      <c r="M79" s="73"/>
      <c r="N79" s="73"/>
      <c r="O79" s="73"/>
      <c r="P79" s="73"/>
      <c r="Q79" s="73"/>
      <c r="R79" s="73"/>
      <c r="S79" s="73"/>
      <c r="T79" s="73"/>
      <c r="U79" s="73"/>
      <c r="V79" s="73"/>
      <c r="W79" s="73"/>
      <c r="X79" s="73"/>
      <c r="Y79" s="73"/>
      <c r="Z79" s="73"/>
    </row>
    <row r="80">
      <c r="A80" s="74" t="s">
        <v>1081</v>
      </c>
      <c r="B80" s="77" t="s">
        <v>1610</v>
      </c>
      <c r="C80" s="73" t="str">
        <f>IFERROR(__xludf.DUMMYFUNCTION("""COMPUTED_VALUE"""),"UG1")</f>
        <v>UG1</v>
      </c>
      <c r="D80" s="73" t="str">
        <f>IFERROR(__xludf.DUMMYFUNCTION("""COMPUTED_VALUE"""),"Universal Home Remote")</f>
        <v>Universal Home Remote</v>
      </c>
      <c r="E80" s="73"/>
      <c r="F80" s="73"/>
      <c r="G80" s="73"/>
      <c r="H80" s="73"/>
      <c r="I80" s="73"/>
      <c r="J80" s="73"/>
      <c r="K80" s="73"/>
      <c r="L80" s="73"/>
      <c r="M80" s="73"/>
      <c r="N80" s="73"/>
      <c r="O80" s="73"/>
      <c r="P80" s="73"/>
      <c r="Q80" s="73"/>
      <c r="R80" s="73"/>
      <c r="S80" s="73"/>
      <c r="T80" s="73"/>
      <c r="U80" s="73"/>
      <c r="V80" s="73"/>
      <c r="W80" s="73"/>
      <c r="X80" s="73"/>
      <c r="Y80" s="73"/>
      <c r="Z80" s="73"/>
    </row>
    <row r="81">
      <c r="A81" s="74" t="s">
        <v>1611</v>
      </c>
      <c r="B81" s="77" t="s">
        <v>1612</v>
      </c>
      <c r="C81" s="73" t="str">
        <f>IFERROR(__xludf.DUMMYFUNCTION("""COMPUTED_VALUE"""),"UHX")</f>
        <v>UHX</v>
      </c>
      <c r="D81" s="73" t="str">
        <f>IFERROR(__xludf.DUMMYFUNCTION("""COMPUTED_VALUE"""),"Lane Keep Assist with Lane Departure Warning")</f>
        <v>Lane Keep Assist with Lane Departure Warning</v>
      </c>
      <c r="E81" s="73"/>
      <c r="F81" s="73"/>
      <c r="G81" s="73"/>
      <c r="H81" s="73"/>
      <c r="I81" s="73"/>
      <c r="J81" s="73"/>
      <c r="K81" s="73"/>
      <c r="L81" s="73"/>
      <c r="M81" s="73"/>
      <c r="N81" s="73"/>
      <c r="O81" s="73"/>
      <c r="P81" s="73"/>
      <c r="Q81" s="73"/>
      <c r="R81" s="73"/>
      <c r="S81" s="73"/>
      <c r="T81" s="73"/>
      <c r="U81" s="73"/>
      <c r="V81" s="73"/>
      <c r="W81" s="73"/>
      <c r="X81" s="73"/>
      <c r="Y81" s="73"/>
      <c r="Z81" s="73"/>
    </row>
    <row r="82">
      <c r="A82" s="74" t="s">
        <v>1087</v>
      </c>
      <c r="B82" s="77" t="s">
        <v>1613</v>
      </c>
      <c r="C82" s="73" t="str">
        <f>IFERROR(__xludf.DUMMYFUNCTION("""COMPUTED_VALUE"""),"UHY")</f>
        <v>UHY</v>
      </c>
      <c r="D82" s="73" t="str">
        <f>IFERROR(__xludf.DUMMYFUNCTION("""COMPUTED_VALUE"""),"Automatic Emergency Braking")</f>
        <v>Automatic Emergency Braking</v>
      </c>
      <c r="E82" s="73"/>
      <c r="F82" s="73"/>
      <c r="G82" s="73"/>
      <c r="H82" s="73"/>
      <c r="I82" s="73"/>
      <c r="J82" s="73"/>
      <c r="K82" s="73"/>
      <c r="L82" s="73"/>
      <c r="M82" s="73"/>
      <c r="N82" s="73"/>
      <c r="O82" s="73"/>
      <c r="P82" s="73"/>
      <c r="Q82" s="73"/>
      <c r="R82" s="73"/>
      <c r="S82" s="73"/>
      <c r="T82" s="73"/>
      <c r="U82" s="73"/>
      <c r="V82" s="73"/>
      <c r="W82" s="73"/>
      <c r="X82" s="73"/>
      <c r="Y82" s="73"/>
      <c r="Z82" s="73"/>
    </row>
    <row r="83">
      <c r="A83" s="74" t="s">
        <v>1614</v>
      </c>
      <c r="B83" s="77" t="s">
        <v>1615</v>
      </c>
      <c r="C83" s="73" t="str">
        <f>IFERROR(__xludf.DUMMYFUNCTION("""COMPUTED_VALUE"""),"UKT")</f>
        <v>UKT</v>
      </c>
      <c r="D83" s="73" t="str">
        <f>IFERROR(__xludf.DUMMYFUNCTION("""COMPUTED_VALUE"""),"Front Pedestrian and Bicyclist Braking")</f>
        <v>Front Pedestrian and Bicyclist Braking</v>
      </c>
      <c r="E83" s="73"/>
      <c r="F83" s="73"/>
      <c r="G83" s="73"/>
      <c r="H83" s="73"/>
      <c r="I83" s="73"/>
      <c r="J83" s="73"/>
      <c r="K83" s="73"/>
      <c r="L83" s="73"/>
      <c r="M83" s="73"/>
      <c r="N83" s="73"/>
      <c r="O83" s="73"/>
      <c r="P83" s="73"/>
      <c r="Q83" s="73"/>
      <c r="R83" s="73"/>
      <c r="S83" s="73"/>
      <c r="T83" s="73"/>
      <c r="U83" s="73"/>
      <c r="V83" s="73"/>
      <c r="W83" s="73"/>
      <c r="X83" s="73"/>
      <c r="Y83" s="73"/>
      <c r="Z83" s="73"/>
    </row>
    <row r="84">
      <c r="A84" s="74" t="s">
        <v>1089</v>
      </c>
      <c r="B84" s="77" t="s">
        <v>1616</v>
      </c>
      <c r="C84" s="73" t="str">
        <f>IFERROR(__xludf.DUMMYFUNCTION("""COMPUTED_VALUE"""),"UQH")</f>
        <v>UQH</v>
      </c>
      <c r="D84" s="73" t="str">
        <f>IFERROR(__xludf.DUMMYFUNCTION("""COMPUTED_VALUE"""),"Audio system feature, Bose Performance Series Sound System")</f>
        <v>Audio system feature, Bose Performance Series Sound System</v>
      </c>
      <c r="E84" s="73"/>
      <c r="F84" s="73"/>
      <c r="G84" s="73"/>
      <c r="H84" s="73"/>
      <c r="I84" s="73"/>
      <c r="J84" s="73"/>
      <c r="K84" s="73"/>
      <c r="L84" s="73"/>
      <c r="M84" s="73"/>
      <c r="N84" s="73"/>
      <c r="O84" s="73"/>
      <c r="P84" s="73"/>
      <c r="Q84" s="73"/>
      <c r="R84" s="73"/>
      <c r="S84" s="73"/>
      <c r="T84" s="73"/>
      <c r="U84" s="73"/>
      <c r="V84" s="73"/>
      <c r="W84" s="73"/>
      <c r="X84" s="73"/>
      <c r="Y84" s="73"/>
      <c r="Z84" s="73"/>
    </row>
    <row r="85">
      <c r="A85" s="74" t="s">
        <v>1091</v>
      </c>
      <c r="B85" s="77" t="s">
        <v>1617</v>
      </c>
      <c r="C85" s="73" t="str">
        <f>IFERROR(__xludf.DUMMYFUNCTION("""COMPUTED_VALUE"""),"UQS")</f>
        <v>UQS</v>
      </c>
      <c r="D85" s="73" t="str">
        <f>IFERROR(__xludf.DUMMYFUNCTION("""COMPUTED_VALUE"""),"Audio system feature, Bose Premium 10-speaker system")</f>
        <v>Audio system feature, Bose Premium 10-speaker system</v>
      </c>
      <c r="E85" s="73"/>
      <c r="F85" s="73"/>
      <c r="G85" s="73"/>
      <c r="H85" s="73"/>
      <c r="I85" s="73"/>
      <c r="J85" s="73"/>
      <c r="K85" s="73"/>
      <c r="L85" s="73"/>
      <c r="M85" s="73"/>
      <c r="N85" s="73"/>
      <c r="O85" s="73"/>
      <c r="P85" s="73"/>
      <c r="Q85" s="73"/>
      <c r="R85" s="73"/>
      <c r="S85" s="73"/>
      <c r="T85" s="73"/>
      <c r="U85" s="73"/>
      <c r="V85" s="73"/>
      <c r="W85" s="73"/>
      <c r="X85" s="73"/>
      <c r="Y85" s="73"/>
      <c r="Z85" s="73"/>
    </row>
    <row r="86">
      <c r="A86" s="74" t="s">
        <v>1397</v>
      </c>
      <c r="B86" s="77" t="s">
        <v>1618</v>
      </c>
      <c r="C86" s="73" t="str">
        <f>IFERROR(__xludf.DUMMYFUNCTION("""COMPUTED_VALUE"""),"UTJ")</f>
        <v>UTJ</v>
      </c>
      <c r="D86" s="73" t="str">
        <f>IFERROR(__xludf.DUMMYFUNCTION("""COMPUTED_VALUE"""),"Theft-deterrent system")</f>
        <v>Theft-deterrent system</v>
      </c>
      <c r="E86" s="73"/>
      <c r="F86" s="73"/>
      <c r="G86" s="73"/>
      <c r="H86" s="73"/>
      <c r="I86" s="73"/>
      <c r="J86" s="73"/>
      <c r="K86" s="73"/>
      <c r="L86" s="73"/>
      <c r="M86" s="73"/>
      <c r="N86" s="73"/>
      <c r="O86" s="73"/>
      <c r="P86" s="73"/>
      <c r="Q86" s="73"/>
      <c r="R86" s="73"/>
      <c r="S86" s="73"/>
      <c r="T86" s="73"/>
      <c r="U86" s="73"/>
      <c r="V86" s="73"/>
      <c r="W86" s="73"/>
      <c r="X86" s="73"/>
      <c r="Y86" s="73"/>
      <c r="Z86" s="73"/>
    </row>
    <row r="87">
      <c r="A87" s="74" t="s">
        <v>1314</v>
      </c>
      <c r="B87" s="77" t="s">
        <v>1619</v>
      </c>
      <c r="C87" s="73" t="str">
        <f>IFERROR(__xludf.DUMMYFUNCTION("""COMPUTED_VALUE"""),"UTU")</f>
        <v>UTU</v>
      </c>
      <c r="D87" s="73" t="str">
        <f>IFERROR(__xludf.DUMMYFUNCTION("""COMPUTED_VALUE"""),"Theft deterrent sensor, vehicle inclination")</f>
        <v>Theft deterrent sensor, vehicle inclination</v>
      </c>
      <c r="E87" s="73"/>
      <c r="F87" s="73"/>
      <c r="G87" s="73"/>
      <c r="H87" s="73"/>
      <c r="I87" s="73"/>
      <c r="J87" s="73"/>
      <c r="K87" s="73"/>
      <c r="L87" s="73"/>
      <c r="M87" s="73"/>
      <c r="N87" s="73"/>
      <c r="O87" s="73"/>
      <c r="P87" s="73"/>
      <c r="Q87" s="73"/>
      <c r="R87" s="73"/>
      <c r="S87" s="73"/>
      <c r="T87" s="73"/>
      <c r="U87" s="73"/>
      <c r="V87" s="73"/>
      <c r="W87" s="73"/>
      <c r="X87" s="73"/>
      <c r="Y87" s="73"/>
      <c r="Z87" s="73"/>
    </row>
    <row r="88">
      <c r="A88" s="74" t="s">
        <v>1317</v>
      </c>
      <c r="B88" s="77" t="s">
        <v>1620</v>
      </c>
      <c r="C88" s="73" t="str">
        <f>IFERROR(__xludf.DUMMYFUNCTION("""COMPUTED_VALUE"""),"UTV")</f>
        <v>UTV</v>
      </c>
      <c r="D88" s="73" t="str">
        <f>IFERROR(__xludf.DUMMYFUNCTION("""COMPUTED_VALUE"""),"Theft deterrent sensor, vehicle interior movement")</f>
        <v>Theft deterrent sensor, vehicle interior movement</v>
      </c>
      <c r="E88" s="73"/>
      <c r="F88" s="73"/>
      <c r="G88" s="73"/>
      <c r="H88" s="73"/>
      <c r="I88" s="73"/>
      <c r="J88" s="73"/>
      <c r="K88" s="73"/>
      <c r="L88" s="73"/>
      <c r="M88" s="73"/>
      <c r="N88" s="73"/>
      <c r="O88" s="73"/>
      <c r="P88" s="73"/>
      <c r="Q88" s="73"/>
      <c r="R88" s="73"/>
      <c r="S88" s="73"/>
      <c r="T88" s="73"/>
      <c r="U88" s="73"/>
      <c r="V88" s="73"/>
      <c r="W88" s="73"/>
      <c r="X88" s="73"/>
      <c r="Y88" s="73"/>
      <c r="Z88" s="73"/>
    </row>
    <row r="89">
      <c r="A89" s="74" t="s">
        <v>13</v>
      </c>
      <c r="B89" s="77" t="s">
        <v>1621</v>
      </c>
      <c r="C89" s="73" t="str">
        <f>IFERROR(__xludf.DUMMYFUNCTION("""COMPUTED_VALUE"""),"UV6")</f>
        <v>UV6</v>
      </c>
      <c r="D89" s="73" t="str">
        <f>IFERROR(__xludf.DUMMYFUNCTION("""COMPUTED_VALUE"""),"Head-Up Display")</f>
        <v>Head-Up Display</v>
      </c>
      <c r="E89" s="73"/>
      <c r="F89" s="73"/>
      <c r="G89" s="73"/>
      <c r="H89" s="73"/>
      <c r="I89" s="73"/>
      <c r="J89" s="73"/>
      <c r="K89" s="73"/>
      <c r="L89" s="73"/>
      <c r="M89" s="73"/>
      <c r="N89" s="73"/>
      <c r="O89" s="73"/>
      <c r="P89" s="73"/>
      <c r="Q89" s="73"/>
      <c r="R89" s="73"/>
      <c r="S89" s="73"/>
      <c r="T89" s="73"/>
      <c r="U89" s="73"/>
      <c r="V89" s="73"/>
      <c r="W89" s="73"/>
      <c r="X89" s="73"/>
      <c r="Y89" s="73"/>
      <c r="Z89" s="73"/>
    </row>
    <row r="90">
      <c r="A90" s="74" t="s">
        <v>278</v>
      </c>
      <c r="B90" s="77" t="s">
        <v>1622</v>
      </c>
      <c r="C90" s="73" t="str">
        <f>IFERROR(__xludf.DUMMYFUNCTION("""COMPUTED_VALUE"""),"UVA")</f>
        <v>UVA</v>
      </c>
      <c r="D90" s="73" t="str">
        <f>IFERROR(__xludf.DUMMYFUNCTION("""COMPUTED_VALUE"""),"HD Front and Rear Vision Cameras")</f>
        <v>HD Front and Rear Vision Cameras</v>
      </c>
      <c r="E90" s="73"/>
      <c r="F90" s="73"/>
      <c r="G90" s="73"/>
      <c r="H90" s="73"/>
      <c r="I90" s="73"/>
      <c r="J90" s="73"/>
      <c r="K90" s="73"/>
      <c r="L90" s="73"/>
      <c r="M90" s="73"/>
      <c r="N90" s="73"/>
      <c r="O90" s="73"/>
      <c r="P90" s="73"/>
      <c r="Q90" s="73"/>
      <c r="R90" s="73"/>
      <c r="S90" s="73"/>
      <c r="T90" s="73"/>
      <c r="U90" s="73"/>
      <c r="V90" s="73"/>
      <c r="W90" s="73"/>
      <c r="X90" s="73"/>
      <c r="Y90" s="73"/>
      <c r="Z90" s="73"/>
    </row>
    <row r="91">
      <c r="A91" s="74" t="s">
        <v>1320</v>
      </c>
      <c r="B91" s="77" t="s">
        <v>1623</v>
      </c>
      <c r="C91" s="73" t="str">
        <f>IFERROR(__xludf.DUMMYFUNCTION("""COMPUTED_VALUE"""),"UVB")</f>
        <v>UVB</v>
      </c>
      <c r="D91" s="73" t="str">
        <f>IFERROR(__xludf.DUMMYFUNCTION("""COMPUTED_VALUE"""),"HD Rear Vision Camera")</f>
        <v>HD Rear Vision Camera</v>
      </c>
      <c r="E91" s="73"/>
      <c r="F91" s="73"/>
      <c r="G91" s="73"/>
      <c r="H91" s="73"/>
      <c r="I91" s="73"/>
      <c r="J91" s="73"/>
      <c r="K91" s="73"/>
      <c r="L91" s="73"/>
      <c r="M91" s="73"/>
      <c r="N91" s="73"/>
      <c r="O91" s="73"/>
      <c r="P91" s="73"/>
      <c r="Q91" s="73"/>
      <c r="R91" s="73"/>
      <c r="S91" s="73"/>
      <c r="T91" s="73"/>
      <c r="U91" s="73"/>
      <c r="V91" s="73"/>
      <c r="W91" s="73"/>
      <c r="X91" s="73"/>
      <c r="Y91" s="73"/>
      <c r="Z91" s="73"/>
    </row>
    <row r="92">
      <c r="A92" s="74" t="s">
        <v>280</v>
      </c>
      <c r="B92" s="77" t="s">
        <v>1624</v>
      </c>
      <c r="C92" s="73" t="str">
        <f>IFERROR(__xludf.DUMMYFUNCTION("""COMPUTED_VALUE"""),"VHM")</f>
        <v>VHM</v>
      </c>
      <c r="D92" s="73" t="str">
        <f>IFERROR(__xludf.DUMMYFUNCTION("""COMPUTED_VALUE"""),"Vehicle health management")</f>
        <v>Vehicle health management</v>
      </c>
      <c r="E92" s="73"/>
      <c r="F92" s="73"/>
      <c r="G92" s="73"/>
      <c r="H92" s="73"/>
      <c r="I92" s="73"/>
      <c r="J92" s="73"/>
      <c r="K92" s="73"/>
      <c r="L92" s="73"/>
      <c r="M92" s="73"/>
      <c r="N92" s="73"/>
      <c r="O92" s="73"/>
      <c r="P92" s="73"/>
      <c r="Q92" s="73"/>
      <c r="R92" s="73"/>
      <c r="S92" s="73"/>
      <c r="T92" s="73"/>
      <c r="U92" s="73"/>
      <c r="V92" s="73"/>
      <c r="W92" s="73"/>
      <c r="X92" s="73"/>
      <c r="Y92" s="73"/>
      <c r="Z92" s="73"/>
    </row>
    <row r="93">
      <c r="A93" s="74" t="s">
        <v>1101</v>
      </c>
      <c r="B93" s="77" t="s">
        <v>1625</v>
      </c>
      <c r="C93" s="73" t="str">
        <f>IFERROR(__xludf.DUMMYFUNCTION("""COMPUTED_VALUE"""),"VV4")</f>
        <v>VV4</v>
      </c>
      <c r="D93" s="73" t="str">
        <f>IFERROR(__xludf.DUMMYFUNCTION("""COMPUTED_VALUE"""),"Wi-Fi Hotspot capable")</f>
        <v>Wi-Fi Hotspot capable</v>
      </c>
      <c r="E93" s="73"/>
      <c r="F93" s="73"/>
      <c r="G93" s="73"/>
      <c r="H93" s="73"/>
      <c r="I93" s="73"/>
      <c r="J93" s="73"/>
      <c r="K93" s="73"/>
      <c r="L93" s="73"/>
      <c r="M93" s="73"/>
      <c r="N93" s="73"/>
      <c r="O93" s="73"/>
      <c r="P93" s="73"/>
      <c r="Q93" s="73"/>
      <c r="R93" s="73"/>
      <c r="S93" s="73"/>
      <c r="T93" s="73"/>
      <c r="U93" s="73"/>
      <c r="V93" s="73"/>
      <c r="W93" s="73"/>
      <c r="X93" s="73"/>
      <c r="Y93" s="73"/>
      <c r="Z93" s="73"/>
    </row>
    <row r="94">
      <c r="A94" s="74" t="s">
        <v>1103</v>
      </c>
      <c r="B94" s="77" t="s">
        <v>1626</v>
      </c>
      <c r="C94" s="73" t="str">
        <f>IFERROR(__xludf.DUMMYFUNCTION("""COMPUTED_VALUE"""),"XFR")</f>
        <v>XFR</v>
      </c>
      <c r="D94" s="73" t="str">
        <f>IFERROR(__xludf.DUMMYFUNCTION("""COMPUTED_VALUE"""),"Tires, 275/30ZR20 front and 345/25ZR21 rear, blackwall, high performance")</f>
        <v>Tires, 275/30ZR20 front and 345/25ZR21 rear, blackwall, high performance</v>
      </c>
      <c r="E94" s="73"/>
      <c r="F94" s="73"/>
      <c r="G94" s="73"/>
      <c r="H94" s="73"/>
      <c r="I94" s="73"/>
      <c r="J94" s="73"/>
      <c r="K94" s="73"/>
      <c r="L94" s="73"/>
      <c r="M94" s="73"/>
      <c r="N94" s="73"/>
      <c r="O94" s="73"/>
      <c r="P94" s="73"/>
      <c r="Q94" s="73"/>
      <c r="R94" s="73"/>
      <c r="S94" s="73"/>
      <c r="T94" s="73"/>
      <c r="U94" s="73"/>
      <c r="V94" s="73"/>
      <c r="W94" s="73"/>
      <c r="X94" s="73"/>
      <c r="Y94" s="73"/>
      <c r="Z94" s="73"/>
    </row>
    <row r="95">
      <c r="A95" s="74" t="s">
        <v>1105</v>
      </c>
      <c r="B95" s="77" t="s">
        <v>1627</v>
      </c>
      <c r="C95" s="73" t="str">
        <f>IFERROR(__xludf.DUMMYFUNCTION("""COMPUTED_VALUE"""),"XFT")</f>
        <v>XFT</v>
      </c>
      <c r="D95" s="73" t="str">
        <f>IFERROR(__xludf.DUMMYFUNCTION("""COMPUTED_VALUE"""),"Tires, 275/30ZR20 front and 345/25ZR21 rear, all-season, blackwall, performance")</f>
        <v>Tires, 275/30ZR20 front and 345/25ZR21 rear, all-season, blackwall, performance</v>
      </c>
      <c r="E95" s="73"/>
      <c r="F95" s="73"/>
      <c r="G95" s="73"/>
      <c r="H95" s="73"/>
      <c r="I95" s="73"/>
      <c r="J95" s="73"/>
      <c r="K95" s="73"/>
      <c r="L95" s="73"/>
      <c r="M95" s="73"/>
      <c r="N95" s="73"/>
      <c r="O95" s="73"/>
      <c r="P95" s="73"/>
      <c r="Q95" s="73"/>
      <c r="R95" s="73"/>
      <c r="S95" s="73"/>
      <c r="T95" s="73"/>
      <c r="U95" s="73"/>
      <c r="V95" s="73"/>
      <c r="W95" s="73"/>
      <c r="X95" s="73"/>
      <c r="Y95" s="73"/>
      <c r="Z95" s="73"/>
    </row>
    <row r="96">
      <c r="A96" s="74" t="s">
        <v>1107</v>
      </c>
      <c r="B96" s="77" t="s">
        <v>1628</v>
      </c>
      <c r="C96" s="73" t="str">
        <f>IFERROR(__xludf.DUMMYFUNCTION("""COMPUTED_VALUE"""),"YF5")</f>
        <v>YF5</v>
      </c>
      <c r="D96" s="73" t="str">
        <f>IFERROR(__xludf.DUMMYFUNCTION("""COMPUTED_VALUE"""),"Emissions, California state requirements")</f>
        <v>Emissions, California state requirements</v>
      </c>
      <c r="E96" s="73"/>
      <c r="F96" s="73"/>
      <c r="G96" s="73"/>
      <c r="H96" s="73"/>
      <c r="I96" s="73"/>
      <c r="J96" s="73"/>
      <c r="K96" s="73"/>
      <c r="L96" s="73"/>
      <c r="M96" s="73"/>
      <c r="N96" s="73"/>
      <c r="O96" s="73"/>
      <c r="P96" s="73"/>
      <c r="Q96" s="73"/>
      <c r="R96" s="73"/>
      <c r="S96" s="73"/>
      <c r="T96" s="73"/>
      <c r="U96" s="73"/>
      <c r="V96" s="73"/>
      <c r="W96" s="73"/>
      <c r="X96" s="73"/>
      <c r="Y96" s="73"/>
      <c r="Z96" s="73"/>
    </row>
    <row r="97">
      <c r="A97" s="74" t="s">
        <v>1109</v>
      </c>
      <c r="B97" s="77" t="s">
        <v>1629</v>
      </c>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4" t="s">
        <v>1630</v>
      </c>
      <c r="B98" s="77" t="s">
        <v>1631</v>
      </c>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4" t="s">
        <v>728</v>
      </c>
      <c r="B99" s="77" t="s">
        <v>1632</v>
      </c>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4" t="s">
        <v>1479</v>
      </c>
      <c r="B100" s="77" t="s">
        <v>1633</v>
      </c>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4" t="s">
        <v>1114</v>
      </c>
      <c r="B101" s="77" t="s">
        <v>1634</v>
      </c>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4" t="s">
        <v>1635</v>
      </c>
      <c r="B102" s="77" t="s">
        <v>1636</v>
      </c>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4" t="s">
        <v>1116</v>
      </c>
      <c r="B103" s="77" t="s">
        <v>1637</v>
      </c>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4" t="s">
        <v>1118</v>
      </c>
      <c r="B104" s="77" t="s">
        <v>1638</v>
      </c>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4" t="s">
        <v>1120</v>
      </c>
      <c r="B105" s="77" t="s">
        <v>1639</v>
      </c>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4" t="s">
        <v>1122</v>
      </c>
      <c r="B106" s="77" t="s">
        <v>1640</v>
      </c>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4" t="s">
        <v>6</v>
      </c>
      <c r="B107" s="77" t="s">
        <v>1641</v>
      </c>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4" t="s">
        <v>1125</v>
      </c>
      <c r="B108" s="77" t="s">
        <v>1642</v>
      </c>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4" t="s">
        <v>286</v>
      </c>
      <c r="B109" s="77" t="s">
        <v>1643</v>
      </c>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4" t="s">
        <v>1128</v>
      </c>
      <c r="B110" s="77" t="s">
        <v>1644</v>
      </c>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4" t="s">
        <v>1130</v>
      </c>
      <c r="B111" s="77" t="s">
        <v>1645</v>
      </c>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4" t="s">
        <v>1132</v>
      </c>
      <c r="B112" s="77" t="s">
        <v>1646</v>
      </c>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4" t="s">
        <v>1134</v>
      </c>
      <c r="B113" s="77" t="s">
        <v>1647</v>
      </c>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4" t="s">
        <v>1136</v>
      </c>
      <c r="B114" s="77" t="s">
        <v>1648</v>
      </c>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4" t="s">
        <v>1138</v>
      </c>
      <c r="B115" s="77" t="s">
        <v>1649</v>
      </c>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4" t="s">
        <v>1140</v>
      </c>
      <c r="B116" s="77" t="s">
        <v>1650</v>
      </c>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4" t="s">
        <v>1142</v>
      </c>
      <c r="B117" s="77" t="s">
        <v>1651</v>
      </c>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4" t="s">
        <v>1144</v>
      </c>
      <c r="B118" s="77" t="s">
        <v>1652</v>
      </c>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4" t="s">
        <v>1146</v>
      </c>
      <c r="B119" s="77" t="s">
        <v>1653</v>
      </c>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4" t="s">
        <v>1148</v>
      </c>
      <c r="B120" s="77" t="s">
        <v>1654</v>
      </c>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4" t="s">
        <v>1150</v>
      </c>
      <c r="B121" s="77" t="s">
        <v>1655</v>
      </c>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4" t="s">
        <v>1340</v>
      </c>
      <c r="B122" s="77" t="s">
        <v>1656</v>
      </c>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4" t="s">
        <v>302</v>
      </c>
      <c r="B123" s="77" t="s">
        <v>1657</v>
      </c>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4" t="s">
        <v>7</v>
      </c>
      <c r="B124" s="77" t="s">
        <v>1658</v>
      </c>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4" t="s">
        <v>307</v>
      </c>
      <c r="B125" s="77" t="s">
        <v>1659</v>
      </c>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4" t="s">
        <v>1158</v>
      </c>
      <c r="B126" s="77" t="s">
        <v>1660</v>
      </c>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4" t="s">
        <v>1160</v>
      </c>
      <c r="B127" s="77" t="s">
        <v>1661</v>
      </c>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4" t="s">
        <v>1162</v>
      </c>
      <c r="B128" s="77" t="s">
        <v>1662</v>
      </c>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4" t="s">
        <v>1164</v>
      </c>
      <c r="B129" s="77" t="s">
        <v>1663</v>
      </c>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4" t="s">
        <v>1166</v>
      </c>
      <c r="B130" s="77" t="s">
        <v>1664</v>
      </c>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4" t="s">
        <v>1177</v>
      </c>
      <c r="B131" s="77" t="s">
        <v>1665</v>
      </c>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4" t="s">
        <v>1179</v>
      </c>
      <c r="B132" s="77" t="s">
        <v>1666</v>
      </c>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4" t="s">
        <v>327</v>
      </c>
      <c r="B133" s="77" t="s">
        <v>1667</v>
      </c>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4" t="s">
        <v>331</v>
      </c>
      <c r="B134" s="77" t="s">
        <v>1668</v>
      </c>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4" t="s">
        <v>1183</v>
      </c>
      <c r="B135" s="77" t="s">
        <v>1669</v>
      </c>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4" t="s">
        <v>1185</v>
      </c>
      <c r="B136" s="77" t="s">
        <v>1670</v>
      </c>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4" t="s">
        <v>1187</v>
      </c>
      <c r="B137" s="77" t="s">
        <v>1671</v>
      </c>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4" t="s">
        <v>1189</v>
      </c>
      <c r="B138" s="77" t="s">
        <v>1672</v>
      </c>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4" t="s">
        <v>1191</v>
      </c>
      <c r="B139" s="77" t="s">
        <v>1673</v>
      </c>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4" t="s">
        <v>1193</v>
      </c>
      <c r="B140" s="77" t="s">
        <v>1674</v>
      </c>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4" t="s">
        <v>1195</v>
      </c>
      <c r="B141" s="77" t="s">
        <v>1675</v>
      </c>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4" t="s">
        <v>1197</v>
      </c>
      <c r="B142" s="77" t="s">
        <v>1676</v>
      </c>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4" t="s">
        <v>1199</v>
      </c>
      <c r="B143" s="77" t="s">
        <v>1677</v>
      </c>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4" t="s">
        <v>334</v>
      </c>
      <c r="B144" s="77" t="s">
        <v>1678</v>
      </c>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4" t="s">
        <v>337</v>
      </c>
      <c r="B145" s="77" t="s">
        <v>1679</v>
      </c>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4" t="s">
        <v>340</v>
      </c>
      <c r="B146" s="77" t="s">
        <v>1680</v>
      </c>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4" t="s">
        <v>1366</v>
      </c>
      <c r="B147" s="77" t="s">
        <v>1681</v>
      </c>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4" t="s">
        <v>1369</v>
      </c>
      <c r="B148" s="77" t="s">
        <v>1682</v>
      </c>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4" t="s">
        <v>1372</v>
      </c>
      <c r="B149" s="77" t="s">
        <v>1683</v>
      </c>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4" t="s">
        <v>1376</v>
      </c>
      <c r="B150" s="77" t="s">
        <v>1684</v>
      </c>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4" t="s">
        <v>346</v>
      </c>
      <c r="B151" s="77" t="s">
        <v>1685</v>
      </c>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4" t="s">
        <v>348</v>
      </c>
      <c r="B152" s="77" t="s">
        <v>1686</v>
      </c>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4" t="s">
        <v>350</v>
      </c>
      <c r="B153" s="77" t="s">
        <v>1687</v>
      </c>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4" t="s">
        <v>359</v>
      </c>
      <c r="B154" s="77" t="s">
        <v>1688</v>
      </c>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4" t="s">
        <v>365</v>
      </c>
      <c r="B155" s="77" t="s">
        <v>1689</v>
      </c>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4" t="s">
        <v>367</v>
      </c>
      <c r="B156" s="77" t="s">
        <v>1690</v>
      </c>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4" t="s">
        <v>370</v>
      </c>
      <c r="B157" s="77" t="s">
        <v>1691</v>
      </c>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4" t="s">
        <v>8</v>
      </c>
      <c r="B158" s="77" t="s">
        <v>1692</v>
      </c>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4" t="s">
        <v>375</v>
      </c>
      <c r="B159" s="77" t="s">
        <v>1693</v>
      </c>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4" t="s">
        <v>379</v>
      </c>
      <c r="B160" s="77" t="s">
        <v>1694</v>
      </c>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4" t="s">
        <v>381</v>
      </c>
      <c r="B161" s="77" t="s">
        <v>1695</v>
      </c>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4" t="s">
        <v>383</v>
      </c>
      <c r="B162" s="77" t="s">
        <v>1696</v>
      </c>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4" t="s">
        <v>388</v>
      </c>
      <c r="B163" s="77" t="s">
        <v>1697</v>
      </c>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4" t="s">
        <v>1334</v>
      </c>
      <c r="B164" s="77" t="s">
        <v>1698</v>
      </c>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4" t="s">
        <v>394</v>
      </c>
      <c r="B165" s="77" t="s">
        <v>1699</v>
      </c>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4" t="s">
        <v>397</v>
      </c>
      <c r="B166" s="77" t="s">
        <v>1700</v>
      </c>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4" t="s">
        <v>400</v>
      </c>
      <c r="B167" s="77" t="s">
        <v>1701</v>
      </c>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4" t="s">
        <v>403</v>
      </c>
      <c r="B168" s="77" t="s">
        <v>1702</v>
      </c>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4" t="s">
        <v>1360</v>
      </c>
      <c r="B169" s="77" t="s">
        <v>1703</v>
      </c>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4" t="s">
        <v>1378</v>
      </c>
      <c r="B170" s="77" t="s">
        <v>1704</v>
      </c>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4" t="s">
        <v>1380</v>
      </c>
      <c r="B171" s="77" t="s">
        <v>1705</v>
      </c>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4" t="s">
        <v>15</v>
      </c>
      <c r="B172" s="77" t="s">
        <v>1706</v>
      </c>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4" t="s">
        <v>410</v>
      </c>
      <c r="B173" s="77" t="s">
        <v>1707</v>
      </c>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4" t="s">
        <v>1382</v>
      </c>
      <c r="B174" s="77" t="s">
        <v>1708</v>
      </c>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4" t="s">
        <v>1337</v>
      </c>
      <c r="B175" s="77" t="s">
        <v>1709</v>
      </c>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4" t="s">
        <v>1355</v>
      </c>
      <c r="B176" s="77" t="s">
        <v>1710</v>
      </c>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4" t="s">
        <v>1236</v>
      </c>
      <c r="B177" s="77" t="s">
        <v>1711</v>
      </c>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4" t="s">
        <v>1238</v>
      </c>
      <c r="B178" s="77" t="s">
        <v>1712</v>
      </c>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4" t="s">
        <v>1240</v>
      </c>
      <c r="B179" s="77" t="s">
        <v>1713</v>
      </c>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4" t="s">
        <v>1242</v>
      </c>
      <c r="B180" s="77" t="s">
        <v>1714</v>
      </c>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4" t="s">
        <v>767</v>
      </c>
      <c r="B181" s="77" t="s">
        <v>1715</v>
      </c>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4" t="s">
        <v>1246</v>
      </c>
      <c r="B182" s="77" t="s">
        <v>1716</v>
      </c>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4" t="s">
        <v>1248</v>
      </c>
      <c r="B183" s="77" t="s">
        <v>1717</v>
      </c>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4" t="s">
        <v>1250</v>
      </c>
      <c r="B184" s="77" t="s">
        <v>1718</v>
      </c>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4" t="s">
        <v>1252</v>
      </c>
      <c r="B185" s="77" t="s">
        <v>1719</v>
      </c>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4" t="s">
        <v>1254</v>
      </c>
      <c r="B186" s="77" t="s">
        <v>1720</v>
      </c>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4" t="s">
        <v>1256</v>
      </c>
      <c r="B187" s="77" t="s">
        <v>1721</v>
      </c>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4" t="s">
        <v>1258</v>
      </c>
      <c r="B188" s="77" t="s">
        <v>1722</v>
      </c>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4" t="s">
        <v>1260</v>
      </c>
      <c r="B189" s="77" t="s">
        <v>1723</v>
      </c>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4" t="s">
        <v>1262</v>
      </c>
      <c r="B190" s="77" t="s">
        <v>1724</v>
      </c>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4" t="s">
        <v>1264</v>
      </c>
      <c r="B191" s="77" t="s">
        <v>1725</v>
      </c>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4" t="s">
        <v>1266</v>
      </c>
      <c r="B192" s="77" t="s">
        <v>1726</v>
      </c>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4" t="s">
        <v>1268</v>
      </c>
      <c r="B193" s="77" t="s">
        <v>1727</v>
      </c>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4" t="s">
        <v>1270</v>
      </c>
      <c r="B194" s="77" t="s">
        <v>1728</v>
      </c>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4" t="s">
        <v>1272</v>
      </c>
      <c r="B195" s="77" t="s">
        <v>1729</v>
      </c>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4" t="s">
        <v>960</v>
      </c>
      <c r="B196" s="77" t="s">
        <v>1730</v>
      </c>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4" t="s">
        <v>1275</v>
      </c>
      <c r="B197" s="77" t="s">
        <v>1731</v>
      </c>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4" t="s">
        <v>1277</v>
      </c>
      <c r="B198" s="77" t="s">
        <v>1732</v>
      </c>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4" t="s">
        <v>1279</v>
      </c>
      <c r="B199" s="77" t="s">
        <v>1733</v>
      </c>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4" t="s">
        <v>1281</v>
      </c>
      <c r="B200" s="77" t="s">
        <v>1734</v>
      </c>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4" t="s">
        <v>1283</v>
      </c>
      <c r="B201" s="77" t="s">
        <v>1735</v>
      </c>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4" t="s">
        <v>1285</v>
      </c>
      <c r="B202" s="77" t="s">
        <v>1736</v>
      </c>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4" t="s">
        <v>429</v>
      </c>
      <c r="B203" s="77" t="s">
        <v>1737</v>
      </c>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4" t="s">
        <v>1290</v>
      </c>
      <c r="B204" s="77" t="s">
        <v>1738</v>
      </c>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4" t="s">
        <v>432</v>
      </c>
      <c r="B205" s="77" t="s">
        <v>1739</v>
      </c>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4" t="s">
        <v>1362</v>
      </c>
      <c r="B206" s="77" t="s">
        <v>1740</v>
      </c>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4" t="s">
        <v>1364</v>
      </c>
      <c r="B207" s="77" t="s">
        <v>1741</v>
      </c>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4" t="s">
        <v>437</v>
      </c>
      <c r="B208" s="77" t="s">
        <v>1742</v>
      </c>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4" t="s">
        <v>439</v>
      </c>
      <c r="B209" s="77" t="s">
        <v>1743</v>
      </c>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4" t="s">
        <v>1296</v>
      </c>
      <c r="B210" s="77" t="s">
        <v>1744</v>
      </c>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86" t="s">
        <v>1339</v>
      </c>
      <c r="B211" s="77" t="s">
        <v>1745</v>
      </c>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4" t="s">
        <v>446</v>
      </c>
      <c r="B212" s="77" t="s">
        <v>1746</v>
      </c>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4" t="s">
        <v>449</v>
      </c>
      <c r="B213" s="77" t="s">
        <v>1747</v>
      </c>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4" t="s">
        <v>455</v>
      </c>
      <c r="B214" s="77" t="s">
        <v>1748</v>
      </c>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4" t="s">
        <v>1749</v>
      </c>
      <c r="B215" s="77" t="s">
        <v>1750</v>
      </c>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4" t="s">
        <v>1751</v>
      </c>
      <c r="B216" s="77" t="s">
        <v>1752</v>
      </c>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4" t="s">
        <v>1306</v>
      </c>
      <c r="B217" s="77" t="s">
        <v>1753</v>
      </c>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4" t="s">
        <v>1345</v>
      </c>
      <c r="B218" s="77" t="s">
        <v>1754</v>
      </c>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4" t="s">
        <v>14</v>
      </c>
      <c r="B219" s="77" t="s">
        <v>1755</v>
      </c>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4" t="s">
        <v>465</v>
      </c>
      <c r="B220" s="77" t="s">
        <v>1756</v>
      </c>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4"/>
      <c r="B221" s="77"/>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4"/>
      <c r="B222" s="77"/>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4"/>
      <c r="B223" s="77"/>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4"/>
      <c r="B224" s="77"/>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4"/>
      <c r="B225" s="77"/>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4"/>
      <c r="B226" s="77"/>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4"/>
      <c r="B227" s="77"/>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4"/>
      <c r="B228" s="77"/>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4"/>
      <c r="B229" s="77"/>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4"/>
      <c r="B230" s="77"/>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4"/>
      <c r="B231" s="77"/>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4"/>
      <c r="B232" s="77"/>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4"/>
      <c r="B233" s="77"/>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4"/>
      <c r="B234" s="77"/>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sheetData>
  <printOptions/>
  <pageMargins bottom="0.5" footer="0.0" header="0.0" left="0.75" right="0.75"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8.14"/>
    <col customWidth="1" min="2" max="2" width="84.29"/>
    <col customWidth="1" min="3" max="3" width="14.86"/>
    <col customWidth="1" min="4" max="4" width="58.86"/>
    <col customWidth="1" min="5" max="6" width="9.14"/>
    <col customWidth="1" min="7" max="26" width="8.71"/>
  </cols>
  <sheetData>
    <row r="1">
      <c r="A1" s="68" t="s">
        <v>1</v>
      </c>
      <c r="B1" s="83" t="s">
        <v>977</v>
      </c>
      <c r="C1" s="83" t="s">
        <v>1757</v>
      </c>
      <c r="D1" s="73"/>
      <c r="E1" s="73"/>
      <c r="F1" s="73"/>
      <c r="G1" s="73"/>
      <c r="H1" s="73"/>
      <c r="I1" s="73"/>
      <c r="J1" s="73"/>
      <c r="K1" s="73"/>
      <c r="L1" s="73"/>
      <c r="M1" s="73"/>
      <c r="N1" s="73"/>
      <c r="O1" s="73"/>
      <c r="P1" s="73"/>
      <c r="Q1" s="73"/>
      <c r="R1" s="73"/>
      <c r="S1" s="73"/>
      <c r="T1" s="73"/>
      <c r="U1" s="73"/>
      <c r="V1" s="73"/>
      <c r="W1" s="73"/>
      <c r="X1" s="73"/>
      <c r="Y1" s="73"/>
      <c r="Z1" s="73"/>
    </row>
    <row r="2">
      <c r="A2" s="74" t="s">
        <v>749</v>
      </c>
      <c r="B2" s="85" t="s">
        <v>980</v>
      </c>
      <c r="C2" s="73" t="str">
        <f>IFERROR(__xludf.DUMMYFUNCTION("IFERROR(
  FILTER(
    A2:B233,
    ( COUNTIF('Z06'!$A$2:$A$128, A2:A233)
    + COUNTIF(ERay.Z06_Int!$D$2:$G$158, A2:A233)
    ) = 0
  ),
  ""All codes accounted for""
)"),"A2X")</f>
        <v>A2X</v>
      </c>
      <c r="D2" s="73" t="str">
        <f>IFERROR(__xludf.DUMMYFUNCTION("""COMPUTED_VALUE"""),"Seat adjuster, driver 8-way power")</f>
        <v>Seat adjuster, driver 8-way power</v>
      </c>
      <c r="E2" s="73"/>
      <c r="F2" s="73"/>
      <c r="G2" s="73"/>
      <c r="H2" s="73"/>
      <c r="I2" s="73"/>
      <c r="J2" s="73"/>
      <c r="K2" s="73"/>
      <c r="L2" s="73"/>
      <c r="M2" s="73"/>
      <c r="N2" s="73"/>
      <c r="O2" s="73"/>
      <c r="P2" s="73"/>
      <c r="Q2" s="73"/>
      <c r="R2" s="73"/>
      <c r="S2" s="73"/>
      <c r="T2" s="73"/>
      <c r="U2" s="73"/>
      <c r="V2" s="73"/>
      <c r="W2" s="73"/>
      <c r="X2" s="73"/>
      <c r="Y2" s="73"/>
      <c r="Z2" s="73"/>
    </row>
    <row r="3">
      <c r="A3" s="74" t="s">
        <v>981</v>
      </c>
      <c r="B3" s="77" t="s">
        <v>1758</v>
      </c>
      <c r="C3" s="73" t="str">
        <f>IFERROR(__xludf.DUMMYFUNCTION("""COMPUTED_VALUE"""),"A7K")</f>
        <v>A7K</v>
      </c>
      <c r="D3" s="73" t="str">
        <f>IFERROR(__xludf.DUMMYFUNCTION("""COMPUTED_VALUE"""),"Seat adjuster, passenger 8-way power")</f>
        <v>Seat adjuster, passenger 8-way power</v>
      </c>
      <c r="E3" s="73"/>
      <c r="F3" s="73"/>
      <c r="G3" s="73"/>
      <c r="H3" s="73"/>
      <c r="I3" s="73"/>
      <c r="J3" s="73"/>
      <c r="K3" s="73"/>
      <c r="L3" s="73"/>
      <c r="M3" s="73"/>
      <c r="N3" s="73"/>
      <c r="O3" s="73"/>
      <c r="P3" s="73"/>
      <c r="Q3" s="73"/>
      <c r="R3" s="73"/>
      <c r="S3" s="73"/>
      <c r="T3" s="73"/>
      <c r="U3" s="73"/>
      <c r="V3" s="73"/>
      <c r="W3" s="73"/>
      <c r="X3" s="73"/>
      <c r="Y3" s="73"/>
      <c r="Z3" s="73"/>
    </row>
    <row r="4">
      <c r="A4" s="74" t="s">
        <v>751</v>
      </c>
      <c r="B4" s="77" t="s">
        <v>1759</v>
      </c>
      <c r="C4" s="73" t="str">
        <f>IFERROR(__xludf.DUMMYFUNCTION("""COMPUTED_VALUE"""),"AHE")</f>
        <v>AHE</v>
      </c>
      <c r="D4" s="73" t="str">
        <f>IFERROR(__xludf.DUMMYFUNCTION("""COMPUTED_VALUE"""),"Seat adjuster, driver power bolster")</f>
        <v>Seat adjuster, driver power bolster</v>
      </c>
      <c r="E4" s="73"/>
      <c r="F4" s="73"/>
      <c r="G4" s="73"/>
      <c r="H4" s="73"/>
      <c r="I4" s="73"/>
      <c r="J4" s="73"/>
      <c r="K4" s="73"/>
      <c r="L4" s="73"/>
      <c r="M4" s="73"/>
      <c r="N4" s="73"/>
      <c r="O4" s="73"/>
      <c r="P4" s="73"/>
      <c r="Q4" s="73"/>
      <c r="R4" s="73"/>
      <c r="S4" s="73"/>
      <c r="T4" s="73"/>
      <c r="U4" s="73"/>
      <c r="V4" s="73"/>
      <c r="W4" s="73"/>
      <c r="X4" s="73"/>
      <c r="Y4" s="73"/>
      <c r="Z4" s="73"/>
    </row>
    <row r="5">
      <c r="A5" s="74" t="s">
        <v>746</v>
      </c>
      <c r="B5" s="77" t="s">
        <v>1760</v>
      </c>
      <c r="C5" s="73" t="str">
        <f>IFERROR(__xludf.DUMMYFUNCTION("""COMPUTED_VALUE"""),"AHH")</f>
        <v>AHH</v>
      </c>
      <c r="D5" s="73" t="str">
        <f>IFERROR(__xludf.DUMMYFUNCTION("""COMPUTED_VALUE"""),"Seat adjuster, passenger power bolster")</f>
        <v>Seat adjuster, passenger power bolster</v>
      </c>
      <c r="E5" s="73"/>
      <c r="F5" s="73"/>
      <c r="G5" s="73"/>
      <c r="H5" s="73"/>
      <c r="I5" s="73"/>
      <c r="J5" s="73"/>
      <c r="K5" s="73"/>
      <c r="L5" s="73"/>
      <c r="M5" s="73"/>
      <c r="N5" s="73"/>
      <c r="O5" s="73"/>
      <c r="P5" s="73"/>
      <c r="Q5" s="73"/>
      <c r="R5" s="73"/>
      <c r="S5" s="73"/>
      <c r="T5" s="73"/>
      <c r="U5" s="73"/>
      <c r="V5" s="73"/>
      <c r="W5" s="73"/>
      <c r="X5" s="73"/>
      <c r="Y5" s="73"/>
      <c r="Z5" s="73"/>
    </row>
    <row r="6">
      <c r="A6" s="74" t="s">
        <v>967</v>
      </c>
      <c r="B6" s="77" t="s">
        <v>1761</v>
      </c>
      <c r="C6" s="73" t="str">
        <f>IFERROR(__xludf.DUMMYFUNCTION("""COMPUTED_VALUE"""),"AJ7")</f>
        <v>AJ7</v>
      </c>
      <c r="D6" s="73" t="str">
        <f>IFERROR(__xludf.DUMMYFUNCTION("""COMPUTED_VALUE"""),"Airbags, frontal and side-impact, driver and passenger")</f>
        <v>Airbags, frontal and side-impact, driver and passenger</v>
      </c>
      <c r="E6" s="73"/>
      <c r="F6" s="73"/>
      <c r="G6" s="73"/>
      <c r="H6" s="73"/>
      <c r="I6" s="73"/>
      <c r="J6" s="73"/>
      <c r="K6" s="73"/>
      <c r="L6" s="73"/>
      <c r="M6" s="73"/>
      <c r="N6" s="73"/>
      <c r="O6" s="73"/>
      <c r="P6" s="73"/>
      <c r="Q6" s="73"/>
      <c r="R6" s="73"/>
      <c r="S6" s="73"/>
      <c r="T6" s="73"/>
      <c r="U6" s="73"/>
      <c r="V6" s="73"/>
      <c r="W6" s="73"/>
      <c r="X6" s="73"/>
      <c r="Y6" s="73"/>
      <c r="Z6" s="73"/>
    </row>
    <row r="7">
      <c r="A7" s="74" t="s">
        <v>5</v>
      </c>
      <c r="B7" s="77" t="s">
        <v>1762</v>
      </c>
      <c r="C7" s="73" t="str">
        <f>IFERROR(__xludf.DUMMYFUNCTION("""COMPUTED_VALUE"""),"AL9")</f>
        <v>AL9</v>
      </c>
      <c r="D7" s="73" t="str">
        <f>IFERROR(__xludf.DUMMYFUNCTION("""COMPUTED_VALUE"""),"Seat adjuster, power driver lumbar control")</f>
        <v>Seat adjuster, power driver lumbar control</v>
      </c>
      <c r="E7" s="73"/>
      <c r="F7" s="73"/>
      <c r="G7" s="73"/>
      <c r="H7" s="73"/>
      <c r="I7" s="73"/>
      <c r="J7" s="73"/>
      <c r="K7" s="73"/>
      <c r="L7" s="73"/>
      <c r="M7" s="73"/>
      <c r="N7" s="73"/>
      <c r="O7" s="73"/>
      <c r="P7" s="73"/>
      <c r="Q7" s="73"/>
      <c r="R7" s="73"/>
      <c r="S7" s="73"/>
      <c r="T7" s="73"/>
      <c r="U7" s="73"/>
      <c r="V7" s="73"/>
      <c r="W7" s="73"/>
      <c r="X7" s="73"/>
      <c r="Y7" s="73"/>
      <c r="Z7" s="73"/>
    </row>
    <row r="8">
      <c r="A8" s="74" t="s">
        <v>972</v>
      </c>
      <c r="B8" s="77" t="s">
        <v>1763</v>
      </c>
      <c r="C8" s="73" t="str">
        <f>IFERROR(__xludf.DUMMYFUNCTION("""COMPUTED_VALUE"""),"AP9")</f>
        <v>AP9</v>
      </c>
      <c r="D8" s="73" t="str">
        <f>IFERROR(__xludf.DUMMYFUNCTION("""COMPUTED_VALUE"""),"Cargo nets")</f>
        <v>Cargo nets</v>
      </c>
      <c r="E8" s="73"/>
      <c r="F8" s="73"/>
      <c r="G8" s="73"/>
      <c r="H8" s="73"/>
      <c r="I8" s="73"/>
      <c r="J8" s="73"/>
      <c r="K8" s="73"/>
      <c r="L8" s="73"/>
      <c r="M8" s="73"/>
      <c r="N8" s="73"/>
      <c r="O8" s="73"/>
      <c r="P8" s="73"/>
      <c r="Q8" s="73"/>
      <c r="R8" s="73"/>
      <c r="S8" s="73"/>
      <c r="T8" s="73"/>
      <c r="U8" s="73"/>
      <c r="V8" s="73"/>
      <c r="W8" s="73"/>
      <c r="X8" s="73"/>
      <c r="Y8" s="73"/>
      <c r="Z8" s="73"/>
    </row>
    <row r="9">
      <c r="A9" s="74" t="s">
        <v>974</v>
      </c>
      <c r="B9" s="77" t="s">
        <v>1764</v>
      </c>
      <c r="C9" s="73" t="str">
        <f>IFERROR(__xludf.DUMMYFUNCTION("""COMPUTED_VALUE"""),"AQA")</f>
        <v>AQA</v>
      </c>
      <c r="D9" s="73" t="str">
        <f>IFERROR(__xludf.DUMMYFUNCTION("""COMPUTED_VALUE"""),"Memory Driver and Passenger Convenience Package")</f>
        <v>Memory Driver and Passenger Convenience Package</v>
      </c>
      <c r="E9" s="73"/>
      <c r="F9" s="73"/>
      <c r="G9" s="73"/>
      <c r="H9" s="73"/>
      <c r="I9" s="73"/>
      <c r="J9" s="73"/>
      <c r="K9" s="73"/>
      <c r="L9" s="73"/>
      <c r="M9" s="73"/>
      <c r="N9" s="73"/>
      <c r="O9" s="73"/>
      <c r="P9" s="73"/>
      <c r="Q9" s="73"/>
      <c r="R9" s="73"/>
      <c r="S9" s="73"/>
      <c r="T9" s="73"/>
      <c r="U9" s="73"/>
      <c r="V9" s="73"/>
      <c r="W9" s="73"/>
      <c r="X9" s="73"/>
      <c r="Y9" s="73"/>
      <c r="Z9" s="73"/>
    </row>
    <row r="10">
      <c r="A10" s="74" t="s">
        <v>1384</v>
      </c>
      <c r="B10" s="77" t="s">
        <v>1765</v>
      </c>
      <c r="C10" s="73" t="str">
        <f>IFERROR(__xludf.DUMMYFUNCTION("""COMPUTED_VALUE"""),"AT9")</f>
        <v>AT9</v>
      </c>
      <c r="D10" s="73" t="str">
        <f>IFERROR(__xludf.DUMMYFUNCTION("""COMPUTED_VALUE"""),"Seat adjuster, power passenger lumbar control")</f>
        <v>Seat adjuster, power passenger lumbar control</v>
      </c>
      <c r="E10" s="73"/>
      <c r="F10" s="73"/>
      <c r="G10" s="73"/>
      <c r="H10" s="73"/>
      <c r="I10" s="73"/>
      <c r="J10" s="73"/>
      <c r="K10" s="73"/>
      <c r="L10" s="73"/>
      <c r="M10" s="73"/>
      <c r="N10" s="73"/>
      <c r="O10" s="73"/>
      <c r="P10" s="73"/>
      <c r="Q10" s="73"/>
      <c r="R10" s="73"/>
      <c r="S10" s="73"/>
      <c r="T10" s="73"/>
      <c r="U10" s="73"/>
      <c r="V10" s="73"/>
      <c r="W10" s="73"/>
      <c r="X10" s="73"/>
      <c r="Y10" s="73"/>
      <c r="Z10" s="73"/>
    </row>
    <row r="11">
      <c r="A11" s="74" t="s">
        <v>1387</v>
      </c>
      <c r="B11" s="77" t="s">
        <v>1766</v>
      </c>
      <c r="C11" s="73" t="str">
        <f>IFERROR(__xludf.DUMMYFUNCTION("""COMPUTED_VALUE"""),"B4Z")</f>
        <v>B4Z</v>
      </c>
      <c r="D11" s="73" t="str">
        <f>IFERROR(__xludf.DUMMYFUNCTION("""COMPUTED_VALUE"""),"Performance Traction Management")</f>
        <v>Performance Traction Management</v>
      </c>
      <c r="E11" s="73"/>
      <c r="F11" s="73"/>
      <c r="G11" s="73"/>
      <c r="H11" s="73"/>
      <c r="I11" s="73"/>
      <c r="J11" s="73"/>
      <c r="K11" s="73"/>
      <c r="L11" s="73"/>
      <c r="M11" s="73"/>
      <c r="N11" s="73"/>
      <c r="O11" s="73"/>
      <c r="P11" s="73"/>
      <c r="Q11" s="73"/>
      <c r="R11" s="73"/>
      <c r="S11" s="73"/>
      <c r="T11" s="73"/>
      <c r="U11" s="73"/>
      <c r="V11" s="73"/>
      <c r="W11" s="73"/>
      <c r="X11" s="73"/>
      <c r="Y11" s="73"/>
      <c r="Z11" s="73"/>
    </row>
    <row r="12">
      <c r="A12" s="74" t="s">
        <v>84</v>
      </c>
      <c r="B12" s="77" t="s">
        <v>1767</v>
      </c>
      <c r="C12" s="73" t="str">
        <f>IFERROR(__xludf.DUMMYFUNCTION("""COMPUTED_VALUE"""),"CFX")</f>
        <v>CFX</v>
      </c>
      <c r="D12" s="73" t="str">
        <f>IFERROR(__xludf.DUMMYFUNCTION("""COMPUTED_VALUE"""),"Plaque, personalized with Corvette Museum logo")</f>
        <v>Plaque, personalized with Corvette Museum logo</v>
      </c>
      <c r="E12" s="73"/>
      <c r="F12" s="73"/>
      <c r="G12" s="73"/>
      <c r="H12" s="73"/>
      <c r="I12" s="73"/>
      <c r="J12" s="73"/>
      <c r="K12" s="73"/>
      <c r="L12" s="73"/>
      <c r="M12" s="73"/>
      <c r="N12" s="73"/>
      <c r="O12" s="73"/>
      <c r="P12" s="73"/>
      <c r="Q12" s="73"/>
      <c r="R12" s="73"/>
      <c r="S12" s="73"/>
      <c r="T12" s="73"/>
      <c r="U12" s="73"/>
      <c r="V12" s="73"/>
      <c r="W12" s="73"/>
      <c r="X12" s="73"/>
      <c r="Y12" s="73"/>
      <c r="Z12" s="73"/>
    </row>
    <row r="13">
      <c r="A13" s="86" t="s">
        <v>1348</v>
      </c>
      <c r="B13" s="77" t="s">
        <v>1768</v>
      </c>
      <c r="C13" s="73" t="str">
        <f>IFERROR(__xludf.DUMMYFUNCTION("""COMPUTED_VALUE"""),"CJ2")</f>
        <v>CJ2</v>
      </c>
      <c r="D13" s="73" t="str">
        <f>IFERROR(__xludf.DUMMYFUNCTION("""COMPUTED_VALUE"""),"Air conditioning, dual-zone automatic climate control")</f>
        <v>Air conditioning, dual-zone automatic climate control</v>
      </c>
      <c r="E13" s="73"/>
      <c r="F13" s="73"/>
      <c r="G13" s="73"/>
      <c r="H13" s="73"/>
      <c r="I13" s="73"/>
      <c r="J13" s="73"/>
      <c r="K13" s="73"/>
      <c r="L13" s="73"/>
      <c r="M13" s="73"/>
      <c r="N13" s="73"/>
      <c r="O13" s="73"/>
      <c r="P13" s="73"/>
      <c r="Q13" s="73"/>
      <c r="R13" s="73"/>
      <c r="S13" s="73"/>
      <c r="T13" s="73"/>
      <c r="U13" s="73"/>
      <c r="V13" s="73"/>
      <c r="W13" s="73"/>
      <c r="X13" s="73"/>
      <c r="Y13" s="73"/>
      <c r="Z13" s="73"/>
    </row>
    <row r="14">
      <c r="A14" s="74" t="s">
        <v>101</v>
      </c>
      <c r="B14" s="77" t="s">
        <v>1769</v>
      </c>
      <c r="C14" s="73" t="str">
        <f>IFERROR(__xludf.DUMMYFUNCTION("""COMPUTED_VALUE"""),"DRG")</f>
        <v>DRG</v>
      </c>
      <c r="D14" s="73" t="str">
        <f>IFERROR(__xludf.DUMMYFUNCTION("""COMPUTED_VALUE"""),"Mirrors, outside, Carbon Flash Metallic-painted")</f>
        <v>Mirrors, outside, Carbon Flash Metallic-painted</v>
      </c>
      <c r="E14" s="73"/>
      <c r="F14" s="73"/>
      <c r="G14" s="73"/>
      <c r="H14" s="73"/>
      <c r="I14" s="73"/>
      <c r="J14" s="73"/>
      <c r="K14" s="73"/>
      <c r="L14" s="73"/>
      <c r="M14" s="73"/>
      <c r="N14" s="73"/>
      <c r="O14" s="73"/>
      <c r="P14" s="73"/>
      <c r="Q14" s="73"/>
      <c r="R14" s="73"/>
      <c r="S14" s="73"/>
      <c r="T14" s="73"/>
      <c r="U14" s="73"/>
      <c r="V14" s="73"/>
      <c r="W14" s="73"/>
      <c r="X14" s="73"/>
      <c r="Y14" s="73"/>
      <c r="Z14" s="73"/>
    </row>
    <row r="15">
      <c r="A15" s="74" t="s">
        <v>104</v>
      </c>
      <c r="B15" s="77" t="s">
        <v>1770</v>
      </c>
      <c r="C15" s="73" t="str">
        <f>IFERROR(__xludf.DUMMYFUNCTION("""COMPUTED_VALUE"""),"DRZ")</f>
        <v>DRZ</v>
      </c>
      <c r="D15" s="73" t="str">
        <f>IFERROR(__xludf.DUMMYFUNCTION("""COMPUTED_VALUE"""),"Rear Camera Mirror")</f>
        <v>Rear Camera Mirror</v>
      </c>
      <c r="E15" s="73"/>
      <c r="F15" s="73"/>
      <c r="G15" s="73"/>
      <c r="H15" s="73"/>
      <c r="I15" s="73"/>
      <c r="J15" s="73"/>
      <c r="K15" s="73"/>
      <c r="L15" s="73"/>
      <c r="M15" s="73"/>
      <c r="N15" s="73"/>
      <c r="O15" s="73"/>
      <c r="P15" s="73"/>
      <c r="Q15" s="73"/>
      <c r="R15" s="73"/>
      <c r="S15" s="73"/>
      <c r="T15" s="73"/>
      <c r="U15" s="73"/>
      <c r="V15" s="73"/>
      <c r="W15" s="73"/>
      <c r="X15" s="73"/>
      <c r="Y15" s="73"/>
      <c r="Z15" s="73"/>
    </row>
    <row r="16">
      <c r="A16" s="74" t="s">
        <v>1351</v>
      </c>
      <c r="B16" s="77" t="s">
        <v>1771</v>
      </c>
      <c r="C16" s="73" t="str">
        <f>IFERROR(__xludf.DUMMYFUNCTION("""COMPUTED_VALUE"""),"DWK")</f>
        <v>DWK</v>
      </c>
      <c r="D16" s="73" t="str">
        <f>IFERROR(__xludf.DUMMYFUNCTION("""COMPUTED_VALUE"""),"Mirrors, outside heated, power-adjustable")</f>
        <v>Mirrors, outside heated, power-adjustable</v>
      </c>
      <c r="E16" s="73"/>
      <c r="F16" s="73"/>
      <c r="G16" s="73"/>
      <c r="H16" s="73"/>
      <c r="I16" s="73"/>
      <c r="J16" s="73"/>
      <c r="K16" s="73"/>
      <c r="L16" s="73"/>
      <c r="M16" s="73"/>
      <c r="N16" s="73"/>
      <c r="O16" s="73"/>
      <c r="P16" s="73"/>
      <c r="Q16" s="73"/>
      <c r="R16" s="73"/>
      <c r="S16" s="73"/>
      <c r="T16" s="73"/>
      <c r="U16" s="73"/>
      <c r="V16" s="73"/>
      <c r="W16" s="73"/>
      <c r="X16" s="73"/>
      <c r="Y16" s="73"/>
      <c r="Z16" s="73"/>
    </row>
    <row r="17">
      <c r="A17" s="74" t="s">
        <v>999</v>
      </c>
      <c r="B17" s="77" t="s">
        <v>1772</v>
      </c>
      <c r="C17" s="73" t="str">
        <f>IFERROR(__xludf.DUMMYFUNCTION("""COMPUTED_VALUE"""),"DYX")</f>
        <v>DYX</v>
      </c>
      <c r="D17" s="73" t="str">
        <f>IFERROR(__xludf.DUMMYFUNCTION("""COMPUTED_VALUE"""),"Mirrors, outside heated, power-adjustable")</f>
        <v>Mirrors, outside heated, power-adjustable</v>
      </c>
      <c r="E17" s="73"/>
      <c r="F17" s="73"/>
      <c r="G17" s="73"/>
      <c r="H17" s="73"/>
      <c r="I17" s="73"/>
      <c r="J17" s="73"/>
      <c r="K17" s="73"/>
      <c r="L17" s="73"/>
      <c r="M17" s="73"/>
      <c r="N17" s="73"/>
      <c r="O17" s="73"/>
      <c r="P17" s="73"/>
      <c r="Q17" s="73"/>
      <c r="R17" s="73"/>
      <c r="S17" s="73"/>
      <c r="T17" s="73"/>
      <c r="U17" s="73"/>
      <c r="V17" s="73"/>
      <c r="W17" s="73"/>
      <c r="X17" s="73"/>
      <c r="Y17" s="73"/>
      <c r="Z17" s="73"/>
    </row>
    <row r="18">
      <c r="A18" s="74" t="s">
        <v>1001</v>
      </c>
      <c r="B18" s="77" t="s">
        <v>1773</v>
      </c>
      <c r="C18" s="73" t="str">
        <f>IFERROR(__xludf.DUMMYFUNCTION("""COMPUTED_VALUE"""),"FE6")</f>
        <v>FE6</v>
      </c>
      <c r="D18" s="73" t="str">
        <f>IFERROR(__xludf.DUMMYFUNCTION("""COMPUTED_VALUE"""),"Suspension, performance")</f>
        <v>Suspension, performance</v>
      </c>
      <c r="E18" s="73"/>
      <c r="F18" s="73"/>
      <c r="G18" s="73"/>
      <c r="H18" s="73"/>
      <c r="I18" s="73"/>
      <c r="J18" s="73"/>
      <c r="K18" s="73"/>
      <c r="L18" s="73"/>
      <c r="M18" s="73"/>
      <c r="N18" s="73"/>
      <c r="O18" s="73"/>
      <c r="P18" s="73"/>
      <c r="Q18" s="73"/>
      <c r="R18" s="73"/>
      <c r="S18" s="73"/>
      <c r="T18" s="73"/>
      <c r="U18" s="73"/>
      <c r="V18" s="73"/>
      <c r="W18" s="73"/>
      <c r="X18" s="73"/>
      <c r="Y18" s="73"/>
      <c r="Z18" s="73"/>
    </row>
    <row r="19">
      <c r="A19" s="74" t="s">
        <v>1003</v>
      </c>
      <c r="B19" s="77" t="s">
        <v>1774</v>
      </c>
      <c r="C19" s="73" t="str">
        <f>IFERROR(__xludf.DUMMYFUNCTION("""COMPUTED_VALUE"""),"FE7")</f>
        <v>FE7</v>
      </c>
      <c r="D19" s="73" t="str">
        <f>IFERROR(__xludf.DUMMYFUNCTION("""COMPUTED_VALUE"""),"Suspension, Z07")</f>
        <v>Suspension, Z07</v>
      </c>
      <c r="E19" s="73"/>
      <c r="F19" s="73"/>
      <c r="G19" s="73"/>
      <c r="H19" s="73"/>
      <c r="I19" s="73"/>
      <c r="J19" s="73"/>
      <c r="K19" s="73"/>
      <c r="L19" s="73"/>
      <c r="M19" s="73"/>
      <c r="N19" s="73"/>
      <c r="O19" s="73"/>
      <c r="P19" s="73"/>
      <c r="Q19" s="73"/>
      <c r="R19" s="73"/>
      <c r="S19" s="73"/>
      <c r="T19" s="73"/>
      <c r="U19" s="73"/>
      <c r="V19" s="73"/>
      <c r="W19" s="73"/>
      <c r="X19" s="73"/>
      <c r="Y19" s="73"/>
      <c r="Z19" s="73"/>
    </row>
    <row r="20">
      <c r="A20" s="74" t="s">
        <v>726</v>
      </c>
      <c r="B20" s="77" t="s">
        <v>1775</v>
      </c>
      <c r="C20" s="73" t="str">
        <f>IFERROR(__xludf.DUMMYFUNCTION("""COMPUTED_VALUE"""),"FE9")</f>
        <v>FE9</v>
      </c>
      <c r="D20" s="73" t="str">
        <f>IFERROR(__xludf.DUMMYFUNCTION("""COMPUTED_VALUE"""),"Emissions, Federal requirements")</f>
        <v>Emissions, Federal requirements</v>
      </c>
      <c r="E20" s="73"/>
      <c r="F20" s="73"/>
      <c r="G20" s="73"/>
      <c r="H20" s="73"/>
      <c r="I20" s="73"/>
      <c r="J20" s="73"/>
      <c r="K20" s="73"/>
      <c r="L20" s="73"/>
      <c r="M20" s="73"/>
      <c r="N20" s="73"/>
      <c r="O20" s="73"/>
      <c r="P20" s="73"/>
      <c r="Q20" s="73"/>
      <c r="R20" s="73"/>
      <c r="S20" s="73"/>
      <c r="T20" s="73"/>
      <c r="U20" s="73"/>
      <c r="V20" s="73"/>
      <c r="W20" s="73"/>
      <c r="X20" s="73"/>
      <c r="Y20" s="73"/>
      <c r="Z20" s="73"/>
    </row>
    <row r="21">
      <c r="A21" s="74" t="s">
        <v>753</v>
      </c>
      <c r="B21" s="77" t="s">
        <v>1776</v>
      </c>
      <c r="C21" s="73" t="str">
        <f>IFERROR(__xludf.DUMMYFUNCTION("""COMPUTED_VALUE"""),"G0K")</f>
        <v>G0K</v>
      </c>
      <c r="D21" s="73" t="str">
        <f>IFERROR(__xludf.DUMMYFUNCTION("""COMPUTED_VALUE"""),"Rear axle, 5.56 ratio")</f>
        <v>Rear axle, 5.56 ratio</v>
      </c>
      <c r="E21" s="73"/>
      <c r="F21" s="73"/>
      <c r="G21" s="73"/>
      <c r="H21" s="73"/>
      <c r="I21" s="73"/>
      <c r="J21" s="73"/>
      <c r="K21" s="73"/>
      <c r="L21" s="73"/>
      <c r="M21" s="73"/>
      <c r="N21" s="73"/>
      <c r="O21" s="73"/>
      <c r="P21" s="73"/>
      <c r="Q21" s="73"/>
      <c r="R21" s="73"/>
      <c r="S21" s="73"/>
      <c r="T21" s="73"/>
      <c r="U21" s="73"/>
      <c r="V21" s="73"/>
      <c r="W21" s="73"/>
      <c r="X21" s="73"/>
      <c r="Y21" s="73"/>
      <c r="Z21" s="73"/>
    </row>
    <row r="22">
      <c r="A22" s="74" t="s">
        <v>1007</v>
      </c>
      <c r="B22" s="77" t="s">
        <v>1777</v>
      </c>
      <c r="C22" s="73" t="str">
        <f>IFERROR(__xludf.DUMMYFUNCTION("""COMPUTED_VALUE"""),"IVE")</f>
        <v>IVE</v>
      </c>
      <c r="D22" s="73" t="str">
        <f>IFERROR(__xludf.DUMMYFUNCTION("""COMPUTED_VALUE"""),"NEW!  Infotainment system with Google Built-In")</f>
        <v>NEW!  Infotainment system with Google Built-In</v>
      </c>
      <c r="E22" s="73"/>
      <c r="F22" s="73"/>
      <c r="G22" s="73"/>
      <c r="H22" s="73"/>
      <c r="I22" s="73"/>
      <c r="J22" s="73"/>
      <c r="K22" s="73"/>
      <c r="L22" s="73"/>
      <c r="M22" s="73"/>
      <c r="N22" s="73"/>
      <c r="O22" s="73"/>
      <c r="P22" s="73"/>
      <c r="Q22" s="73"/>
      <c r="R22" s="73"/>
      <c r="S22" s="73"/>
      <c r="T22" s="73"/>
      <c r="U22" s="73"/>
      <c r="V22" s="73"/>
      <c r="W22" s="73"/>
      <c r="X22" s="73"/>
      <c r="Y22" s="73"/>
      <c r="Z22" s="73"/>
    </row>
    <row r="23">
      <c r="A23" s="74" t="s">
        <v>1009</v>
      </c>
      <c r="B23" s="77" t="s">
        <v>1778</v>
      </c>
      <c r="C23" s="73" t="str">
        <f>IFERROR(__xludf.DUMMYFUNCTION("""COMPUTED_VALUE"""),"IWE")</f>
        <v>IWE</v>
      </c>
      <c r="D23" s="73" t="str">
        <f>IFERROR(__xludf.DUMMYFUNCTION("""COMPUTED_VALUE"""),"Sueded Microfiber-Wrapped Upper Interior Trim Package")</f>
        <v>Sueded Microfiber-Wrapped Upper Interior Trim Package</v>
      </c>
      <c r="E23" s="73"/>
      <c r="F23" s="73"/>
      <c r="G23" s="73"/>
      <c r="H23" s="73"/>
      <c r="I23" s="73"/>
      <c r="J23" s="73"/>
      <c r="K23" s="73"/>
      <c r="L23" s="73"/>
      <c r="M23" s="73"/>
      <c r="N23" s="73"/>
      <c r="O23" s="73"/>
      <c r="P23" s="73"/>
      <c r="Q23" s="73"/>
      <c r="R23" s="73"/>
      <c r="S23" s="73"/>
      <c r="T23" s="73"/>
      <c r="U23" s="73"/>
      <c r="V23" s="73"/>
      <c r="W23" s="73"/>
      <c r="X23" s="73"/>
      <c r="Y23" s="73"/>
      <c r="Z23" s="73"/>
    </row>
    <row r="24">
      <c r="A24" s="74" t="s">
        <v>1011</v>
      </c>
      <c r="B24" s="77" t="s">
        <v>1779</v>
      </c>
      <c r="C24" s="73" t="str">
        <f>IFERROR(__xludf.DUMMYFUNCTION("""COMPUTED_VALUE"""),"J56")</f>
        <v>J56</v>
      </c>
      <c r="D24" s="73" t="str">
        <f>IFERROR(__xludf.DUMMYFUNCTION("""COMPUTED_VALUE"""),"Brakes, 4-wheel antilock, 4-wheel disc")</f>
        <v>Brakes, 4-wheel antilock, 4-wheel disc</v>
      </c>
      <c r="E24" s="73"/>
      <c r="F24" s="73"/>
      <c r="G24" s="73"/>
      <c r="H24" s="73"/>
      <c r="I24" s="73"/>
      <c r="J24" s="73"/>
      <c r="K24" s="73"/>
      <c r="L24" s="73"/>
      <c r="M24" s="73"/>
      <c r="N24" s="73"/>
      <c r="O24" s="73"/>
      <c r="P24" s="73"/>
      <c r="Q24" s="73"/>
      <c r="R24" s="73"/>
      <c r="S24" s="73"/>
      <c r="T24" s="73"/>
      <c r="U24" s="73"/>
      <c r="V24" s="73"/>
      <c r="W24" s="73"/>
      <c r="X24" s="73"/>
      <c r="Y24" s="73"/>
      <c r="Z24" s="73"/>
    </row>
    <row r="25">
      <c r="A25" s="74" t="s">
        <v>1013</v>
      </c>
      <c r="B25" s="77" t="s">
        <v>1780</v>
      </c>
      <c r="C25" s="73" t="str">
        <f>IFERROR(__xludf.DUMMYFUNCTION("""COMPUTED_VALUE"""),"K7A")</f>
        <v>K7A</v>
      </c>
      <c r="D25" s="73" t="str">
        <f>IFERROR(__xludf.DUMMYFUNCTION("""COMPUTED_VALUE"""),"NEW!  Wireless Phone Charging")</f>
        <v>NEW!  Wireless Phone Charging</v>
      </c>
      <c r="E25" s="73"/>
      <c r="F25" s="73"/>
      <c r="G25" s="73"/>
      <c r="H25" s="73"/>
      <c r="I25" s="73"/>
      <c r="J25" s="73"/>
      <c r="K25" s="73"/>
      <c r="L25" s="73"/>
      <c r="M25" s="73"/>
      <c r="N25" s="73"/>
      <c r="O25" s="73"/>
      <c r="P25" s="73"/>
      <c r="Q25" s="73"/>
      <c r="R25" s="73"/>
      <c r="S25" s="73"/>
      <c r="T25" s="73"/>
      <c r="U25" s="73"/>
      <c r="V25" s="73"/>
      <c r="W25" s="73"/>
      <c r="X25" s="73"/>
      <c r="Y25" s="73"/>
      <c r="Z25" s="73"/>
    </row>
    <row r="26">
      <c r="A26" s="74" t="s">
        <v>1015</v>
      </c>
      <c r="B26" s="77" t="s">
        <v>1781</v>
      </c>
      <c r="C26" s="73" t="str">
        <f>IFERROR(__xludf.DUMMYFUNCTION("""COMPUTED_VALUE"""),"K7B")</f>
        <v>K7B</v>
      </c>
      <c r="D26" s="73" t="str">
        <f>IFERROR(__xludf.DUMMYFUNCTION("""COMPUTED_VALUE"""),"NEW!  Wireless Phone Charging")</f>
        <v>NEW!  Wireless Phone Charging</v>
      </c>
      <c r="E26" s="73"/>
      <c r="F26" s="73"/>
      <c r="G26" s="73"/>
      <c r="H26" s="73"/>
      <c r="I26" s="73"/>
      <c r="J26" s="73"/>
      <c r="K26" s="73"/>
      <c r="L26" s="73"/>
      <c r="M26" s="73"/>
      <c r="N26" s="73"/>
      <c r="O26" s="73"/>
      <c r="P26" s="73"/>
      <c r="Q26" s="73"/>
      <c r="R26" s="73"/>
      <c r="S26" s="73"/>
      <c r="T26" s="73"/>
      <c r="U26" s="73"/>
      <c r="V26" s="73"/>
      <c r="W26" s="73"/>
      <c r="X26" s="73"/>
      <c r="Y26" s="73"/>
      <c r="Z26" s="73"/>
    </row>
    <row r="27">
      <c r="A27" s="74" t="s">
        <v>721</v>
      </c>
      <c r="B27" s="77" t="s">
        <v>1782</v>
      </c>
      <c r="C27" s="73" t="str">
        <f>IFERROR(__xludf.DUMMYFUNCTION("""COMPUTED_VALUE"""),"KI3")</f>
        <v>KI3</v>
      </c>
      <c r="D27" s="73" t="str">
        <f>IFERROR(__xludf.DUMMYFUNCTION("""COMPUTED_VALUE"""),"Steering wheel, heated")</f>
        <v>Steering wheel, heated</v>
      </c>
      <c r="E27" s="73"/>
      <c r="F27" s="73"/>
      <c r="G27" s="73"/>
      <c r="H27" s="73"/>
      <c r="I27" s="73"/>
      <c r="J27" s="73"/>
      <c r="K27" s="73"/>
      <c r="L27" s="73"/>
      <c r="M27" s="73"/>
      <c r="N27" s="73"/>
      <c r="O27" s="73"/>
      <c r="P27" s="73"/>
      <c r="Q27" s="73"/>
      <c r="R27" s="73"/>
      <c r="S27" s="73"/>
      <c r="T27" s="73"/>
      <c r="U27" s="73"/>
      <c r="V27" s="73"/>
      <c r="W27" s="73"/>
      <c r="X27" s="73"/>
      <c r="Y27" s="73"/>
      <c r="Z27" s="73"/>
    </row>
    <row r="28">
      <c r="A28" s="74" t="s">
        <v>1018</v>
      </c>
      <c r="B28" s="77" t="s">
        <v>1783</v>
      </c>
      <c r="C28" s="73" t="str">
        <f>IFERROR(__xludf.DUMMYFUNCTION("""COMPUTED_VALUE"""),"KQV")</f>
        <v>KQV</v>
      </c>
      <c r="D28" s="73" t="str">
        <f>IFERROR(__xludf.DUMMYFUNCTION("""COMPUTED_VALUE"""),"Seats, heated and vented driver and passenger")</f>
        <v>Seats, heated and vented driver and passenger</v>
      </c>
      <c r="E28" s="73"/>
      <c r="F28" s="73"/>
      <c r="G28" s="73"/>
      <c r="H28" s="73"/>
      <c r="I28" s="73"/>
      <c r="J28" s="73"/>
      <c r="K28" s="73"/>
      <c r="L28" s="73"/>
      <c r="M28" s="73"/>
      <c r="N28" s="73"/>
      <c r="O28" s="73"/>
      <c r="P28" s="73"/>
      <c r="Q28" s="73"/>
      <c r="R28" s="73"/>
      <c r="S28" s="73"/>
      <c r="T28" s="73"/>
      <c r="U28" s="73"/>
      <c r="V28" s="73"/>
      <c r="W28" s="73"/>
      <c r="X28" s="73"/>
      <c r="Y28" s="73"/>
      <c r="Z28" s="73"/>
    </row>
    <row r="29">
      <c r="A29" s="74" t="s">
        <v>1020</v>
      </c>
      <c r="B29" s="77" t="s">
        <v>1784</v>
      </c>
      <c r="C29" s="73" t="str">
        <f>IFERROR(__xludf.DUMMYFUNCTION("""COMPUTED_VALUE"""),"LT6")</f>
        <v>LT6</v>
      </c>
      <c r="D29" s="73" t="str">
        <f>IFERROR(__xludf.DUMMYFUNCTION("""COMPUTED_VALUE"""),"Engine, 5.5L V8 DI")</f>
        <v>Engine, 5.5L V8 DI</v>
      </c>
      <c r="E29" s="73"/>
      <c r="F29" s="73"/>
      <c r="G29" s="73"/>
      <c r="H29" s="73"/>
      <c r="I29" s="73"/>
      <c r="J29" s="73"/>
      <c r="K29" s="73"/>
      <c r="L29" s="73"/>
      <c r="M29" s="73"/>
      <c r="N29" s="73"/>
      <c r="O29" s="73"/>
      <c r="P29" s="73"/>
      <c r="Q29" s="73"/>
      <c r="R29" s="73"/>
      <c r="S29" s="73"/>
      <c r="T29" s="73"/>
      <c r="U29" s="73"/>
      <c r="V29" s="73"/>
      <c r="W29" s="73"/>
      <c r="X29" s="73"/>
      <c r="Y29" s="73"/>
      <c r="Z29" s="73"/>
    </row>
    <row r="30">
      <c r="A30" s="74" t="s">
        <v>822</v>
      </c>
      <c r="B30" s="77" t="s">
        <v>1785</v>
      </c>
      <c r="C30" s="73" t="str">
        <f>IFERROR(__xludf.DUMMYFUNCTION("""COMPUTED_VALUE"""),"M1M")</f>
        <v>M1M</v>
      </c>
      <c r="D30" s="73" t="str">
        <f>IFERROR(__xludf.DUMMYFUNCTION("""COMPUTED_VALUE"""),"Transmission, 8-speed dual clutch, includes manual and auto modes")</f>
        <v>Transmission, 8-speed dual clutch, includes manual and auto modes</v>
      </c>
      <c r="E30" s="73"/>
      <c r="F30" s="73"/>
      <c r="G30" s="73"/>
      <c r="H30" s="73"/>
      <c r="I30" s="73"/>
      <c r="J30" s="73"/>
      <c r="K30" s="73"/>
      <c r="L30" s="73"/>
      <c r="M30" s="73"/>
      <c r="N30" s="73"/>
      <c r="O30" s="73"/>
      <c r="P30" s="73"/>
      <c r="Q30" s="73"/>
      <c r="R30" s="73"/>
      <c r="S30" s="73"/>
      <c r="T30" s="73"/>
      <c r="U30" s="73"/>
      <c r="V30" s="73"/>
      <c r="W30" s="73"/>
      <c r="X30" s="73"/>
      <c r="Y30" s="73"/>
      <c r="Z30" s="73"/>
    </row>
    <row r="31">
      <c r="A31" s="74" t="s">
        <v>1023</v>
      </c>
      <c r="B31" s="77" t="s">
        <v>1786</v>
      </c>
      <c r="C31" s="73" t="str">
        <f>IFERROR(__xludf.DUMMYFUNCTION("""COMPUTED_VALUE"""),"N38")</f>
        <v>N38</v>
      </c>
      <c r="D31" s="73" t="str">
        <f>IFERROR(__xludf.DUMMYFUNCTION("""COMPUTED_VALUE"""),"Steering column, power tilt and telescopic")</f>
        <v>Steering column, power tilt and telescopic</v>
      </c>
      <c r="E31" s="73"/>
      <c r="F31" s="73"/>
      <c r="G31" s="73"/>
      <c r="H31" s="73"/>
      <c r="I31" s="73"/>
      <c r="J31" s="73"/>
      <c r="K31" s="73"/>
      <c r="L31" s="73"/>
      <c r="M31" s="73"/>
      <c r="N31" s="73"/>
      <c r="O31" s="73"/>
      <c r="P31" s="73"/>
      <c r="Q31" s="73"/>
      <c r="R31" s="73"/>
      <c r="S31" s="73"/>
      <c r="T31" s="73"/>
      <c r="U31" s="73"/>
      <c r="V31" s="73"/>
      <c r="W31" s="73"/>
      <c r="X31" s="73"/>
      <c r="Y31" s="73"/>
      <c r="Z31" s="73"/>
    </row>
    <row r="32">
      <c r="A32" s="74" t="s">
        <v>123</v>
      </c>
      <c r="B32" s="77" t="s">
        <v>1787</v>
      </c>
      <c r="C32" s="73" t="str">
        <f>IFERROR(__xludf.DUMMYFUNCTION("""COMPUTED_VALUE"""),"N3W")</f>
        <v>N3W</v>
      </c>
      <c r="D32" s="73" t="str">
        <f>IFERROR(__xludf.DUMMYFUNCTION("""COMPUTED_VALUE"""),"Steering wheel, carbon fiber and leather-wrapped")</f>
        <v>Steering wheel, carbon fiber and leather-wrapped</v>
      </c>
      <c r="E32" s="73"/>
      <c r="F32" s="73"/>
      <c r="G32" s="73"/>
      <c r="H32" s="73"/>
      <c r="I32" s="73"/>
      <c r="J32" s="73"/>
      <c r="K32" s="73"/>
      <c r="L32" s="73"/>
      <c r="M32" s="73"/>
      <c r="N32" s="73"/>
      <c r="O32" s="73"/>
      <c r="P32" s="73"/>
      <c r="Q32" s="73"/>
      <c r="R32" s="73"/>
      <c r="S32" s="73"/>
      <c r="T32" s="73"/>
      <c r="U32" s="73"/>
      <c r="V32" s="73"/>
      <c r="W32" s="73"/>
      <c r="X32" s="73"/>
      <c r="Y32" s="73"/>
      <c r="Z32" s="73"/>
    </row>
    <row r="33">
      <c r="A33" s="74" t="s">
        <v>9</v>
      </c>
      <c r="B33" s="77" t="s">
        <v>1788</v>
      </c>
      <c r="C33" s="73" t="str">
        <f>IFERROR(__xludf.DUMMYFUNCTION("""COMPUTED_VALUE"""),"NB8")</f>
        <v>NB8</v>
      </c>
      <c r="D33" s="73" t="str">
        <f>IFERROR(__xludf.DUMMYFUNCTION("""COMPUTED_VALUE"""),"Emissions override, California ")</f>
        <v>Emissions override, California </v>
      </c>
      <c r="E33" s="73"/>
      <c r="F33" s="73"/>
      <c r="G33" s="73"/>
      <c r="H33" s="73"/>
      <c r="I33" s="73"/>
      <c r="J33" s="73"/>
      <c r="K33" s="73"/>
      <c r="L33" s="73"/>
      <c r="M33" s="73"/>
      <c r="N33" s="73"/>
      <c r="O33" s="73"/>
      <c r="P33" s="73"/>
      <c r="Q33" s="73"/>
      <c r="R33" s="73"/>
      <c r="S33" s="73"/>
      <c r="T33" s="73"/>
      <c r="U33" s="73"/>
      <c r="V33" s="73"/>
      <c r="W33" s="73"/>
      <c r="X33" s="73"/>
      <c r="Y33" s="73"/>
      <c r="Z33" s="73"/>
    </row>
    <row r="34">
      <c r="A34" s="74" t="s">
        <v>1389</v>
      </c>
      <c r="B34" s="77" t="s">
        <v>1789</v>
      </c>
      <c r="C34" s="73" t="str">
        <f>IFERROR(__xludf.DUMMYFUNCTION("""COMPUTED_VALUE"""),"NB9")</f>
        <v>NB9</v>
      </c>
      <c r="D34" s="73" t="str">
        <f>IFERROR(__xludf.DUMMYFUNCTION("""COMPUTED_VALUE"""),"Emissions override, state-specific")</f>
        <v>Emissions override, state-specific</v>
      </c>
      <c r="E34" s="73"/>
      <c r="F34" s="73"/>
      <c r="G34" s="73"/>
      <c r="H34" s="73"/>
      <c r="I34" s="73"/>
      <c r="J34" s="73"/>
      <c r="K34" s="73"/>
      <c r="L34" s="73"/>
      <c r="M34" s="73"/>
      <c r="N34" s="73"/>
      <c r="O34" s="73"/>
      <c r="P34" s="73"/>
      <c r="Q34" s="73"/>
      <c r="R34" s="73"/>
      <c r="S34" s="73"/>
      <c r="T34" s="73"/>
      <c r="U34" s="73"/>
      <c r="V34" s="73"/>
      <c r="W34" s="73"/>
      <c r="X34" s="73"/>
      <c r="Y34" s="73"/>
      <c r="Z34" s="73"/>
    </row>
    <row r="35">
      <c r="A35" s="74" t="s">
        <v>149</v>
      </c>
      <c r="B35" s="77" t="s">
        <v>1790</v>
      </c>
      <c r="C35" s="73" t="str">
        <f>IFERROR(__xludf.DUMMYFUNCTION("""COMPUTED_VALUE"""),"NC7")</f>
        <v>NC7</v>
      </c>
      <c r="D35" s="73" t="str">
        <f>IFERROR(__xludf.DUMMYFUNCTION("""COMPUTED_VALUE"""),"Emissions override, Federal")</f>
        <v>Emissions override, Federal</v>
      </c>
      <c r="E35" s="73"/>
      <c r="F35" s="73"/>
      <c r="G35" s="73"/>
      <c r="H35" s="73"/>
      <c r="I35" s="73"/>
      <c r="J35" s="73"/>
      <c r="K35" s="73"/>
      <c r="L35" s="73"/>
      <c r="M35" s="73"/>
      <c r="N35" s="73"/>
      <c r="O35" s="73"/>
      <c r="P35" s="73"/>
      <c r="Q35" s="73"/>
      <c r="R35" s="73"/>
      <c r="S35" s="73"/>
      <c r="T35" s="73"/>
      <c r="U35" s="73"/>
      <c r="V35" s="73"/>
      <c r="W35" s="73"/>
      <c r="X35" s="73"/>
      <c r="Y35" s="73"/>
      <c r="Z35" s="73"/>
    </row>
    <row r="36">
      <c r="A36" s="74" t="s">
        <v>154</v>
      </c>
      <c r="B36" s="77" t="s">
        <v>1791</v>
      </c>
      <c r="C36" s="73" t="str">
        <f>IFERROR(__xludf.DUMMYFUNCTION("""COMPUTED_VALUE"""),"NE1")</f>
        <v>NE1</v>
      </c>
      <c r="D36" s="73" t="str">
        <f>IFERROR(__xludf.DUMMYFUNCTION("""COMPUTED_VALUE"""),"Emissions")</f>
        <v>Emissions</v>
      </c>
      <c r="E36" s="73"/>
      <c r="F36" s="73"/>
      <c r="G36" s="73"/>
      <c r="H36" s="73"/>
      <c r="I36" s="73"/>
      <c r="J36" s="73"/>
      <c r="K36" s="73"/>
      <c r="L36" s="73"/>
      <c r="M36" s="73"/>
      <c r="N36" s="73"/>
      <c r="O36" s="73"/>
      <c r="P36" s="73"/>
      <c r="Q36" s="73"/>
      <c r="R36" s="73"/>
      <c r="S36" s="73"/>
      <c r="T36" s="73"/>
      <c r="U36" s="73"/>
      <c r="V36" s="73"/>
      <c r="W36" s="73"/>
      <c r="X36" s="73"/>
      <c r="Y36" s="73"/>
      <c r="Z36" s="73"/>
    </row>
    <row r="37">
      <c r="A37" s="74" t="s">
        <v>158</v>
      </c>
      <c r="B37" s="77" t="s">
        <v>1792</v>
      </c>
      <c r="C37" s="73" t="str">
        <f>IFERROR(__xludf.DUMMYFUNCTION("""COMPUTED_VALUE"""),"NK4")</f>
        <v>NK4</v>
      </c>
      <c r="D37" s="73" t="str">
        <f>IFERROR(__xludf.DUMMYFUNCTION("""COMPUTED_VALUE"""),"Steering wheel, leather-wrapped")</f>
        <v>Steering wheel, leather-wrapped</v>
      </c>
      <c r="E37" s="73"/>
      <c r="F37" s="73"/>
      <c r="G37" s="73"/>
      <c r="H37" s="73"/>
      <c r="I37" s="73"/>
      <c r="J37" s="73"/>
      <c r="K37" s="73"/>
      <c r="L37" s="73"/>
      <c r="M37" s="73"/>
      <c r="N37" s="73"/>
      <c r="O37" s="73"/>
      <c r="P37" s="73"/>
      <c r="Q37" s="73"/>
      <c r="R37" s="73"/>
      <c r="S37" s="73"/>
      <c r="T37" s="73"/>
      <c r="U37" s="73"/>
      <c r="V37" s="73"/>
      <c r="W37" s="73"/>
      <c r="X37" s="73"/>
      <c r="Y37" s="73"/>
      <c r="Z37" s="73"/>
    </row>
    <row r="38">
      <c r="A38" s="74" t="s">
        <v>1394</v>
      </c>
      <c r="B38" s="77" t="s">
        <v>1793</v>
      </c>
      <c r="C38" s="73" t="str">
        <f>IFERROR(__xludf.DUMMYFUNCTION("""COMPUTED_VALUE"""),"NPP")</f>
        <v>NPP</v>
      </c>
      <c r="D38" s="73" t="str">
        <f>IFERROR(__xludf.DUMMYFUNCTION("""COMPUTED_VALUE"""),"Exhaust, performance")</f>
        <v>Exhaust, performance</v>
      </c>
      <c r="E38" s="73"/>
      <c r="F38" s="73"/>
      <c r="G38" s="73"/>
      <c r="H38" s="73"/>
      <c r="I38" s="73"/>
      <c r="J38" s="73"/>
      <c r="K38" s="73"/>
      <c r="L38" s="73"/>
      <c r="M38" s="73"/>
      <c r="N38" s="73"/>
      <c r="O38" s="73"/>
      <c r="P38" s="73"/>
      <c r="Q38" s="73"/>
      <c r="R38" s="73"/>
      <c r="S38" s="73"/>
      <c r="T38" s="73"/>
      <c r="U38" s="73"/>
      <c r="V38" s="73"/>
      <c r="W38" s="73"/>
      <c r="X38" s="73"/>
      <c r="Y38" s="73"/>
      <c r="Z38" s="73"/>
    </row>
    <row r="39">
      <c r="A39" s="74" t="s">
        <v>161</v>
      </c>
      <c r="B39" s="77" t="s">
        <v>1794</v>
      </c>
      <c r="C39" s="73" t="str">
        <f>IFERROR(__xludf.DUMMYFUNCTION("""COMPUTED_VALUE"""),"P0H")</f>
        <v>P0H</v>
      </c>
      <c r="D39" s="73" t="str">
        <f>IFERROR(__xludf.DUMMYFUNCTION("""COMPUTED_VALUE"""),"12 Months OnStar Connect Plus")</f>
        <v>12 Months OnStar Connect Plus</v>
      </c>
      <c r="E39" s="73"/>
      <c r="F39" s="73"/>
      <c r="G39" s="73"/>
      <c r="H39" s="73"/>
      <c r="I39" s="73"/>
      <c r="J39" s="73"/>
      <c r="K39" s="73"/>
      <c r="L39" s="73"/>
      <c r="M39" s="73"/>
      <c r="N39" s="73"/>
      <c r="O39" s="73"/>
      <c r="P39" s="73"/>
      <c r="Q39" s="73"/>
      <c r="R39" s="73"/>
      <c r="S39" s="73"/>
      <c r="T39" s="73"/>
      <c r="U39" s="73"/>
      <c r="V39" s="73"/>
      <c r="W39" s="73"/>
      <c r="X39" s="73"/>
      <c r="Y39" s="73"/>
      <c r="Z39" s="73"/>
    </row>
    <row r="40">
      <c r="A40" s="74" t="s">
        <v>164</v>
      </c>
      <c r="B40" s="77" t="s">
        <v>1795</v>
      </c>
      <c r="C40" s="73" t="str">
        <f>IFERROR(__xludf.DUMMYFUNCTION("""COMPUTED_VALUE"""),"P0I")</f>
        <v>P0I</v>
      </c>
      <c r="D40" s="73" t="str">
        <f>IFERROR(__xludf.DUMMYFUNCTION("""COMPUTED_VALUE"""),"24 Months OnStar Connect Plus")</f>
        <v>24 Months OnStar Connect Plus</v>
      </c>
      <c r="E40" s="73"/>
      <c r="F40" s="73"/>
      <c r="G40" s="73"/>
      <c r="H40" s="73"/>
      <c r="I40" s="73"/>
      <c r="J40" s="73"/>
      <c r="K40" s="73"/>
      <c r="L40" s="73"/>
      <c r="M40" s="73"/>
      <c r="N40" s="73"/>
      <c r="O40" s="73"/>
      <c r="P40" s="73"/>
      <c r="Q40" s="73"/>
      <c r="R40" s="73"/>
      <c r="S40" s="73"/>
      <c r="T40" s="73"/>
      <c r="U40" s="73"/>
      <c r="V40" s="73"/>
      <c r="W40" s="73"/>
      <c r="X40" s="73"/>
      <c r="Y40" s="73"/>
      <c r="Z40" s="73"/>
    </row>
    <row r="41">
      <c r="A41" s="74" t="s">
        <v>167</v>
      </c>
      <c r="B41" s="77" t="s">
        <v>1796</v>
      </c>
      <c r="C41" s="73" t="str">
        <f>IFERROR(__xludf.DUMMYFUNCTION("""COMPUTED_VALUE"""),"P0J")</f>
        <v>P0J</v>
      </c>
      <c r="D41" s="73" t="str">
        <f>IFERROR(__xludf.DUMMYFUNCTION("""COMPUTED_VALUE"""),"24 Months OnStar Protect")</f>
        <v>24 Months OnStar Protect</v>
      </c>
      <c r="E41" s="73"/>
      <c r="F41" s="73"/>
      <c r="G41" s="73"/>
      <c r="H41" s="73"/>
      <c r="I41" s="73"/>
      <c r="J41" s="73"/>
      <c r="K41" s="73"/>
      <c r="L41" s="73"/>
      <c r="M41" s="73"/>
      <c r="N41" s="73"/>
      <c r="O41" s="73"/>
      <c r="P41" s="73"/>
      <c r="Q41" s="73"/>
      <c r="R41" s="73"/>
      <c r="S41" s="73"/>
      <c r="T41" s="73"/>
      <c r="U41" s="73"/>
      <c r="V41" s="73"/>
      <c r="W41" s="73"/>
      <c r="X41" s="73"/>
      <c r="Y41" s="73"/>
      <c r="Z41" s="73"/>
    </row>
    <row r="42">
      <c r="A42" s="74" t="s">
        <v>1323</v>
      </c>
      <c r="B42" s="77" t="s">
        <v>1797</v>
      </c>
      <c r="C42" s="73" t="str">
        <f>IFERROR(__xludf.DUMMYFUNCTION("""COMPUTED_VALUE"""),"P0K")</f>
        <v>P0K</v>
      </c>
      <c r="D42" s="73" t="str">
        <f>IFERROR(__xludf.DUMMYFUNCTION("""COMPUTED_VALUE"""),"36 Months OnStar Protect")</f>
        <v>36 Months OnStar Protect</v>
      </c>
      <c r="E42" s="73"/>
      <c r="F42" s="73"/>
      <c r="G42" s="73"/>
      <c r="H42" s="73"/>
      <c r="I42" s="73"/>
      <c r="J42" s="73"/>
      <c r="K42" s="73"/>
      <c r="L42" s="73"/>
      <c r="M42" s="73"/>
      <c r="N42" s="73"/>
      <c r="O42" s="73"/>
      <c r="P42" s="73"/>
      <c r="Q42" s="73"/>
      <c r="R42" s="73"/>
      <c r="S42" s="73"/>
      <c r="T42" s="73"/>
      <c r="U42" s="73"/>
      <c r="V42" s="73"/>
      <c r="W42" s="73"/>
      <c r="X42" s="73"/>
      <c r="Y42" s="73"/>
      <c r="Z42" s="73"/>
    </row>
    <row r="43">
      <c r="A43" s="74" t="s">
        <v>1036</v>
      </c>
      <c r="B43" s="77" t="s">
        <v>1798</v>
      </c>
      <c r="C43" s="73" t="str">
        <f>IFERROR(__xludf.DUMMYFUNCTION("""COMPUTED_VALUE"""),"P0L")</f>
        <v>P0L</v>
      </c>
      <c r="D43" s="73" t="str">
        <f>IFERROR(__xludf.DUMMYFUNCTION("""COMPUTED_VALUE"""),"48 Months OnStar Protect")</f>
        <v>48 Months OnStar Protect</v>
      </c>
      <c r="E43" s="73"/>
      <c r="F43" s="73"/>
      <c r="G43" s="73"/>
      <c r="H43" s="73"/>
      <c r="I43" s="73"/>
      <c r="J43" s="73"/>
      <c r="K43" s="73"/>
      <c r="L43" s="73"/>
      <c r="M43" s="73"/>
      <c r="N43" s="73"/>
      <c r="O43" s="73"/>
      <c r="P43" s="73"/>
      <c r="Q43" s="73"/>
      <c r="R43" s="73"/>
      <c r="S43" s="73"/>
      <c r="T43" s="73"/>
      <c r="U43" s="73"/>
      <c r="V43" s="73"/>
      <c r="W43" s="73"/>
      <c r="X43" s="73"/>
      <c r="Y43" s="73"/>
      <c r="Z43" s="73"/>
    </row>
    <row r="44">
      <c r="A44" s="74" t="s">
        <v>1326</v>
      </c>
      <c r="B44" s="77" t="s">
        <v>1799</v>
      </c>
      <c r="C44" s="73" t="str">
        <f>IFERROR(__xludf.DUMMYFUNCTION("""COMPUTED_VALUE"""),"P0Q")</f>
        <v>P0Q</v>
      </c>
      <c r="D44" s="73" t="str">
        <f>IFERROR(__xludf.DUMMYFUNCTION("""COMPUTED_VALUE"""),"60 Months OnStar Protect")</f>
        <v>60 Months OnStar Protect</v>
      </c>
      <c r="E44" s="73"/>
      <c r="F44" s="73"/>
      <c r="G44" s="73"/>
      <c r="H44" s="73"/>
      <c r="I44" s="73"/>
      <c r="J44" s="73"/>
      <c r="K44" s="73"/>
      <c r="L44" s="73"/>
      <c r="M44" s="73"/>
      <c r="N44" s="73"/>
      <c r="O44" s="73"/>
      <c r="P44" s="73"/>
      <c r="Q44" s="73"/>
      <c r="R44" s="73"/>
      <c r="S44" s="73"/>
      <c r="T44" s="73"/>
      <c r="U44" s="73"/>
      <c r="V44" s="73"/>
      <c r="W44" s="73"/>
      <c r="X44" s="73"/>
      <c r="Y44" s="73"/>
      <c r="Z44" s="73"/>
    </row>
    <row r="45">
      <c r="A45" s="74" t="s">
        <v>1038</v>
      </c>
      <c r="B45" s="77" t="s">
        <v>1800</v>
      </c>
      <c r="C45" s="73" t="str">
        <f>IFERROR(__xludf.DUMMYFUNCTION("""COMPUTED_VALUE"""),"P0U")</f>
        <v>P0U</v>
      </c>
      <c r="D45" s="73" t="str">
        <f>IFERROR(__xludf.DUMMYFUNCTION("""COMPUTED_VALUE"""),"12 Months OnStar Protect")</f>
        <v>12 Months OnStar Protect</v>
      </c>
      <c r="E45" s="73"/>
      <c r="F45" s="73"/>
      <c r="G45" s="73"/>
      <c r="H45" s="73"/>
      <c r="I45" s="73"/>
      <c r="J45" s="73"/>
      <c r="K45" s="73"/>
      <c r="L45" s="73"/>
      <c r="M45" s="73"/>
      <c r="N45" s="73"/>
      <c r="O45" s="73"/>
      <c r="P45" s="73"/>
      <c r="Q45" s="73"/>
      <c r="R45" s="73"/>
      <c r="S45" s="73"/>
      <c r="T45" s="73"/>
      <c r="U45" s="73"/>
      <c r="V45" s="73"/>
      <c r="W45" s="73"/>
      <c r="X45" s="73"/>
      <c r="Y45" s="73"/>
      <c r="Z45" s="73"/>
    </row>
    <row r="46">
      <c r="A46" s="74" t="s">
        <v>171</v>
      </c>
      <c r="B46" s="77" t="s">
        <v>1801</v>
      </c>
      <c r="C46" s="73" t="str">
        <f>IFERROR(__xludf.DUMMYFUNCTION("""COMPUTED_VALUE"""),"P0V")</f>
        <v>P0V</v>
      </c>
      <c r="D46" s="73" t="str">
        <f>IFERROR(__xludf.DUMMYFUNCTION("""COMPUTED_VALUE"""),"12 Months OnStar Telematics")</f>
        <v>12 Months OnStar Telematics</v>
      </c>
      <c r="E46" s="73"/>
      <c r="F46" s="73"/>
      <c r="G46" s="73"/>
      <c r="H46" s="73"/>
      <c r="I46" s="73"/>
      <c r="J46" s="73"/>
      <c r="K46" s="73"/>
      <c r="L46" s="73"/>
      <c r="M46" s="73"/>
      <c r="N46" s="73"/>
      <c r="O46" s="73"/>
      <c r="P46" s="73"/>
      <c r="Q46" s="73"/>
      <c r="R46" s="73"/>
      <c r="S46" s="73"/>
      <c r="T46" s="73"/>
      <c r="U46" s="73"/>
      <c r="V46" s="73"/>
      <c r="W46" s="73"/>
      <c r="X46" s="73"/>
      <c r="Y46" s="73"/>
      <c r="Z46" s="73"/>
    </row>
    <row r="47">
      <c r="A47" s="74" t="s">
        <v>946</v>
      </c>
      <c r="B47" s="77" t="s">
        <v>1802</v>
      </c>
      <c r="C47" s="73" t="str">
        <f>IFERROR(__xludf.DUMMYFUNCTION("""COMPUTED_VALUE"""),"P0W")</f>
        <v>P0W</v>
      </c>
      <c r="D47" s="73" t="str">
        <f>IFERROR(__xludf.DUMMYFUNCTION("""COMPUTED_VALUE"""),"24 Months OnStar Telematics ")</f>
        <v>24 Months OnStar Telematics </v>
      </c>
      <c r="E47" s="73"/>
      <c r="F47" s="73"/>
      <c r="G47" s="73"/>
      <c r="H47" s="73"/>
      <c r="I47" s="73"/>
      <c r="J47" s="73"/>
      <c r="K47" s="73"/>
      <c r="L47" s="73"/>
      <c r="M47" s="73"/>
      <c r="N47" s="73"/>
      <c r="O47" s="73"/>
      <c r="P47" s="73"/>
      <c r="Q47" s="73"/>
      <c r="R47" s="73"/>
      <c r="S47" s="73"/>
      <c r="T47" s="73"/>
      <c r="U47" s="73"/>
      <c r="V47" s="73"/>
      <c r="W47" s="73"/>
      <c r="X47" s="73"/>
      <c r="Y47" s="73"/>
      <c r="Z47" s="73"/>
    </row>
    <row r="48">
      <c r="A48" s="74" t="s">
        <v>173</v>
      </c>
      <c r="B48" s="77" t="s">
        <v>1803</v>
      </c>
      <c r="C48" s="73" t="str">
        <f>IFERROR(__xludf.DUMMYFUNCTION("""COMPUTED_VALUE"""),"P0X")</f>
        <v>P0X</v>
      </c>
      <c r="D48" s="73" t="str">
        <f>IFERROR(__xludf.DUMMYFUNCTION("""COMPUTED_VALUE"""),"36 Months OnStar Telematics")</f>
        <v>36 Months OnStar Telematics</v>
      </c>
      <c r="E48" s="73"/>
      <c r="F48" s="73"/>
      <c r="G48" s="73"/>
      <c r="H48" s="73"/>
      <c r="I48" s="73"/>
      <c r="J48" s="73"/>
      <c r="K48" s="73"/>
      <c r="L48" s="73"/>
      <c r="M48" s="73"/>
      <c r="N48" s="73"/>
      <c r="O48" s="73"/>
      <c r="P48" s="73"/>
      <c r="Q48" s="73"/>
      <c r="R48" s="73"/>
      <c r="S48" s="73"/>
      <c r="T48" s="73"/>
      <c r="U48" s="73"/>
      <c r="V48" s="73"/>
      <c r="W48" s="73"/>
      <c r="X48" s="73"/>
      <c r="Y48" s="73"/>
      <c r="Z48" s="73"/>
    </row>
    <row r="49">
      <c r="A49" s="74" t="s">
        <v>176</v>
      </c>
      <c r="B49" s="77" t="s">
        <v>1804</v>
      </c>
      <c r="C49" s="73" t="str">
        <f>IFERROR(__xludf.DUMMYFUNCTION("""COMPUTED_VALUE"""),"P0Y")</f>
        <v>P0Y</v>
      </c>
      <c r="D49" s="73" t="str">
        <f>IFERROR(__xludf.DUMMYFUNCTION("""COMPUTED_VALUE"""),"48 Months OnStar Telematics")</f>
        <v>48 Months OnStar Telematics</v>
      </c>
      <c r="E49" s="73"/>
      <c r="F49" s="73"/>
      <c r="G49" s="73"/>
      <c r="H49" s="73"/>
      <c r="I49" s="73"/>
      <c r="J49" s="73"/>
      <c r="K49" s="73"/>
      <c r="L49" s="73"/>
      <c r="M49" s="73"/>
      <c r="N49" s="73"/>
      <c r="O49" s="73"/>
      <c r="P49" s="73"/>
      <c r="Q49" s="73"/>
      <c r="R49" s="73"/>
      <c r="S49" s="73"/>
      <c r="T49" s="73"/>
      <c r="U49" s="73"/>
      <c r="V49" s="73"/>
      <c r="W49" s="73"/>
      <c r="X49" s="73"/>
      <c r="Y49" s="73"/>
      <c r="Z49" s="73"/>
    </row>
    <row r="50">
      <c r="A50" s="74" t="s">
        <v>179</v>
      </c>
      <c r="B50" s="77" t="s">
        <v>1805</v>
      </c>
      <c r="C50" s="73" t="str">
        <f>IFERROR(__xludf.DUMMYFUNCTION("""COMPUTED_VALUE"""),"P0Z")</f>
        <v>P0Z</v>
      </c>
      <c r="D50" s="73" t="str">
        <f>IFERROR(__xludf.DUMMYFUNCTION("""COMPUTED_VALUE"""),"60 Months OnStar Telematics")</f>
        <v>60 Months OnStar Telematics</v>
      </c>
      <c r="E50" s="73"/>
      <c r="F50" s="73"/>
      <c r="G50" s="73"/>
      <c r="H50" s="73"/>
      <c r="I50" s="73"/>
      <c r="J50" s="73"/>
      <c r="K50" s="73"/>
      <c r="L50" s="73"/>
      <c r="M50" s="73"/>
      <c r="N50" s="73"/>
      <c r="O50" s="73"/>
      <c r="P50" s="73"/>
      <c r="Q50" s="73"/>
      <c r="R50" s="73"/>
      <c r="S50" s="73"/>
      <c r="T50" s="73"/>
      <c r="U50" s="73"/>
      <c r="V50" s="73"/>
      <c r="W50" s="73"/>
      <c r="X50" s="73"/>
      <c r="Y50" s="73"/>
      <c r="Z50" s="73"/>
    </row>
    <row r="51">
      <c r="A51" s="74" t="s">
        <v>181</v>
      </c>
      <c r="B51" s="77" t="s">
        <v>1806</v>
      </c>
      <c r="C51" s="73" t="str">
        <f>IFERROR(__xludf.DUMMYFUNCTION("""COMPUTED_VALUE"""),"PPW")</f>
        <v>PPW</v>
      </c>
      <c r="D51" s="73" t="str">
        <f>IFERROR(__xludf.DUMMYFUNCTION("""COMPUTED_VALUE"""),"Wireless Apple CarPlay/Wireless Android Auto")</f>
        <v>Wireless Apple CarPlay/Wireless Android Auto</v>
      </c>
      <c r="E51" s="73"/>
      <c r="F51" s="73"/>
      <c r="G51" s="73"/>
      <c r="H51" s="73"/>
      <c r="I51" s="73"/>
      <c r="J51" s="73"/>
      <c r="K51" s="73"/>
      <c r="L51" s="73"/>
      <c r="M51" s="73"/>
      <c r="N51" s="73"/>
      <c r="O51" s="73"/>
      <c r="P51" s="73"/>
      <c r="Q51" s="73"/>
      <c r="R51" s="73"/>
      <c r="S51" s="73"/>
      <c r="T51" s="73"/>
      <c r="U51" s="73"/>
      <c r="V51" s="73"/>
      <c r="W51" s="73"/>
      <c r="X51" s="73"/>
      <c r="Y51" s="73"/>
      <c r="Z51" s="73"/>
    </row>
    <row r="52">
      <c r="A52" s="74" t="s">
        <v>185</v>
      </c>
      <c r="B52" s="77" t="s">
        <v>1807</v>
      </c>
      <c r="C52" s="73" t="str">
        <f>IFERROR(__xludf.DUMMYFUNCTION("""COMPUTED_VALUE"""),"PQG")</f>
        <v>PQG</v>
      </c>
      <c r="D52" s="73" t="str">
        <f>IFERROR(__xludf.DUMMYFUNCTION("""COMPUTED_VALUE"""),"36 Months OnStar Connect Plus")</f>
        <v>36 Months OnStar Connect Plus</v>
      </c>
      <c r="E52" s="73"/>
      <c r="F52" s="73"/>
      <c r="G52" s="73"/>
      <c r="H52" s="73"/>
      <c r="I52" s="73"/>
      <c r="J52" s="73"/>
      <c r="K52" s="73"/>
      <c r="L52" s="73"/>
      <c r="M52" s="73"/>
      <c r="N52" s="73"/>
      <c r="O52" s="73"/>
      <c r="P52" s="73"/>
      <c r="Q52" s="73"/>
      <c r="R52" s="73"/>
      <c r="S52" s="73"/>
      <c r="T52" s="73"/>
      <c r="U52" s="73"/>
      <c r="V52" s="73"/>
      <c r="W52" s="73"/>
      <c r="X52" s="73"/>
      <c r="Y52" s="73"/>
      <c r="Z52" s="73"/>
    </row>
    <row r="53">
      <c r="A53" s="74" t="s">
        <v>188</v>
      </c>
      <c r="B53" s="77" t="s">
        <v>1808</v>
      </c>
      <c r="C53" s="73" t="str">
        <f>IFERROR(__xludf.DUMMYFUNCTION("""COMPUTED_VALUE"""),"PQH")</f>
        <v>PQH</v>
      </c>
      <c r="D53" s="73" t="str">
        <f>IFERROR(__xludf.DUMMYFUNCTION("""COMPUTED_VALUE"""),"48 Months OnStar Connect Plus")</f>
        <v>48 Months OnStar Connect Plus</v>
      </c>
      <c r="E53" s="73"/>
      <c r="F53" s="73"/>
      <c r="G53" s="73"/>
      <c r="H53" s="73"/>
      <c r="I53" s="73"/>
      <c r="J53" s="73"/>
      <c r="K53" s="73"/>
      <c r="L53" s="73"/>
      <c r="M53" s="73"/>
      <c r="N53" s="73"/>
      <c r="O53" s="73"/>
      <c r="P53" s="73"/>
      <c r="Q53" s="73"/>
      <c r="R53" s="73"/>
      <c r="S53" s="73"/>
      <c r="T53" s="73"/>
      <c r="U53" s="73"/>
      <c r="V53" s="73"/>
      <c r="W53" s="73"/>
      <c r="X53" s="73"/>
      <c r="Y53" s="73"/>
      <c r="Z53" s="73"/>
    </row>
    <row r="54">
      <c r="A54" s="74" t="s">
        <v>191</v>
      </c>
      <c r="B54" s="77" t="s">
        <v>1809</v>
      </c>
      <c r="C54" s="73" t="str">
        <f>IFERROR(__xludf.DUMMYFUNCTION("""COMPUTED_VALUE"""),"PQI")</f>
        <v>PQI</v>
      </c>
      <c r="D54" s="73" t="str">
        <f>IFERROR(__xludf.DUMMYFUNCTION("""COMPUTED_VALUE"""),"60 Months OnStar Connect Plus")</f>
        <v>60 Months OnStar Connect Plus</v>
      </c>
      <c r="E54" s="73"/>
      <c r="F54" s="73"/>
      <c r="G54" s="73"/>
      <c r="H54" s="73"/>
      <c r="I54" s="73"/>
      <c r="J54" s="73"/>
      <c r="K54" s="73"/>
      <c r="L54" s="73"/>
      <c r="M54" s="73"/>
      <c r="N54" s="73"/>
      <c r="O54" s="73"/>
      <c r="P54" s="73"/>
      <c r="Q54" s="73"/>
      <c r="R54" s="73"/>
      <c r="S54" s="73"/>
      <c r="T54" s="73"/>
      <c r="U54" s="73"/>
      <c r="V54" s="73"/>
      <c r="W54" s="73"/>
      <c r="X54" s="73"/>
      <c r="Y54" s="73"/>
      <c r="Z54" s="73"/>
    </row>
    <row r="55">
      <c r="A55" s="74" t="s">
        <v>194</v>
      </c>
      <c r="B55" s="77" t="s">
        <v>1810</v>
      </c>
      <c r="C55" s="73" t="str">
        <f>IFERROR(__xludf.DUMMYFUNCTION("""COMPUTED_VALUE"""),"PRB")</f>
        <v>PRB</v>
      </c>
      <c r="D55" s="73" t="str">
        <f>IFERROR(__xludf.DUMMYFUNCTION("""COMPUTED_VALUE"""),"3 Years OnStar One")</f>
        <v>3 Years OnStar One</v>
      </c>
      <c r="E55" s="73"/>
      <c r="F55" s="73"/>
      <c r="G55" s="73"/>
      <c r="H55" s="73"/>
      <c r="I55" s="73"/>
      <c r="J55" s="73"/>
      <c r="K55" s="73"/>
      <c r="L55" s="73"/>
      <c r="M55" s="73"/>
      <c r="N55" s="73"/>
      <c r="O55" s="73"/>
      <c r="P55" s="73"/>
      <c r="Q55" s="73"/>
      <c r="R55" s="73"/>
      <c r="S55" s="73"/>
      <c r="T55" s="73"/>
      <c r="U55" s="73"/>
      <c r="V55" s="73"/>
      <c r="W55" s="73"/>
      <c r="X55" s="73"/>
      <c r="Y55" s="73"/>
      <c r="Z55" s="73"/>
    </row>
    <row r="56">
      <c r="A56" s="74" t="s">
        <v>1050</v>
      </c>
      <c r="B56" s="77" t="s">
        <v>1811</v>
      </c>
      <c r="C56" s="73" t="str">
        <f>IFERROR(__xludf.DUMMYFUNCTION("""COMPUTED_VALUE"""),"R6P")</f>
        <v>R6P</v>
      </c>
      <c r="D56" s="73" t="str">
        <f>IFERROR(__xludf.DUMMYFUNCTION("""COMPUTED_VALUE"""),"3 Years SiriusXM")</f>
        <v>3 Years SiriusXM</v>
      </c>
      <c r="E56" s="73"/>
      <c r="F56" s="73"/>
      <c r="G56" s="73"/>
      <c r="H56" s="73"/>
      <c r="I56" s="73"/>
      <c r="J56" s="73"/>
      <c r="K56" s="73"/>
      <c r="L56" s="73"/>
      <c r="M56" s="73"/>
      <c r="N56" s="73"/>
      <c r="O56" s="73"/>
      <c r="P56" s="73"/>
      <c r="Q56" s="73"/>
      <c r="R56" s="73"/>
      <c r="S56" s="73"/>
      <c r="T56" s="73"/>
      <c r="U56" s="73"/>
      <c r="V56" s="73"/>
      <c r="W56" s="73"/>
      <c r="X56" s="73"/>
      <c r="Y56" s="73"/>
      <c r="Z56" s="73"/>
    </row>
    <row r="57">
      <c r="A57" s="74" t="s">
        <v>1052</v>
      </c>
      <c r="B57" s="77" t="s">
        <v>1812</v>
      </c>
      <c r="C57" s="73" t="str">
        <f>IFERROR(__xludf.DUMMYFUNCTION("""COMPUTED_VALUE"""),"R6X")</f>
        <v>R6X</v>
      </c>
      <c r="D57" s="73" t="str">
        <f>IFERROR(__xludf.DUMMYFUNCTION("""COMPUTED_VALUE"""),"Custom Interior Trim and Seat Combination")</f>
        <v>Custom Interior Trim and Seat Combination</v>
      </c>
      <c r="E57" s="73"/>
      <c r="F57" s="73"/>
      <c r="G57" s="73"/>
      <c r="H57" s="73"/>
      <c r="I57" s="73"/>
      <c r="J57" s="73"/>
      <c r="K57" s="73"/>
      <c r="L57" s="73"/>
      <c r="M57" s="73"/>
      <c r="N57" s="73"/>
      <c r="O57" s="73"/>
      <c r="P57" s="73"/>
      <c r="Q57" s="73"/>
      <c r="R57" s="73"/>
      <c r="S57" s="73"/>
      <c r="T57" s="73"/>
      <c r="U57" s="73"/>
      <c r="V57" s="73"/>
      <c r="W57" s="73"/>
      <c r="X57" s="73"/>
      <c r="Y57" s="73"/>
      <c r="Z57" s="73"/>
    </row>
    <row r="58">
      <c r="A58" s="74" t="s">
        <v>196</v>
      </c>
      <c r="B58" s="77" t="s">
        <v>1813</v>
      </c>
      <c r="C58" s="73" t="str">
        <f>IFERROR(__xludf.DUMMYFUNCTION("""COMPUTED_VALUE"""),"R8G")</f>
        <v>R8G</v>
      </c>
      <c r="D58" s="73" t="str">
        <f>IFERROR(__xludf.DUMMYFUNCTION("""COMPUTED_VALUE"""),"12 Months OnStar One Fleet")</f>
        <v>12 Months OnStar One Fleet</v>
      </c>
      <c r="E58" s="73"/>
      <c r="F58" s="73"/>
      <c r="G58" s="73"/>
      <c r="H58" s="73"/>
      <c r="I58" s="73"/>
      <c r="J58" s="73"/>
      <c r="K58" s="73"/>
      <c r="L58" s="73"/>
      <c r="M58" s="73"/>
      <c r="N58" s="73"/>
      <c r="O58" s="73"/>
      <c r="P58" s="73"/>
      <c r="Q58" s="73"/>
      <c r="R58" s="73"/>
      <c r="S58" s="73"/>
      <c r="T58" s="73"/>
      <c r="U58" s="73"/>
      <c r="V58" s="73"/>
      <c r="W58" s="73"/>
      <c r="X58" s="73"/>
      <c r="Y58" s="73"/>
      <c r="Z58" s="73"/>
    </row>
    <row r="59">
      <c r="A59" s="74" t="s">
        <v>198</v>
      </c>
      <c r="B59" s="77" t="s">
        <v>1814</v>
      </c>
      <c r="C59" s="73" t="str">
        <f>IFERROR(__xludf.DUMMYFUNCTION("""COMPUTED_VALUE"""),"R8P")</f>
        <v>R8P</v>
      </c>
      <c r="D59" s="73" t="str">
        <f>IFERROR(__xludf.DUMMYFUNCTION("""COMPUTED_VALUE"""),"36 Months OnStar One Fleet")</f>
        <v>36 Months OnStar One Fleet</v>
      </c>
      <c r="E59" s="73"/>
      <c r="F59" s="73"/>
      <c r="G59" s="73"/>
      <c r="H59" s="73"/>
      <c r="I59" s="73"/>
      <c r="J59" s="73"/>
      <c r="K59" s="73"/>
      <c r="L59" s="73"/>
      <c r="M59" s="73"/>
      <c r="N59" s="73"/>
      <c r="O59" s="73"/>
      <c r="P59" s="73"/>
      <c r="Q59" s="73"/>
      <c r="R59" s="73"/>
      <c r="S59" s="73"/>
      <c r="T59" s="73"/>
      <c r="U59" s="73"/>
      <c r="V59" s="73"/>
      <c r="W59" s="73"/>
      <c r="X59" s="73"/>
      <c r="Y59" s="73"/>
      <c r="Z59" s="73"/>
    </row>
    <row r="60">
      <c r="A60" s="74" t="s">
        <v>200</v>
      </c>
      <c r="B60" s="77" t="s">
        <v>1815</v>
      </c>
      <c r="C60" s="73" t="str">
        <f>IFERROR(__xludf.DUMMYFUNCTION("""COMPUTED_VALUE"""),"R8W")</f>
        <v>R8W</v>
      </c>
      <c r="D60" s="73" t="str">
        <f>IFERROR(__xludf.DUMMYFUNCTION("""COMPUTED_VALUE"""),"60 Months OnStar One Fleet")</f>
        <v>60 Months OnStar One Fleet</v>
      </c>
      <c r="E60" s="73"/>
      <c r="F60" s="73"/>
      <c r="G60" s="73"/>
      <c r="H60" s="73"/>
      <c r="I60" s="73"/>
      <c r="J60" s="73"/>
      <c r="K60" s="73"/>
      <c r="L60" s="73"/>
      <c r="M60" s="73"/>
      <c r="N60" s="73"/>
      <c r="O60" s="73"/>
      <c r="P60" s="73"/>
      <c r="Q60" s="73"/>
      <c r="R60" s="73"/>
      <c r="S60" s="73"/>
      <c r="T60" s="73"/>
      <c r="U60" s="73"/>
      <c r="V60" s="73"/>
      <c r="W60" s="73"/>
      <c r="X60" s="73"/>
      <c r="Y60" s="73"/>
      <c r="Z60" s="73"/>
    </row>
    <row r="61">
      <c r="A61" s="74" t="s">
        <v>202</v>
      </c>
      <c r="B61" s="77" t="s">
        <v>1816</v>
      </c>
      <c r="C61" s="73" t="str">
        <f>IFERROR(__xludf.DUMMYFUNCTION("""COMPUTED_VALUE"""),"R8Z")</f>
        <v>R8Z</v>
      </c>
      <c r="D61" s="73" t="str">
        <f>IFERROR(__xludf.DUMMYFUNCTION("""COMPUTED_VALUE"""),"48 Months OnStar One Fleet")</f>
        <v>48 Months OnStar One Fleet</v>
      </c>
      <c r="E61" s="73"/>
      <c r="F61" s="73"/>
      <c r="G61" s="73"/>
      <c r="H61" s="73"/>
      <c r="I61" s="73"/>
      <c r="J61" s="73"/>
      <c r="K61" s="73"/>
      <c r="L61" s="73"/>
      <c r="M61" s="73"/>
      <c r="N61" s="73"/>
      <c r="O61" s="73"/>
      <c r="P61" s="73"/>
      <c r="Q61" s="73"/>
      <c r="R61" s="73"/>
      <c r="S61" s="73"/>
      <c r="T61" s="73"/>
      <c r="U61" s="73"/>
      <c r="V61" s="73"/>
      <c r="W61" s="73"/>
      <c r="X61" s="73"/>
      <c r="Y61" s="73"/>
      <c r="Z61" s="73"/>
    </row>
    <row r="62">
      <c r="A62" s="74" t="s">
        <v>204</v>
      </c>
      <c r="B62" s="77" t="s">
        <v>1817</v>
      </c>
      <c r="C62" s="73" t="str">
        <f>IFERROR(__xludf.DUMMYFUNCTION("""COMPUTED_VALUE"""),"R9L")</f>
        <v>R9L</v>
      </c>
      <c r="D62" s="73" t="str">
        <f>IFERROR(__xludf.DUMMYFUNCTION("""COMPUTED_VALUE"""),"Removes OnStar Basics (OnStar Fleet Basics for Fleet)")</f>
        <v>Removes OnStar Basics (OnStar Fleet Basics for Fleet)</v>
      </c>
      <c r="E62" s="73"/>
      <c r="F62" s="73"/>
      <c r="G62" s="73"/>
      <c r="H62" s="73"/>
      <c r="I62" s="73"/>
      <c r="J62" s="73"/>
      <c r="K62" s="73"/>
      <c r="L62" s="73"/>
      <c r="M62" s="73"/>
      <c r="N62" s="73"/>
      <c r="O62" s="73"/>
      <c r="P62" s="73"/>
      <c r="Q62" s="73"/>
      <c r="R62" s="73"/>
      <c r="S62" s="73"/>
      <c r="T62" s="73"/>
      <c r="U62" s="73"/>
      <c r="V62" s="73"/>
      <c r="W62" s="73"/>
      <c r="X62" s="73"/>
      <c r="Y62" s="73"/>
      <c r="Z62" s="73"/>
    </row>
    <row r="63">
      <c r="A63" s="74" t="s">
        <v>206</v>
      </c>
      <c r="B63" s="77" t="s">
        <v>1818</v>
      </c>
      <c r="C63" s="73" t="str">
        <f>IFERROR(__xludf.DUMMYFUNCTION("""COMPUTED_VALUE"""),"R9V")</f>
        <v>R9V</v>
      </c>
      <c r="D63" s="73" t="str">
        <f>IFERROR(__xludf.DUMMYFUNCTION("""COMPUTED_VALUE"""),"Mobile Service Plus")</f>
        <v>Mobile Service Plus</v>
      </c>
      <c r="E63" s="73"/>
      <c r="F63" s="73"/>
      <c r="G63" s="73"/>
      <c r="H63" s="73"/>
      <c r="I63" s="73"/>
      <c r="J63" s="73"/>
      <c r="K63" s="73"/>
      <c r="L63" s="73"/>
      <c r="M63" s="73"/>
      <c r="N63" s="73"/>
      <c r="O63" s="73"/>
      <c r="P63" s="73"/>
      <c r="Q63" s="73"/>
      <c r="R63" s="73"/>
      <c r="S63" s="73"/>
      <c r="T63" s="73"/>
      <c r="U63" s="73"/>
      <c r="V63" s="73"/>
      <c r="W63" s="73"/>
      <c r="X63" s="73"/>
      <c r="Y63" s="73"/>
      <c r="Z63" s="73"/>
    </row>
    <row r="64">
      <c r="A64" s="74" t="s">
        <v>209</v>
      </c>
      <c r="B64" s="77" t="s">
        <v>1819</v>
      </c>
      <c r="C64" s="73" t="str">
        <f>IFERROR(__xludf.DUMMYFUNCTION("""COMPUTED_VALUE"""),"R9W")</f>
        <v>R9W</v>
      </c>
      <c r="D64" s="73" t="str">
        <f>IFERROR(__xludf.DUMMYFUNCTION("""COMPUTED_VALUE"""),"Deleted Mobile Service Plus")</f>
        <v>Deleted Mobile Service Plus</v>
      </c>
      <c r="E64" s="73"/>
      <c r="F64" s="73"/>
      <c r="G64" s="73"/>
      <c r="H64" s="73"/>
      <c r="I64" s="73"/>
      <c r="J64" s="73"/>
      <c r="K64" s="73"/>
      <c r="L64" s="73"/>
      <c r="M64" s="73"/>
      <c r="N64" s="73"/>
      <c r="O64" s="73"/>
      <c r="P64" s="73"/>
      <c r="Q64" s="73"/>
      <c r="R64" s="73"/>
      <c r="S64" s="73"/>
      <c r="T64" s="73"/>
      <c r="U64" s="73"/>
      <c r="V64" s="73"/>
      <c r="W64" s="73"/>
      <c r="X64" s="73"/>
      <c r="Y64" s="73"/>
      <c r="Z64" s="73"/>
    </row>
    <row r="65">
      <c r="A65" s="74" t="s">
        <v>1061</v>
      </c>
      <c r="B65" s="77" t="s">
        <v>1820</v>
      </c>
      <c r="C65" s="73" t="str">
        <f>IFERROR(__xludf.DUMMYFUNCTION("""COMPUTED_VALUE"""),"R9Y")</f>
        <v>R9Y</v>
      </c>
      <c r="D65" s="73" t="str">
        <f>IFERROR(__xludf.DUMMYFUNCTION("""COMPUTED_VALUE"""),"Mobile Service Plus")</f>
        <v>Mobile Service Plus</v>
      </c>
      <c r="E65" s="73"/>
      <c r="F65" s="73"/>
      <c r="G65" s="73"/>
      <c r="H65" s="73"/>
      <c r="I65" s="73"/>
      <c r="J65" s="73"/>
      <c r="K65" s="73"/>
      <c r="L65" s="73"/>
      <c r="M65" s="73"/>
      <c r="N65" s="73"/>
      <c r="O65" s="73"/>
      <c r="P65" s="73"/>
      <c r="Q65" s="73"/>
      <c r="R65" s="73"/>
      <c r="S65" s="73"/>
      <c r="T65" s="73"/>
      <c r="U65" s="73"/>
      <c r="V65" s="73"/>
      <c r="W65" s="73"/>
      <c r="X65" s="73"/>
      <c r="Y65" s="73"/>
      <c r="Z65" s="73"/>
    </row>
    <row r="66">
      <c r="A66" s="74" t="s">
        <v>1517</v>
      </c>
      <c r="B66" s="77" t="s">
        <v>1821</v>
      </c>
      <c r="C66" s="73" t="str">
        <f>IFERROR(__xludf.DUMMYFUNCTION("""COMPUTED_VALUE"""),"RFH")</f>
        <v>RFH</v>
      </c>
      <c r="D66" s="73" t="str">
        <f>IFERROR(__xludf.DUMMYFUNCTION("""COMPUTED_VALUE"""),"24 Months OnStar One Fleet")</f>
        <v>24 Months OnStar One Fleet</v>
      </c>
      <c r="E66" s="73"/>
      <c r="F66" s="73"/>
      <c r="G66" s="73"/>
      <c r="H66" s="73"/>
      <c r="I66" s="73"/>
      <c r="J66" s="73"/>
      <c r="K66" s="73"/>
      <c r="L66" s="73"/>
      <c r="M66" s="73"/>
      <c r="N66" s="73"/>
      <c r="O66" s="73"/>
      <c r="P66" s="73"/>
      <c r="Q66" s="73"/>
      <c r="R66" s="73"/>
      <c r="S66" s="73"/>
      <c r="T66" s="73"/>
      <c r="U66" s="73"/>
      <c r="V66" s="73"/>
      <c r="W66" s="73"/>
      <c r="X66" s="73"/>
      <c r="Y66" s="73"/>
      <c r="Z66" s="73"/>
    </row>
    <row r="67">
      <c r="A67" s="74" t="s">
        <v>1063</v>
      </c>
      <c r="B67" s="77" t="s">
        <v>1822</v>
      </c>
      <c r="C67" s="73" t="str">
        <f>IFERROR(__xludf.DUMMYFUNCTION("""COMPUTED_VALUE"""),"T4L")</f>
        <v>T4L</v>
      </c>
      <c r="D67" s="73" t="str">
        <f>IFERROR(__xludf.DUMMYFUNCTION("""COMPUTED_VALUE"""),"Headlamps, LED")</f>
        <v>Headlamps, LED</v>
      </c>
      <c r="E67" s="73"/>
      <c r="F67" s="73"/>
      <c r="G67" s="73"/>
      <c r="H67" s="73"/>
      <c r="I67" s="73"/>
      <c r="J67" s="73"/>
      <c r="K67" s="73"/>
      <c r="L67" s="73"/>
      <c r="M67" s="73"/>
      <c r="N67" s="73"/>
      <c r="O67" s="73"/>
      <c r="P67" s="73"/>
      <c r="Q67" s="73"/>
      <c r="R67" s="73"/>
      <c r="S67" s="73"/>
      <c r="T67" s="73"/>
      <c r="U67" s="73"/>
      <c r="V67" s="73"/>
      <c r="W67" s="73"/>
      <c r="X67" s="73"/>
      <c r="Y67" s="73"/>
      <c r="Z67" s="73"/>
    </row>
    <row r="68">
      <c r="A68" s="74" t="s">
        <v>211</v>
      </c>
      <c r="B68" s="77" t="s">
        <v>1823</v>
      </c>
      <c r="C68" s="73" t="str">
        <f>IFERROR(__xludf.DUMMYFUNCTION("""COMPUTED_VALUE"""),"TDM")</f>
        <v>TDM</v>
      </c>
      <c r="D68" s="73" t="str">
        <f>IFERROR(__xludf.DUMMYFUNCTION("""COMPUTED_VALUE"""),"Teen Driver")</f>
        <v>Teen Driver</v>
      </c>
      <c r="E68" s="73"/>
      <c r="F68" s="73"/>
      <c r="G68" s="73"/>
      <c r="H68" s="73"/>
      <c r="I68" s="73"/>
      <c r="J68" s="73"/>
      <c r="K68" s="73"/>
      <c r="L68" s="73"/>
      <c r="M68" s="73"/>
      <c r="N68" s="73"/>
      <c r="O68" s="73"/>
      <c r="P68" s="73"/>
      <c r="Q68" s="73"/>
      <c r="R68" s="73"/>
      <c r="S68" s="73"/>
      <c r="T68" s="73"/>
      <c r="U68" s="73"/>
      <c r="V68" s="73"/>
      <c r="W68" s="73"/>
      <c r="X68" s="73"/>
      <c r="Y68" s="73"/>
      <c r="Z68" s="73"/>
    </row>
    <row r="69">
      <c r="A69" s="74" t="s">
        <v>213</v>
      </c>
      <c r="B69" s="77" t="s">
        <v>1824</v>
      </c>
      <c r="C69" s="73" t="str">
        <f>IFERROR(__xludf.DUMMYFUNCTION("""COMPUTED_VALUE"""),"TQ5")</f>
        <v>TQ5</v>
      </c>
      <c r="D69" s="73" t="str">
        <f>IFERROR(__xludf.DUMMYFUNCTION("""COMPUTED_VALUE"""),"IntelliBeam")</f>
        <v>IntelliBeam</v>
      </c>
      <c r="E69" s="73"/>
      <c r="F69" s="73"/>
      <c r="G69" s="73"/>
      <c r="H69" s="73"/>
      <c r="I69" s="73"/>
      <c r="J69" s="73"/>
      <c r="K69" s="73"/>
      <c r="L69" s="73"/>
      <c r="M69" s="73"/>
      <c r="N69" s="73"/>
      <c r="O69" s="73"/>
      <c r="P69" s="73"/>
      <c r="Q69" s="73"/>
      <c r="R69" s="73"/>
      <c r="S69" s="73"/>
      <c r="T69" s="73"/>
      <c r="U69" s="73"/>
      <c r="V69" s="73"/>
      <c r="W69" s="73"/>
      <c r="X69" s="73"/>
      <c r="Y69" s="73"/>
      <c r="Z69" s="73"/>
    </row>
    <row r="70">
      <c r="A70" s="74" t="s">
        <v>215</v>
      </c>
      <c r="B70" s="77" t="s">
        <v>1825</v>
      </c>
      <c r="C70" s="73" t="str">
        <f>IFERROR(__xludf.DUMMYFUNCTION("""COMPUTED_VALUE"""),"TR7")</f>
        <v>TR7</v>
      </c>
      <c r="D70" s="73" t="str">
        <f>IFERROR(__xludf.DUMMYFUNCTION("""COMPUTED_VALUE"""),"Headlamp control, automatic leveling system")</f>
        <v>Headlamp control, automatic leveling system</v>
      </c>
      <c r="E70" s="73"/>
      <c r="F70" s="73"/>
      <c r="G70" s="73"/>
      <c r="H70" s="73"/>
      <c r="I70" s="73"/>
      <c r="J70" s="73"/>
      <c r="K70" s="73"/>
      <c r="L70" s="73"/>
      <c r="M70" s="73"/>
      <c r="N70" s="73"/>
      <c r="O70" s="73"/>
      <c r="P70" s="73"/>
      <c r="Q70" s="73"/>
      <c r="R70" s="73"/>
      <c r="S70" s="73"/>
      <c r="T70" s="73"/>
      <c r="U70" s="73"/>
      <c r="V70" s="73"/>
      <c r="W70" s="73"/>
      <c r="X70" s="73"/>
      <c r="Y70" s="73"/>
      <c r="Z70" s="73"/>
    </row>
    <row r="71">
      <c r="A71" s="74" t="s">
        <v>10</v>
      </c>
      <c r="B71" s="77" t="s">
        <v>1826</v>
      </c>
      <c r="C71" s="73" t="str">
        <f>IFERROR(__xludf.DUMMYFUNCTION("""COMPUTED_VALUE"""),"U2K")</f>
        <v>U2K</v>
      </c>
      <c r="D71" s="73" t="str">
        <f>IFERROR(__xludf.DUMMYFUNCTION("""COMPUTED_VALUE"""),"SiriusXM with 360L")</f>
        <v>SiriusXM with 360L</v>
      </c>
      <c r="E71" s="73"/>
      <c r="F71" s="73"/>
      <c r="G71" s="73"/>
      <c r="H71" s="73"/>
      <c r="I71" s="73"/>
      <c r="J71" s="73"/>
      <c r="K71" s="73"/>
      <c r="L71" s="73"/>
      <c r="M71" s="73"/>
      <c r="N71" s="73"/>
      <c r="O71" s="73"/>
      <c r="P71" s="73"/>
      <c r="Q71" s="73"/>
      <c r="R71" s="73"/>
      <c r="S71" s="73"/>
      <c r="T71" s="73"/>
      <c r="U71" s="73"/>
      <c r="V71" s="73"/>
      <c r="W71" s="73"/>
      <c r="X71" s="73"/>
      <c r="Y71" s="73"/>
      <c r="Z71" s="73"/>
    </row>
    <row r="72">
      <c r="A72" s="74" t="s">
        <v>220</v>
      </c>
      <c r="B72" s="77" t="s">
        <v>1827</v>
      </c>
      <c r="C72" s="73" t="str">
        <f>IFERROR(__xludf.DUMMYFUNCTION("""COMPUTED_VALUE"""),"U5G")</f>
        <v>U5G</v>
      </c>
      <c r="D72" s="73" t="str">
        <f>IFERROR(__xludf.DUMMYFUNCTION("""COMPUTED_VALUE"""),"NEW!  5G vehicle connectivity")</f>
        <v>NEW!  5G vehicle connectivity</v>
      </c>
      <c r="E72" s="73"/>
      <c r="F72" s="73"/>
      <c r="G72" s="73"/>
      <c r="H72" s="73"/>
      <c r="I72" s="73"/>
      <c r="J72" s="73"/>
      <c r="K72" s="73"/>
      <c r="L72" s="73"/>
      <c r="M72" s="73"/>
      <c r="N72" s="73"/>
      <c r="O72" s="73"/>
      <c r="P72" s="73"/>
      <c r="Q72" s="73"/>
      <c r="R72" s="73"/>
      <c r="S72" s="73"/>
      <c r="T72" s="73"/>
      <c r="U72" s="73"/>
      <c r="V72" s="73"/>
      <c r="W72" s="73"/>
      <c r="X72" s="73"/>
      <c r="Y72" s="73"/>
      <c r="Z72" s="73"/>
    </row>
    <row r="73">
      <c r="A73" s="74" t="s">
        <v>224</v>
      </c>
      <c r="B73" s="77" t="s">
        <v>1828</v>
      </c>
      <c r="C73" s="73" t="str">
        <f>IFERROR(__xludf.DUMMYFUNCTION("""COMPUTED_VALUE"""),"U80")</f>
        <v>U80</v>
      </c>
      <c r="D73" s="73" t="str">
        <f>IFERROR(__xludf.DUMMYFUNCTION("""COMPUTED_VALUE"""),"Compass, digital")</f>
        <v>Compass, digital</v>
      </c>
      <c r="E73" s="73"/>
      <c r="F73" s="73"/>
      <c r="G73" s="73"/>
      <c r="H73" s="73"/>
      <c r="I73" s="73"/>
      <c r="J73" s="73"/>
      <c r="K73" s="73"/>
      <c r="L73" s="73"/>
      <c r="M73" s="73"/>
      <c r="N73" s="73"/>
      <c r="O73" s="73"/>
      <c r="P73" s="73"/>
      <c r="Q73" s="73"/>
      <c r="R73" s="73"/>
      <c r="S73" s="73"/>
      <c r="T73" s="73"/>
      <c r="U73" s="73"/>
      <c r="V73" s="73"/>
      <c r="W73" s="73"/>
      <c r="X73" s="73"/>
      <c r="Y73" s="73"/>
      <c r="Z73" s="73"/>
    </row>
    <row r="74">
      <c r="A74" s="74" t="s">
        <v>228</v>
      </c>
      <c r="B74" s="77" t="s">
        <v>1829</v>
      </c>
      <c r="C74" s="73" t="str">
        <f>IFERROR(__xludf.DUMMYFUNCTION("""COMPUTED_VALUE"""),"UD7")</f>
        <v>UD7</v>
      </c>
      <c r="D74" s="73" t="str">
        <f>IFERROR(__xludf.DUMMYFUNCTION("""COMPUTED_VALUE"""),"Rear Park Assist")</f>
        <v>Rear Park Assist</v>
      </c>
      <c r="E74" s="73"/>
      <c r="F74" s="73"/>
      <c r="G74" s="73"/>
      <c r="H74" s="73"/>
      <c r="I74" s="73"/>
      <c r="J74" s="73"/>
      <c r="K74" s="73"/>
      <c r="L74" s="73"/>
      <c r="M74" s="73"/>
      <c r="N74" s="73"/>
      <c r="O74" s="73"/>
      <c r="P74" s="73"/>
      <c r="Q74" s="73"/>
      <c r="R74" s="73"/>
      <c r="S74" s="73"/>
      <c r="T74" s="73"/>
      <c r="U74" s="73"/>
      <c r="V74" s="73"/>
      <c r="W74" s="73"/>
      <c r="X74" s="73"/>
      <c r="Y74" s="73"/>
      <c r="Z74" s="73"/>
    </row>
    <row r="75">
      <c r="A75" s="74" t="s">
        <v>231</v>
      </c>
      <c r="B75" s="77" t="s">
        <v>1830</v>
      </c>
      <c r="C75" s="73" t="str">
        <f>IFERROR(__xludf.DUMMYFUNCTION("""COMPUTED_VALUE"""),"UE1")</f>
        <v>UE1</v>
      </c>
      <c r="D75" s="73" t="str">
        <f>IFERROR(__xludf.DUMMYFUNCTION("""COMPUTED_VALUE"""),"OnStar services capable")</f>
        <v>OnStar services capable</v>
      </c>
      <c r="E75" s="73"/>
      <c r="F75" s="73"/>
      <c r="G75" s="73"/>
      <c r="H75" s="73"/>
      <c r="I75" s="73"/>
      <c r="J75" s="73"/>
      <c r="K75" s="73"/>
      <c r="L75" s="73"/>
      <c r="M75" s="73"/>
      <c r="N75" s="73"/>
      <c r="O75" s="73"/>
      <c r="P75" s="73"/>
      <c r="Q75" s="73"/>
      <c r="R75" s="73"/>
      <c r="S75" s="73"/>
      <c r="T75" s="73"/>
      <c r="U75" s="73"/>
      <c r="V75" s="73"/>
      <c r="W75" s="73"/>
      <c r="X75" s="73"/>
      <c r="Y75" s="73"/>
      <c r="Z75" s="73"/>
    </row>
    <row r="76">
      <c r="A76" s="74" t="s">
        <v>235</v>
      </c>
      <c r="B76" s="77" t="s">
        <v>1831</v>
      </c>
      <c r="C76" s="73" t="str">
        <f>IFERROR(__xludf.DUMMYFUNCTION("""COMPUTED_VALUE"""),"UEU")</f>
        <v>UEU</v>
      </c>
      <c r="D76" s="73" t="str">
        <f>IFERROR(__xludf.DUMMYFUNCTION("""COMPUTED_VALUE"""),"Forward Collision Alert")</f>
        <v>Forward Collision Alert</v>
      </c>
      <c r="E76" s="73"/>
      <c r="F76" s="73"/>
      <c r="G76" s="73"/>
      <c r="H76" s="73"/>
      <c r="I76" s="73"/>
      <c r="J76" s="73"/>
      <c r="K76" s="73"/>
      <c r="L76" s="73"/>
      <c r="M76" s="73"/>
      <c r="N76" s="73"/>
      <c r="O76" s="73"/>
      <c r="P76" s="73"/>
      <c r="Q76" s="73"/>
      <c r="R76" s="73"/>
      <c r="S76" s="73"/>
      <c r="T76" s="73"/>
      <c r="U76" s="73"/>
      <c r="V76" s="73"/>
      <c r="W76" s="73"/>
      <c r="X76" s="73"/>
      <c r="Y76" s="73"/>
      <c r="Z76" s="73"/>
    </row>
    <row r="77">
      <c r="A77" s="74" t="s">
        <v>953</v>
      </c>
      <c r="B77" s="77" t="s">
        <v>1832</v>
      </c>
      <c r="C77" s="73" t="str">
        <f>IFERROR(__xludf.DUMMYFUNCTION("""COMPUTED_VALUE"""),"UFG")</f>
        <v>UFG</v>
      </c>
      <c r="D77" s="73" t="str">
        <f>IFERROR(__xludf.DUMMYFUNCTION("""COMPUTED_VALUE"""),"Rear Cross Traffic Alert")</f>
        <v>Rear Cross Traffic Alert</v>
      </c>
      <c r="E77" s="73"/>
      <c r="F77" s="73"/>
      <c r="G77" s="73"/>
      <c r="H77" s="73"/>
      <c r="I77" s="73"/>
      <c r="J77" s="73"/>
      <c r="K77" s="73"/>
      <c r="L77" s="73"/>
      <c r="M77" s="73"/>
      <c r="N77" s="73"/>
      <c r="O77" s="73"/>
      <c r="P77" s="73"/>
      <c r="Q77" s="73"/>
      <c r="R77" s="73"/>
      <c r="S77" s="73"/>
      <c r="T77" s="73"/>
      <c r="U77" s="73"/>
      <c r="V77" s="73"/>
      <c r="W77" s="73"/>
      <c r="X77" s="73"/>
      <c r="Y77" s="73"/>
      <c r="Z77" s="73"/>
    </row>
    <row r="78">
      <c r="A78" s="74" t="s">
        <v>12</v>
      </c>
      <c r="B78" s="77" t="s">
        <v>1833</v>
      </c>
      <c r="C78" s="73" t="str">
        <f>IFERROR(__xludf.DUMMYFUNCTION("""COMPUTED_VALUE"""),"UFT")</f>
        <v>UFT</v>
      </c>
      <c r="D78" s="73" t="str">
        <f>IFERROR(__xludf.DUMMYFUNCTION("""COMPUTED_VALUE"""),"Side Blind Zone Alert")</f>
        <v>Side Blind Zone Alert</v>
      </c>
      <c r="E78" s="73"/>
      <c r="F78" s="73"/>
      <c r="G78" s="73"/>
      <c r="H78" s="73"/>
      <c r="I78" s="73"/>
      <c r="J78" s="73"/>
      <c r="K78" s="73"/>
      <c r="L78" s="73"/>
      <c r="M78" s="73"/>
      <c r="N78" s="73"/>
      <c r="O78" s="73"/>
      <c r="P78" s="73"/>
      <c r="Q78" s="73"/>
      <c r="R78" s="73"/>
      <c r="S78" s="73"/>
      <c r="T78" s="73"/>
      <c r="U78" s="73"/>
      <c r="V78" s="73"/>
      <c r="W78" s="73"/>
      <c r="X78" s="73"/>
      <c r="Y78" s="73"/>
      <c r="Z78" s="73"/>
    </row>
    <row r="79">
      <c r="A79" s="74" t="s">
        <v>1834</v>
      </c>
      <c r="B79" s="77" t="s">
        <v>1835</v>
      </c>
      <c r="C79" s="73" t="str">
        <f>IFERROR(__xludf.DUMMYFUNCTION("""COMPUTED_VALUE"""),"UG1")</f>
        <v>UG1</v>
      </c>
      <c r="D79" s="73" t="str">
        <f>IFERROR(__xludf.DUMMYFUNCTION("""COMPUTED_VALUE"""),"Universal Home Remote")</f>
        <v>Universal Home Remote</v>
      </c>
      <c r="E79" s="73"/>
      <c r="F79" s="73"/>
      <c r="G79" s="73"/>
      <c r="H79" s="73"/>
      <c r="I79" s="73"/>
      <c r="J79" s="73"/>
      <c r="K79" s="73"/>
      <c r="L79" s="73"/>
      <c r="M79" s="73"/>
      <c r="N79" s="73"/>
      <c r="O79" s="73"/>
      <c r="P79" s="73"/>
      <c r="Q79" s="73"/>
      <c r="R79" s="73"/>
      <c r="S79" s="73"/>
      <c r="T79" s="73"/>
      <c r="U79" s="73"/>
      <c r="V79" s="73"/>
      <c r="W79" s="73"/>
      <c r="X79" s="73"/>
      <c r="Y79" s="73"/>
      <c r="Z79" s="73"/>
    </row>
    <row r="80">
      <c r="A80" s="74" t="s">
        <v>1836</v>
      </c>
      <c r="B80" s="77" t="s">
        <v>1837</v>
      </c>
      <c r="C80" s="73" t="str">
        <f>IFERROR(__xludf.DUMMYFUNCTION("""COMPUTED_VALUE"""),"UHX")</f>
        <v>UHX</v>
      </c>
      <c r="D80" s="73" t="str">
        <f>IFERROR(__xludf.DUMMYFUNCTION("""COMPUTED_VALUE"""),"Lane Keep Assist with Lane Departure Warning")</f>
        <v>Lane Keep Assist with Lane Departure Warning</v>
      </c>
      <c r="E80" s="73"/>
      <c r="F80" s="73"/>
      <c r="G80" s="73"/>
      <c r="H80" s="73"/>
      <c r="I80" s="73"/>
      <c r="J80" s="73"/>
      <c r="K80" s="73"/>
      <c r="L80" s="73"/>
      <c r="M80" s="73"/>
      <c r="N80" s="73"/>
      <c r="O80" s="73"/>
      <c r="P80" s="73"/>
      <c r="Q80" s="73"/>
      <c r="R80" s="73"/>
      <c r="S80" s="73"/>
      <c r="T80" s="73"/>
      <c r="U80" s="73"/>
      <c r="V80" s="73"/>
      <c r="W80" s="73"/>
      <c r="X80" s="73"/>
      <c r="Y80" s="73"/>
      <c r="Z80" s="73"/>
    </row>
    <row r="81">
      <c r="A81" s="74" t="s">
        <v>1081</v>
      </c>
      <c r="B81" s="77" t="s">
        <v>1838</v>
      </c>
      <c r="C81" s="73" t="str">
        <f>IFERROR(__xludf.DUMMYFUNCTION("""COMPUTED_VALUE"""),"UHY")</f>
        <v>UHY</v>
      </c>
      <c r="D81" s="73" t="str">
        <f>IFERROR(__xludf.DUMMYFUNCTION("""COMPUTED_VALUE"""),"Automatic Emergency Braking")</f>
        <v>Automatic Emergency Braking</v>
      </c>
      <c r="E81" s="73"/>
      <c r="F81" s="73"/>
      <c r="G81" s="73"/>
      <c r="H81" s="73"/>
      <c r="I81" s="73"/>
      <c r="J81" s="73"/>
      <c r="K81" s="73"/>
      <c r="L81" s="73"/>
      <c r="M81" s="73"/>
      <c r="N81" s="73"/>
      <c r="O81" s="73"/>
      <c r="P81" s="73"/>
      <c r="Q81" s="73"/>
      <c r="R81" s="73"/>
      <c r="S81" s="73"/>
      <c r="T81" s="73"/>
      <c r="U81" s="73"/>
      <c r="V81" s="73"/>
      <c r="W81" s="73"/>
      <c r="X81" s="73"/>
      <c r="Y81" s="73"/>
      <c r="Z81" s="73"/>
    </row>
    <row r="82">
      <c r="A82" s="74" t="s">
        <v>1839</v>
      </c>
      <c r="B82" s="77" t="s">
        <v>1840</v>
      </c>
      <c r="C82" s="73" t="str">
        <f>IFERROR(__xludf.DUMMYFUNCTION("""COMPUTED_VALUE"""),"UKT")</f>
        <v>UKT</v>
      </c>
      <c r="D82" s="73" t="str">
        <f>IFERROR(__xludf.DUMMYFUNCTION("""COMPUTED_VALUE"""),"Front Pedestrian and Bicyclist Braking")</f>
        <v>Front Pedestrian and Bicyclist Braking</v>
      </c>
      <c r="E82" s="73"/>
      <c r="F82" s="73"/>
      <c r="G82" s="73"/>
      <c r="H82" s="73"/>
      <c r="I82" s="73"/>
      <c r="J82" s="73"/>
      <c r="K82" s="73"/>
      <c r="L82" s="73"/>
      <c r="M82" s="73"/>
      <c r="N82" s="73"/>
      <c r="O82" s="73"/>
      <c r="P82" s="73"/>
      <c r="Q82" s="73"/>
      <c r="R82" s="73"/>
      <c r="S82" s="73"/>
      <c r="T82" s="73"/>
      <c r="U82" s="73"/>
      <c r="V82" s="73"/>
      <c r="W82" s="73"/>
      <c r="X82" s="73"/>
      <c r="Y82" s="73"/>
      <c r="Z82" s="73"/>
    </row>
    <row r="83">
      <c r="A83" s="74" t="s">
        <v>1089</v>
      </c>
      <c r="B83" s="77" t="s">
        <v>1841</v>
      </c>
      <c r="C83" s="73" t="str">
        <f>IFERROR(__xludf.DUMMYFUNCTION("""COMPUTED_VALUE"""),"UQH")</f>
        <v>UQH</v>
      </c>
      <c r="D83" s="73" t="str">
        <f>IFERROR(__xludf.DUMMYFUNCTION("""COMPUTED_VALUE"""),"Audio system feature, Bose Performance Series Sound System")</f>
        <v>Audio system feature, Bose Performance Series Sound System</v>
      </c>
      <c r="E83" s="73"/>
      <c r="F83" s="73"/>
      <c r="G83" s="73"/>
      <c r="H83" s="73"/>
      <c r="I83" s="73"/>
      <c r="J83" s="73"/>
      <c r="K83" s="73"/>
      <c r="L83" s="73"/>
      <c r="M83" s="73"/>
      <c r="N83" s="73"/>
      <c r="O83" s="73"/>
      <c r="P83" s="73"/>
      <c r="Q83" s="73"/>
      <c r="R83" s="73"/>
      <c r="S83" s="73"/>
      <c r="T83" s="73"/>
      <c r="U83" s="73"/>
      <c r="V83" s="73"/>
      <c r="W83" s="73"/>
      <c r="X83" s="73"/>
      <c r="Y83" s="73"/>
      <c r="Z83" s="73"/>
    </row>
    <row r="84">
      <c r="A84" s="74" t="s">
        <v>1091</v>
      </c>
      <c r="B84" s="77" t="s">
        <v>1842</v>
      </c>
      <c r="C84" s="73" t="str">
        <f>IFERROR(__xludf.DUMMYFUNCTION("""COMPUTED_VALUE"""),"UQS")</f>
        <v>UQS</v>
      </c>
      <c r="D84" s="73" t="str">
        <f>IFERROR(__xludf.DUMMYFUNCTION("""COMPUTED_VALUE"""),"Audio system feature, Bose Premium 10-speaker system")</f>
        <v>Audio system feature, Bose Premium 10-speaker system</v>
      </c>
      <c r="E84" s="73"/>
      <c r="F84" s="73"/>
      <c r="G84" s="73"/>
      <c r="H84" s="73"/>
      <c r="I84" s="73"/>
      <c r="J84" s="73"/>
      <c r="K84" s="73"/>
      <c r="L84" s="73"/>
      <c r="M84" s="73"/>
      <c r="N84" s="73"/>
      <c r="O84" s="73"/>
      <c r="P84" s="73"/>
      <c r="Q84" s="73"/>
      <c r="R84" s="73"/>
      <c r="S84" s="73"/>
      <c r="T84" s="73"/>
      <c r="U84" s="73"/>
      <c r="V84" s="73"/>
      <c r="W84" s="73"/>
      <c r="X84" s="73"/>
      <c r="Y84" s="73"/>
      <c r="Z84" s="73"/>
    </row>
    <row r="85">
      <c r="A85" s="74" t="s">
        <v>1843</v>
      </c>
      <c r="B85" s="77" t="s">
        <v>1844</v>
      </c>
      <c r="C85" s="73" t="str">
        <f>IFERROR(__xludf.DUMMYFUNCTION("""COMPUTED_VALUE"""),"UTJ")</f>
        <v>UTJ</v>
      </c>
      <c r="D85" s="73" t="str">
        <f>IFERROR(__xludf.DUMMYFUNCTION("""COMPUTED_VALUE"""),"Theft-deterrent system")</f>
        <v>Theft-deterrent system</v>
      </c>
      <c r="E85" s="73"/>
      <c r="F85" s="73"/>
      <c r="G85" s="73"/>
      <c r="H85" s="73"/>
      <c r="I85" s="73"/>
      <c r="J85" s="73"/>
      <c r="K85" s="73"/>
      <c r="L85" s="73"/>
      <c r="M85" s="73"/>
      <c r="N85" s="73"/>
      <c r="O85" s="73"/>
      <c r="P85" s="73"/>
      <c r="Q85" s="73"/>
      <c r="R85" s="73"/>
      <c r="S85" s="73"/>
      <c r="T85" s="73"/>
      <c r="U85" s="73"/>
      <c r="V85" s="73"/>
      <c r="W85" s="73"/>
      <c r="X85" s="73"/>
      <c r="Y85" s="73"/>
      <c r="Z85" s="73"/>
    </row>
    <row r="86">
      <c r="A86" s="74" t="s">
        <v>1397</v>
      </c>
      <c r="B86" s="77" t="s">
        <v>1845</v>
      </c>
      <c r="C86" s="73" t="str">
        <f>IFERROR(__xludf.DUMMYFUNCTION("""COMPUTED_VALUE"""),"UTU")</f>
        <v>UTU</v>
      </c>
      <c r="D86" s="73" t="str">
        <f>IFERROR(__xludf.DUMMYFUNCTION("""COMPUTED_VALUE"""),"Theft deterrent sensor, vehicle inclination")</f>
        <v>Theft deterrent sensor, vehicle inclination</v>
      </c>
      <c r="E86" s="73"/>
      <c r="F86" s="73"/>
      <c r="G86" s="73"/>
      <c r="H86" s="73"/>
      <c r="I86" s="73"/>
      <c r="J86" s="73"/>
      <c r="K86" s="73"/>
      <c r="L86" s="73"/>
      <c r="M86" s="73"/>
      <c r="N86" s="73"/>
      <c r="O86" s="73"/>
      <c r="P86" s="73"/>
      <c r="Q86" s="73"/>
      <c r="R86" s="73"/>
      <c r="S86" s="73"/>
      <c r="T86" s="73"/>
      <c r="U86" s="73"/>
      <c r="V86" s="73"/>
      <c r="W86" s="73"/>
      <c r="X86" s="73"/>
      <c r="Y86" s="73"/>
      <c r="Z86" s="73"/>
    </row>
    <row r="87">
      <c r="A87" s="74" t="s">
        <v>271</v>
      </c>
      <c r="B87" s="77" t="s">
        <v>1846</v>
      </c>
      <c r="C87" s="73" t="str">
        <f>IFERROR(__xludf.DUMMYFUNCTION("""COMPUTED_VALUE"""),"UTV")</f>
        <v>UTV</v>
      </c>
      <c r="D87" s="73" t="str">
        <f>IFERROR(__xludf.DUMMYFUNCTION("""COMPUTED_VALUE"""),"Theft deterrent sensor, vehicle interior movement")</f>
        <v>Theft deterrent sensor, vehicle interior movement</v>
      </c>
      <c r="E87" s="73"/>
      <c r="F87" s="73"/>
      <c r="G87" s="73"/>
      <c r="H87" s="73"/>
      <c r="I87" s="73"/>
      <c r="J87" s="73"/>
      <c r="K87" s="73"/>
      <c r="L87" s="73"/>
      <c r="M87" s="73"/>
      <c r="N87" s="73"/>
      <c r="O87" s="73"/>
      <c r="P87" s="73"/>
      <c r="Q87" s="73"/>
      <c r="R87" s="73"/>
      <c r="S87" s="73"/>
      <c r="T87" s="73"/>
      <c r="U87" s="73"/>
      <c r="V87" s="73"/>
      <c r="W87" s="73"/>
      <c r="X87" s="73"/>
      <c r="Y87" s="73"/>
      <c r="Z87" s="73"/>
    </row>
    <row r="88">
      <c r="A88" s="74" t="s">
        <v>1314</v>
      </c>
      <c r="B88" s="77" t="s">
        <v>1847</v>
      </c>
      <c r="C88" s="73" t="str">
        <f>IFERROR(__xludf.DUMMYFUNCTION("""COMPUTED_VALUE"""),"UV6")</f>
        <v>UV6</v>
      </c>
      <c r="D88" s="73" t="str">
        <f>IFERROR(__xludf.DUMMYFUNCTION("""COMPUTED_VALUE"""),"Head-Up Display")</f>
        <v>Head-Up Display</v>
      </c>
      <c r="E88" s="73"/>
      <c r="F88" s="73"/>
      <c r="G88" s="73"/>
      <c r="H88" s="73"/>
      <c r="I88" s="73"/>
      <c r="J88" s="73"/>
      <c r="K88" s="73"/>
      <c r="L88" s="73"/>
      <c r="M88" s="73"/>
      <c r="N88" s="73"/>
      <c r="O88" s="73"/>
      <c r="P88" s="73"/>
      <c r="Q88" s="73"/>
      <c r="R88" s="73"/>
      <c r="S88" s="73"/>
      <c r="T88" s="73"/>
      <c r="U88" s="73"/>
      <c r="V88" s="73"/>
      <c r="W88" s="73"/>
      <c r="X88" s="73"/>
      <c r="Y88" s="73"/>
      <c r="Z88" s="73"/>
    </row>
    <row r="89">
      <c r="A89" s="74" t="s">
        <v>1317</v>
      </c>
      <c r="B89" s="77" t="s">
        <v>1848</v>
      </c>
      <c r="C89" s="73" t="str">
        <f>IFERROR(__xludf.DUMMYFUNCTION("""COMPUTED_VALUE"""),"UVA")</f>
        <v>UVA</v>
      </c>
      <c r="D89" s="73" t="str">
        <f>IFERROR(__xludf.DUMMYFUNCTION("""COMPUTED_VALUE"""),"HD Front and Rear Vision Cameras")</f>
        <v>HD Front and Rear Vision Cameras</v>
      </c>
      <c r="E89" s="73"/>
      <c r="F89" s="73"/>
      <c r="G89" s="73"/>
      <c r="H89" s="73"/>
      <c r="I89" s="73"/>
      <c r="J89" s="73"/>
      <c r="K89" s="73"/>
      <c r="L89" s="73"/>
      <c r="M89" s="73"/>
      <c r="N89" s="73"/>
      <c r="O89" s="73"/>
      <c r="P89" s="73"/>
      <c r="Q89" s="73"/>
      <c r="R89" s="73"/>
      <c r="S89" s="73"/>
      <c r="T89" s="73"/>
      <c r="U89" s="73"/>
      <c r="V89" s="73"/>
      <c r="W89" s="73"/>
      <c r="X89" s="73"/>
      <c r="Y89" s="73"/>
      <c r="Z89" s="73"/>
    </row>
    <row r="90">
      <c r="A90" s="74" t="s">
        <v>13</v>
      </c>
      <c r="B90" s="77" t="s">
        <v>1849</v>
      </c>
      <c r="C90" s="73" t="str">
        <f>IFERROR(__xludf.DUMMYFUNCTION("""COMPUTED_VALUE"""),"UVB")</f>
        <v>UVB</v>
      </c>
      <c r="D90" s="73" t="str">
        <f>IFERROR(__xludf.DUMMYFUNCTION("""COMPUTED_VALUE"""),"HD Rear Vision Camera")</f>
        <v>HD Rear Vision Camera</v>
      </c>
      <c r="E90" s="73"/>
      <c r="F90" s="73"/>
      <c r="G90" s="73"/>
      <c r="H90" s="73"/>
      <c r="I90" s="73"/>
      <c r="J90" s="73"/>
      <c r="K90" s="73"/>
      <c r="L90" s="73"/>
      <c r="M90" s="73"/>
      <c r="N90" s="73"/>
      <c r="O90" s="73"/>
      <c r="P90" s="73"/>
      <c r="Q90" s="73"/>
      <c r="R90" s="73"/>
      <c r="S90" s="73"/>
      <c r="T90" s="73"/>
      <c r="U90" s="73"/>
      <c r="V90" s="73"/>
      <c r="W90" s="73"/>
      <c r="X90" s="73"/>
      <c r="Y90" s="73"/>
      <c r="Z90" s="73"/>
    </row>
    <row r="91">
      <c r="A91" s="74" t="s">
        <v>278</v>
      </c>
      <c r="B91" s="77" t="s">
        <v>1850</v>
      </c>
      <c r="C91" s="73" t="str">
        <f>IFERROR(__xludf.DUMMYFUNCTION("""COMPUTED_VALUE"""),"VHM")</f>
        <v>VHM</v>
      </c>
      <c r="D91" s="73" t="str">
        <f>IFERROR(__xludf.DUMMYFUNCTION("""COMPUTED_VALUE"""),"Vehicle health management")</f>
        <v>Vehicle health management</v>
      </c>
      <c r="E91" s="73"/>
      <c r="F91" s="73"/>
      <c r="G91" s="73"/>
      <c r="H91" s="73"/>
      <c r="I91" s="73"/>
      <c r="J91" s="73"/>
      <c r="K91" s="73"/>
      <c r="L91" s="73"/>
      <c r="M91" s="73"/>
      <c r="N91" s="73"/>
      <c r="O91" s="73"/>
      <c r="P91" s="73"/>
      <c r="Q91" s="73"/>
      <c r="R91" s="73"/>
      <c r="S91" s="73"/>
      <c r="T91" s="73"/>
      <c r="U91" s="73"/>
      <c r="V91" s="73"/>
      <c r="W91" s="73"/>
      <c r="X91" s="73"/>
      <c r="Y91" s="73"/>
      <c r="Z91" s="73"/>
    </row>
    <row r="92">
      <c r="A92" s="74" t="s">
        <v>1320</v>
      </c>
      <c r="B92" s="77" t="s">
        <v>1851</v>
      </c>
      <c r="C92" s="73" t="str">
        <f>IFERROR(__xludf.DUMMYFUNCTION("""COMPUTED_VALUE"""),"VV4")</f>
        <v>VV4</v>
      </c>
      <c r="D92" s="73" t="str">
        <f>IFERROR(__xludf.DUMMYFUNCTION("""COMPUTED_VALUE"""),"Wi-Fi Hotspot capable")</f>
        <v>Wi-Fi Hotspot capable</v>
      </c>
      <c r="E92" s="73"/>
      <c r="F92" s="73"/>
      <c r="G92" s="73"/>
      <c r="H92" s="73"/>
      <c r="I92" s="73"/>
      <c r="J92" s="73"/>
      <c r="K92" s="73"/>
      <c r="L92" s="73"/>
      <c r="M92" s="73"/>
      <c r="N92" s="73"/>
      <c r="O92" s="73"/>
      <c r="P92" s="73"/>
      <c r="Q92" s="73"/>
      <c r="R92" s="73"/>
      <c r="S92" s="73"/>
      <c r="T92" s="73"/>
      <c r="U92" s="73"/>
      <c r="V92" s="73"/>
      <c r="W92" s="73"/>
      <c r="X92" s="73"/>
      <c r="Y92" s="73"/>
      <c r="Z92" s="73"/>
    </row>
    <row r="93">
      <c r="A93" s="74" t="s">
        <v>280</v>
      </c>
      <c r="B93" s="77" t="s">
        <v>1852</v>
      </c>
      <c r="C93" s="73" t="str">
        <f>IFERROR(__xludf.DUMMYFUNCTION("""COMPUTED_VALUE"""),"XFR")</f>
        <v>XFR</v>
      </c>
      <c r="D93" s="73" t="str">
        <f>IFERROR(__xludf.DUMMYFUNCTION("""COMPUTED_VALUE"""),"Tires, 275/30ZR20 front and 345/25ZR21 rear, blackwall, high performance")</f>
        <v>Tires, 275/30ZR20 front and 345/25ZR21 rear, blackwall, high performance</v>
      </c>
      <c r="E93" s="73"/>
      <c r="F93" s="73"/>
      <c r="G93" s="73"/>
      <c r="H93" s="73"/>
      <c r="I93" s="73"/>
      <c r="J93" s="73"/>
      <c r="K93" s="73"/>
      <c r="L93" s="73"/>
      <c r="M93" s="73"/>
      <c r="N93" s="73"/>
      <c r="O93" s="73"/>
      <c r="P93" s="73"/>
      <c r="Q93" s="73"/>
      <c r="R93" s="73"/>
      <c r="S93" s="73"/>
      <c r="T93" s="73"/>
      <c r="U93" s="73"/>
      <c r="V93" s="73"/>
      <c r="W93" s="73"/>
      <c r="X93" s="73"/>
      <c r="Y93" s="73"/>
      <c r="Z93" s="73"/>
    </row>
    <row r="94">
      <c r="A94" s="74" t="s">
        <v>1101</v>
      </c>
      <c r="B94" s="77" t="s">
        <v>1853</v>
      </c>
      <c r="C94" s="73" t="str">
        <f>IFERROR(__xludf.DUMMYFUNCTION("""COMPUTED_VALUE"""),"XFS")</f>
        <v>XFS</v>
      </c>
      <c r="D94" s="73" t="str">
        <f>IFERROR(__xludf.DUMMYFUNCTION("""COMPUTED_VALUE"""),"Tires, 275/30ZR20 front and 345/25ZR21 rear, blackwall, Michelin Pilot Sport Cup 2 R ultra performance")</f>
        <v>Tires, 275/30ZR20 front and 345/25ZR21 rear, blackwall, Michelin Pilot Sport Cup 2 R ultra performance</v>
      </c>
      <c r="E94" s="73"/>
      <c r="F94" s="73"/>
      <c r="G94" s="73"/>
      <c r="H94" s="73"/>
      <c r="I94" s="73"/>
      <c r="J94" s="73"/>
      <c r="K94" s="73"/>
      <c r="L94" s="73"/>
      <c r="M94" s="73"/>
      <c r="N94" s="73"/>
      <c r="O94" s="73"/>
      <c r="P94" s="73"/>
      <c r="Q94" s="73"/>
      <c r="R94" s="73"/>
      <c r="S94" s="73"/>
      <c r="T94" s="73"/>
      <c r="U94" s="73"/>
      <c r="V94" s="73"/>
      <c r="W94" s="73"/>
      <c r="X94" s="73"/>
      <c r="Y94" s="73"/>
      <c r="Z94" s="73"/>
    </row>
    <row r="95">
      <c r="A95" s="74" t="s">
        <v>1103</v>
      </c>
      <c r="B95" s="77" t="s">
        <v>1854</v>
      </c>
      <c r="C95" s="73" t="str">
        <f>IFERROR(__xludf.DUMMYFUNCTION("""COMPUTED_VALUE"""),"YF5")</f>
        <v>YF5</v>
      </c>
      <c r="D95" s="73" t="str">
        <f>IFERROR(__xludf.DUMMYFUNCTION("""COMPUTED_VALUE"""),"Emissions, California state requirements")</f>
        <v>Emissions, California state requirements</v>
      </c>
      <c r="E95" s="73"/>
      <c r="F95" s="73"/>
      <c r="G95" s="73"/>
      <c r="H95" s="73"/>
      <c r="I95" s="73"/>
      <c r="J95" s="73"/>
      <c r="K95" s="73"/>
      <c r="L95" s="73"/>
      <c r="M95" s="73"/>
      <c r="N95" s="73"/>
      <c r="O95" s="73"/>
      <c r="P95" s="73"/>
      <c r="Q95" s="73"/>
      <c r="R95" s="73"/>
      <c r="S95" s="73"/>
      <c r="T95" s="73"/>
      <c r="U95" s="73"/>
      <c r="V95" s="73"/>
      <c r="W95" s="73"/>
      <c r="X95" s="73"/>
      <c r="Y95" s="73"/>
      <c r="Z95" s="73"/>
    </row>
    <row r="96">
      <c r="A96" s="74" t="s">
        <v>1105</v>
      </c>
      <c r="B96" s="77" t="s">
        <v>1855</v>
      </c>
      <c r="C96" s="73"/>
      <c r="D96" s="73"/>
      <c r="E96" s="73"/>
      <c r="F96" s="73"/>
      <c r="G96" s="73"/>
      <c r="H96" s="73"/>
      <c r="I96" s="73"/>
      <c r="J96" s="73"/>
      <c r="K96" s="73"/>
      <c r="L96" s="73"/>
      <c r="M96" s="73"/>
      <c r="N96" s="73"/>
      <c r="O96" s="73"/>
      <c r="P96" s="73"/>
      <c r="Q96" s="73"/>
      <c r="R96" s="73"/>
      <c r="S96" s="73"/>
      <c r="T96" s="73"/>
      <c r="U96" s="73"/>
      <c r="V96" s="73"/>
      <c r="W96" s="73"/>
      <c r="X96" s="73"/>
      <c r="Y96" s="73"/>
      <c r="Z96" s="73"/>
    </row>
    <row r="97">
      <c r="A97" s="74" t="s">
        <v>1107</v>
      </c>
      <c r="B97" s="77" t="s">
        <v>1856</v>
      </c>
      <c r="C97" s="73"/>
      <c r="D97" s="73"/>
      <c r="E97" s="73"/>
      <c r="F97" s="73"/>
      <c r="G97" s="73"/>
      <c r="H97" s="73"/>
      <c r="I97" s="73"/>
      <c r="J97" s="73"/>
      <c r="K97" s="73"/>
      <c r="L97" s="73"/>
      <c r="M97" s="73"/>
      <c r="N97" s="73"/>
      <c r="O97" s="73"/>
      <c r="P97" s="73"/>
      <c r="Q97" s="73"/>
      <c r="R97" s="73"/>
      <c r="S97" s="73"/>
      <c r="T97" s="73"/>
      <c r="U97" s="73"/>
      <c r="V97" s="73"/>
      <c r="W97" s="73"/>
      <c r="X97" s="73"/>
      <c r="Y97" s="73"/>
      <c r="Z97" s="73"/>
    </row>
    <row r="98">
      <c r="A98" s="74" t="s">
        <v>1857</v>
      </c>
      <c r="B98" s="77" t="s">
        <v>1858</v>
      </c>
      <c r="C98" s="73"/>
      <c r="D98" s="73"/>
      <c r="E98" s="73"/>
      <c r="F98" s="73"/>
      <c r="G98" s="73"/>
      <c r="H98" s="73"/>
      <c r="I98" s="73"/>
      <c r="J98" s="73"/>
      <c r="K98" s="73"/>
      <c r="L98" s="73"/>
      <c r="M98" s="73"/>
      <c r="N98" s="73"/>
      <c r="O98" s="73"/>
      <c r="P98" s="73"/>
      <c r="Q98" s="73"/>
      <c r="R98" s="73"/>
      <c r="S98" s="73"/>
      <c r="T98" s="73"/>
      <c r="U98" s="73"/>
      <c r="V98" s="73"/>
      <c r="W98" s="73"/>
      <c r="X98" s="73"/>
      <c r="Y98" s="73"/>
      <c r="Z98" s="73"/>
    </row>
    <row r="99">
      <c r="A99" s="74" t="s">
        <v>1859</v>
      </c>
      <c r="B99" s="77" t="s">
        <v>1860</v>
      </c>
      <c r="C99" s="73"/>
      <c r="D99" s="73"/>
      <c r="E99" s="73"/>
      <c r="F99" s="73"/>
      <c r="G99" s="73"/>
      <c r="H99" s="73"/>
      <c r="I99" s="73"/>
      <c r="J99" s="73"/>
      <c r="K99" s="73"/>
      <c r="L99" s="73"/>
      <c r="M99" s="73"/>
      <c r="N99" s="73"/>
      <c r="O99" s="73"/>
      <c r="P99" s="73"/>
      <c r="Q99" s="73"/>
      <c r="R99" s="73"/>
      <c r="S99" s="73"/>
      <c r="T99" s="73"/>
      <c r="U99" s="73"/>
      <c r="V99" s="73"/>
      <c r="W99" s="73"/>
      <c r="X99" s="73"/>
      <c r="Y99" s="73"/>
      <c r="Z99" s="73"/>
    </row>
    <row r="100">
      <c r="A100" s="74" t="s">
        <v>728</v>
      </c>
      <c r="B100" s="77" t="s">
        <v>1861</v>
      </c>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4" t="s">
        <v>1479</v>
      </c>
      <c r="B101" s="77" t="s">
        <v>1862</v>
      </c>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4" t="s">
        <v>1114</v>
      </c>
      <c r="B102" s="77" t="s">
        <v>1863</v>
      </c>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4" t="s">
        <v>1635</v>
      </c>
      <c r="B103" s="77" t="s">
        <v>1864</v>
      </c>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4" t="s">
        <v>1116</v>
      </c>
      <c r="B104" s="77" t="s">
        <v>1865</v>
      </c>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4" t="s">
        <v>1118</v>
      </c>
      <c r="B105" s="77" t="s">
        <v>1866</v>
      </c>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4" t="s">
        <v>1120</v>
      </c>
      <c r="B106" s="77" t="s">
        <v>1867</v>
      </c>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4" t="s">
        <v>1122</v>
      </c>
      <c r="B107" s="77" t="s">
        <v>1868</v>
      </c>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4" t="s">
        <v>6</v>
      </c>
      <c r="B108" s="77" t="s">
        <v>1869</v>
      </c>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4" t="s">
        <v>1125</v>
      </c>
      <c r="B109" s="77" t="s">
        <v>1870</v>
      </c>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4" t="s">
        <v>286</v>
      </c>
      <c r="B110" s="77" t="s">
        <v>1871</v>
      </c>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4" t="s">
        <v>1128</v>
      </c>
      <c r="B111" s="77" t="s">
        <v>1872</v>
      </c>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4" t="s">
        <v>1130</v>
      </c>
      <c r="B112" s="77" t="s">
        <v>1873</v>
      </c>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4" t="s">
        <v>1132</v>
      </c>
      <c r="B113" s="77" t="s">
        <v>1874</v>
      </c>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4" t="s">
        <v>1134</v>
      </c>
      <c r="B114" s="77" t="s">
        <v>1875</v>
      </c>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4" t="s">
        <v>1136</v>
      </c>
      <c r="B115" s="77" t="s">
        <v>1876</v>
      </c>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4" t="s">
        <v>1138</v>
      </c>
      <c r="B116" s="77" t="s">
        <v>1877</v>
      </c>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4" t="s">
        <v>1140</v>
      </c>
      <c r="B117" s="77" t="s">
        <v>1878</v>
      </c>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4" t="s">
        <v>1142</v>
      </c>
      <c r="B118" s="77" t="s">
        <v>1879</v>
      </c>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4" t="s">
        <v>1144</v>
      </c>
      <c r="B119" s="77" t="s">
        <v>1880</v>
      </c>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4" t="s">
        <v>1146</v>
      </c>
      <c r="B120" s="77" t="s">
        <v>1881</v>
      </c>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4" t="s">
        <v>1148</v>
      </c>
      <c r="B121" s="77" t="s">
        <v>1882</v>
      </c>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4" t="s">
        <v>1150</v>
      </c>
      <c r="B122" s="77" t="s">
        <v>1883</v>
      </c>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4" t="s">
        <v>1400</v>
      </c>
      <c r="B123" s="77" t="s">
        <v>1884</v>
      </c>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4" t="s">
        <v>1340</v>
      </c>
      <c r="B124" s="77" t="s">
        <v>1885</v>
      </c>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4" t="s">
        <v>302</v>
      </c>
      <c r="B125" s="77" t="s">
        <v>1886</v>
      </c>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4" t="s">
        <v>7</v>
      </c>
      <c r="B126" s="77" t="s">
        <v>1887</v>
      </c>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4" t="s">
        <v>307</v>
      </c>
      <c r="B127" s="77" t="s">
        <v>1888</v>
      </c>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4" t="s">
        <v>1158</v>
      </c>
      <c r="B128" s="77" t="s">
        <v>1889</v>
      </c>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4" t="s">
        <v>1160</v>
      </c>
      <c r="B129" s="77" t="s">
        <v>1890</v>
      </c>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4" t="s">
        <v>1162</v>
      </c>
      <c r="B130" s="77" t="s">
        <v>1891</v>
      </c>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4" t="s">
        <v>1164</v>
      </c>
      <c r="B131" s="77" t="s">
        <v>1892</v>
      </c>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4" t="s">
        <v>1166</v>
      </c>
      <c r="B132" s="77" t="s">
        <v>1893</v>
      </c>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4" t="s">
        <v>1177</v>
      </c>
      <c r="B133" s="77" t="s">
        <v>1894</v>
      </c>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4" t="s">
        <v>1179</v>
      </c>
      <c r="B134" s="77" t="s">
        <v>1895</v>
      </c>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4" t="s">
        <v>327</v>
      </c>
      <c r="B135" s="77" t="s">
        <v>1896</v>
      </c>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4" t="s">
        <v>331</v>
      </c>
      <c r="B136" s="77" t="s">
        <v>1897</v>
      </c>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4" t="s">
        <v>24</v>
      </c>
      <c r="B137" s="77" t="s">
        <v>1898</v>
      </c>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4" t="s">
        <v>1183</v>
      </c>
      <c r="B138" s="77" t="s">
        <v>1899</v>
      </c>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4" t="s">
        <v>1185</v>
      </c>
      <c r="B139" s="77" t="s">
        <v>1900</v>
      </c>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4" t="s">
        <v>1187</v>
      </c>
      <c r="B140" s="77" t="s">
        <v>1901</v>
      </c>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4" t="s">
        <v>1189</v>
      </c>
      <c r="B141" s="77" t="s">
        <v>1902</v>
      </c>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4" t="s">
        <v>1191</v>
      </c>
      <c r="B142" s="77" t="s">
        <v>1903</v>
      </c>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4" t="s">
        <v>1193</v>
      </c>
      <c r="B143" s="77" t="s">
        <v>1904</v>
      </c>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4" t="s">
        <v>1195</v>
      </c>
      <c r="B144" s="77" t="s">
        <v>1905</v>
      </c>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4" t="s">
        <v>1197</v>
      </c>
      <c r="B145" s="77" t="s">
        <v>1906</v>
      </c>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4" t="s">
        <v>1199</v>
      </c>
      <c r="B146" s="77" t="s">
        <v>1907</v>
      </c>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4" t="s">
        <v>334</v>
      </c>
      <c r="B147" s="77" t="s">
        <v>1908</v>
      </c>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4" t="s">
        <v>337</v>
      </c>
      <c r="B148" s="77" t="s">
        <v>1909</v>
      </c>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4" t="s">
        <v>340</v>
      </c>
      <c r="B149" s="77" t="s">
        <v>1910</v>
      </c>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4" t="s">
        <v>1372</v>
      </c>
      <c r="B150" s="77" t="s">
        <v>1911</v>
      </c>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4" t="s">
        <v>1376</v>
      </c>
      <c r="B151" s="77" t="s">
        <v>1912</v>
      </c>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4" t="s">
        <v>346</v>
      </c>
      <c r="B152" s="77" t="s">
        <v>1913</v>
      </c>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4" t="s">
        <v>348</v>
      </c>
      <c r="B153" s="77" t="s">
        <v>1914</v>
      </c>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4" t="s">
        <v>350</v>
      </c>
      <c r="B154" s="77" t="s">
        <v>1915</v>
      </c>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4" t="s">
        <v>1406</v>
      </c>
      <c r="B155" s="77" t="s">
        <v>1916</v>
      </c>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4" t="s">
        <v>356</v>
      </c>
      <c r="B156" s="77" t="s">
        <v>1917</v>
      </c>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4" t="s">
        <v>359</v>
      </c>
      <c r="B157" s="77" t="s">
        <v>1918</v>
      </c>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4" t="s">
        <v>365</v>
      </c>
      <c r="B158" s="77" t="s">
        <v>1919</v>
      </c>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4" t="s">
        <v>367</v>
      </c>
      <c r="B159" s="77" t="s">
        <v>1920</v>
      </c>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4" t="s">
        <v>370</v>
      </c>
      <c r="B160" s="77" t="s">
        <v>1921</v>
      </c>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4" t="s">
        <v>8</v>
      </c>
      <c r="B161" s="77" t="s">
        <v>1922</v>
      </c>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4" t="s">
        <v>375</v>
      </c>
      <c r="B162" s="77" t="s">
        <v>1923</v>
      </c>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4" t="s">
        <v>379</v>
      </c>
      <c r="B163" s="77" t="s">
        <v>1924</v>
      </c>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4" t="s">
        <v>381</v>
      </c>
      <c r="B164" s="77" t="s">
        <v>1925</v>
      </c>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4" t="s">
        <v>383</v>
      </c>
      <c r="B165" s="77" t="s">
        <v>1926</v>
      </c>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4" t="s">
        <v>1411</v>
      </c>
      <c r="B166" s="77" t="s">
        <v>1927</v>
      </c>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4" t="s">
        <v>388</v>
      </c>
      <c r="B167" s="77" t="s">
        <v>1928</v>
      </c>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4" t="s">
        <v>1334</v>
      </c>
      <c r="B168" s="77" t="s">
        <v>1929</v>
      </c>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4" t="s">
        <v>394</v>
      </c>
      <c r="B169" s="77" t="s">
        <v>1930</v>
      </c>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4" t="s">
        <v>397</v>
      </c>
      <c r="B170" s="77" t="s">
        <v>1931</v>
      </c>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4" t="s">
        <v>400</v>
      </c>
      <c r="B171" s="77" t="s">
        <v>1932</v>
      </c>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4" t="s">
        <v>403</v>
      </c>
      <c r="B172" s="77" t="s">
        <v>1933</v>
      </c>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4" t="s">
        <v>1360</v>
      </c>
      <c r="B173" s="77" t="s">
        <v>1934</v>
      </c>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4" t="s">
        <v>1413</v>
      </c>
      <c r="B174" s="77" t="s">
        <v>1935</v>
      </c>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4" t="s">
        <v>1415</v>
      </c>
      <c r="B175" s="77" t="s">
        <v>1936</v>
      </c>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4" t="s">
        <v>15</v>
      </c>
      <c r="B176" s="77" t="s">
        <v>1937</v>
      </c>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4" t="s">
        <v>410</v>
      </c>
      <c r="B177" s="77" t="s">
        <v>1938</v>
      </c>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4" t="s">
        <v>1417</v>
      </c>
      <c r="B178" s="77" t="s">
        <v>1939</v>
      </c>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4" t="s">
        <v>1420</v>
      </c>
      <c r="B179" s="77" t="s">
        <v>1940</v>
      </c>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4" t="s">
        <v>1422</v>
      </c>
      <c r="B180" s="77" t="s">
        <v>1941</v>
      </c>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4" t="s">
        <v>1424</v>
      </c>
      <c r="B181" s="77" t="s">
        <v>1942</v>
      </c>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4" t="s">
        <v>1382</v>
      </c>
      <c r="B182" s="77" t="s">
        <v>1943</v>
      </c>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4" t="s">
        <v>416</v>
      </c>
      <c r="B183" s="77" t="s">
        <v>1944</v>
      </c>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4" t="s">
        <v>418</v>
      </c>
      <c r="B184" s="77" t="s">
        <v>1945</v>
      </c>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4" t="s">
        <v>420</v>
      </c>
      <c r="B185" s="77" t="s">
        <v>1946</v>
      </c>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4" t="s">
        <v>1355</v>
      </c>
      <c r="B186" s="77" t="s">
        <v>1947</v>
      </c>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4" t="s">
        <v>1426</v>
      </c>
      <c r="B187" s="77" t="s">
        <v>1948</v>
      </c>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4" t="s">
        <v>1429</v>
      </c>
      <c r="B188" s="77" t="s">
        <v>1949</v>
      </c>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4" t="s">
        <v>1236</v>
      </c>
      <c r="B189" s="77" t="s">
        <v>1950</v>
      </c>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4" t="s">
        <v>1238</v>
      </c>
      <c r="B190" s="77" t="s">
        <v>1951</v>
      </c>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4" t="s">
        <v>1240</v>
      </c>
      <c r="B191" s="77" t="s">
        <v>1952</v>
      </c>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4" t="s">
        <v>1242</v>
      </c>
      <c r="B192" s="77" t="s">
        <v>1953</v>
      </c>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4" t="s">
        <v>767</v>
      </c>
      <c r="B193" s="77" t="s">
        <v>1954</v>
      </c>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4" t="s">
        <v>1246</v>
      </c>
      <c r="B194" s="77" t="s">
        <v>1955</v>
      </c>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4" t="s">
        <v>1248</v>
      </c>
      <c r="B195" s="77" t="s">
        <v>1956</v>
      </c>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4" t="s">
        <v>1250</v>
      </c>
      <c r="B196" s="77" t="s">
        <v>1957</v>
      </c>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4" t="s">
        <v>1252</v>
      </c>
      <c r="B197" s="77" t="s">
        <v>1958</v>
      </c>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4" t="s">
        <v>1254</v>
      </c>
      <c r="B198" s="77" t="s">
        <v>1959</v>
      </c>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4" t="s">
        <v>1256</v>
      </c>
      <c r="B199" s="77" t="s">
        <v>1960</v>
      </c>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4" t="s">
        <v>1258</v>
      </c>
      <c r="B200" s="77" t="s">
        <v>1961</v>
      </c>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4" t="s">
        <v>1260</v>
      </c>
      <c r="B201" s="77" t="s">
        <v>1962</v>
      </c>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4" t="s">
        <v>1262</v>
      </c>
      <c r="B202" s="77" t="s">
        <v>1963</v>
      </c>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4" t="s">
        <v>1264</v>
      </c>
      <c r="B203" s="77" t="s">
        <v>1964</v>
      </c>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4" t="s">
        <v>1266</v>
      </c>
      <c r="B204" s="77" t="s">
        <v>1965</v>
      </c>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4" t="s">
        <v>1268</v>
      </c>
      <c r="B205" s="77" t="s">
        <v>1966</v>
      </c>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4" t="s">
        <v>1270</v>
      </c>
      <c r="B206" s="77" t="s">
        <v>1967</v>
      </c>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4" t="s">
        <v>1272</v>
      </c>
      <c r="B207" s="77" t="s">
        <v>1968</v>
      </c>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4" t="s">
        <v>960</v>
      </c>
      <c r="B208" s="77" t="s">
        <v>1969</v>
      </c>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4" t="s">
        <v>1275</v>
      </c>
      <c r="B209" s="77" t="s">
        <v>1970</v>
      </c>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4" t="s">
        <v>1277</v>
      </c>
      <c r="B210" s="77" t="s">
        <v>1971</v>
      </c>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4" t="s">
        <v>1279</v>
      </c>
      <c r="B211" s="77" t="s">
        <v>1972</v>
      </c>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4" t="s">
        <v>1281</v>
      </c>
      <c r="B212" s="77" t="s">
        <v>1973</v>
      </c>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4" t="s">
        <v>1283</v>
      </c>
      <c r="B213" s="77" t="s">
        <v>1974</v>
      </c>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4" t="s">
        <v>1285</v>
      </c>
      <c r="B214" s="77" t="s">
        <v>1975</v>
      </c>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4" t="s">
        <v>429</v>
      </c>
      <c r="B215" s="77" t="s">
        <v>1976</v>
      </c>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4" t="s">
        <v>1290</v>
      </c>
      <c r="B216" s="77" t="s">
        <v>1977</v>
      </c>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4" t="s">
        <v>432</v>
      </c>
      <c r="B217" s="77" t="s">
        <v>1978</v>
      </c>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4" t="s">
        <v>1362</v>
      </c>
      <c r="B218" s="77" t="s">
        <v>1979</v>
      </c>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4" t="s">
        <v>1364</v>
      </c>
      <c r="B219" s="77" t="s">
        <v>1980</v>
      </c>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4" t="s">
        <v>437</v>
      </c>
      <c r="B220" s="77" t="s">
        <v>1981</v>
      </c>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4" t="s">
        <v>439</v>
      </c>
      <c r="B221" s="77" t="s">
        <v>1982</v>
      </c>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4" t="s">
        <v>1296</v>
      </c>
      <c r="B222" s="77" t="s">
        <v>1983</v>
      </c>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86" t="s">
        <v>1339</v>
      </c>
      <c r="B223" s="77" t="s">
        <v>1984</v>
      </c>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4" t="s">
        <v>446</v>
      </c>
      <c r="B224" s="77" t="s">
        <v>1985</v>
      </c>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4" t="s">
        <v>449</v>
      </c>
      <c r="B225" s="77" t="s">
        <v>1986</v>
      </c>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4" t="s">
        <v>455</v>
      </c>
      <c r="B226" s="77" t="s">
        <v>1987</v>
      </c>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4" t="s">
        <v>1432</v>
      </c>
      <c r="B227" s="77" t="s">
        <v>1988</v>
      </c>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4" t="s">
        <v>1749</v>
      </c>
      <c r="B228" s="77" t="s">
        <v>1989</v>
      </c>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4" t="s">
        <v>1990</v>
      </c>
      <c r="B229" s="77" t="s">
        <v>1991</v>
      </c>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4" t="s">
        <v>1306</v>
      </c>
      <c r="B230" s="77" t="s">
        <v>1992</v>
      </c>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4" t="s">
        <v>1434</v>
      </c>
      <c r="B231" s="77" t="s">
        <v>1993</v>
      </c>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4" t="s">
        <v>14</v>
      </c>
      <c r="B232" s="77" t="s">
        <v>1994</v>
      </c>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4" t="s">
        <v>465</v>
      </c>
      <c r="B233" s="77" t="s">
        <v>1995</v>
      </c>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4"/>
      <c r="B234" s="77"/>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sheetData>
  <printOptions/>
  <pageMargins bottom="0.5" footer="0.0" header="0.0" left="0.75" right="0.75"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3.57"/>
    <col customWidth="1" min="2" max="3" width="8.29"/>
    <col customWidth="1" min="4" max="4" width="8.14"/>
    <col customWidth="1" min="5" max="5" width="9.57"/>
    <col customWidth="1" min="6" max="6" width="11.71"/>
    <col customWidth="1" min="7" max="7" width="12.14"/>
    <col customWidth="1" min="8" max="8" width="71.86"/>
    <col customWidth="1" min="9" max="9" width="68.29"/>
    <col customWidth="1" min="10" max="10" width="11.71"/>
    <col customWidth="1" min="11" max="11" width="22.57"/>
    <col customWidth="1" min="12" max="12" width="8.86"/>
  </cols>
  <sheetData>
    <row r="1">
      <c r="A1" s="55" t="s">
        <v>72</v>
      </c>
      <c r="B1" s="56" t="s">
        <v>713</v>
      </c>
      <c r="C1" s="56" t="s">
        <v>714</v>
      </c>
      <c r="D1" s="56" t="s">
        <v>1</v>
      </c>
      <c r="E1" s="56" t="s">
        <v>715</v>
      </c>
      <c r="F1" s="57" t="s">
        <v>716</v>
      </c>
      <c r="G1" s="56" t="s">
        <v>717</v>
      </c>
      <c r="H1" s="55" t="s">
        <v>68</v>
      </c>
      <c r="I1" s="55" t="s">
        <v>69</v>
      </c>
      <c r="J1" s="58" t="s">
        <v>71</v>
      </c>
      <c r="K1" s="59" t="s">
        <v>718</v>
      </c>
      <c r="L1" s="58" t="s">
        <v>2</v>
      </c>
    </row>
    <row r="2">
      <c r="A2" s="60" t="s">
        <v>1471</v>
      </c>
      <c r="B2" s="61" t="s">
        <v>1472</v>
      </c>
      <c r="C2" s="61" t="s">
        <v>721</v>
      </c>
      <c r="D2" s="61" t="s">
        <v>722</v>
      </c>
      <c r="E2" s="61"/>
      <c r="F2" s="61"/>
      <c r="G2" s="61"/>
      <c r="H2" s="62" t="s">
        <v>723</v>
      </c>
      <c r="I2" s="63" t="s">
        <v>724</v>
      </c>
      <c r="J2" s="65" t="s">
        <v>725</v>
      </c>
      <c r="K2" s="66" t="str">
        <f t="shared" ref="K2:K109" si="1">textjoin(" ",true,B2,C2,D2,F2,E2,G2)</f>
        <v>1LZ AQ9 HTA</v>
      </c>
      <c r="L2" s="64">
        <f>SUM(
  SUMIFS(
    PriceRef!$D$2:$D109,
    PriceRef!$A$2:$A109, "Seat",
    PriceRef!$B$2:$B109, $B2,
    PriceRef!$C$2:$C109, $C2
  ),
  SUMIFS(
    PriceRef!$D$2:$D109,
    PriceRef!$A$2:$A109, "Stitching",
    PriceRef!$C$2:$C109, $F2
  ),
  SUMIFS(
    PriceRef!$D$2:$D109,
    PriceRef!$A$2:$A109, "Suede",
    PriceRef!$C$2:$C109, $E2
  ),
  SUMIFS(
    PriceRef!$D$2:$D109,
    PriceRef!$A$2:$A109, "TwoTone",
    PriceRef!$C$2:$C109, $G2
  )
)</f>
        <v>0</v>
      </c>
    </row>
    <row r="3">
      <c r="A3" s="60" t="s">
        <v>1471</v>
      </c>
      <c r="B3" s="61" t="s">
        <v>1472</v>
      </c>
      <c r="C3" s="61" t="s">
        <v>726</v>
      </c>
      <c r="D3" s="61" t="s">
        <v>727</v>
      </c>
      <c r="E3" s="61" t="s">
        <v>728</v>
      </c>
      <c r="F3" s="61"/>
      <c r="G3" s="61"/>
      <c r="H3" s="62" t="s">
        <v>729</v>
      </c>
      <c r="I3" s="63" t="s">
        <v>730</v>
      </c>
      <c r="J3" s="65" t="s">
        <v>725</v>
      </c>
      <c r="K3" s="66" t="str">
        <f t="shared" si="1"/>
        <v>1LZ AE4 HTJ N26</v>
      </c>
      <c r="L3" s="64">
        <f>SUM(
  SUMIFS(
    PriceRef!$D$2:$D109,
    PriceRef!$A$2:$A109, "Seat",
    PriceRef!$B$2:$B109, $B3,
    PriceRef!$C$2:$C109, $C3
  ),
  SUMIFS(
    PriceRef!$D$2:$D109,
    PriceRef!$A$2:$A109, "Stitching",
    PriceRef!$C$2:$C109, $F3
  ),
  SUMIFS(
    PriceRef!$D$2:$D109,
    PriceRef!$A$2:$A109, "Suede",
    PriceRef!$C$2:$C109, $E3
  ),
  SUMIFS(
    PriceRef!$D$2:$D109,
    PriceRef!$A$2:$A109, "TwoTone",
    PriceRef!$C$2:$C109, $G3
  )
)</f>
        <v>1690</v>
      </c>
    </row>
    <row r="4">
      <c r="A4" s="60" t="s">
        <v>1471</v>
      </c>
      <c r="B4" s="61" t="s">
        <v>1472</v>
      </c>
      <c r="C4" s="61" t="s">
        <v>721</v>
      </c>
      <c r="D4" s="61" t="s">
        <v>731</v>
      </c>
      <c r="E4" s="61"/>
      <c r="F4" s="61"/>
      <c r="G4" s="61"/>
      <c r="H4" s="62" t="s">
        <v>732</v>
      </c>
      <c r="I4" s="63" t="s">
        <v>733</v>
      </c>
      <c r="J4" s="65" t="s">
        <v>725</v>
      </c>
      <c r="K4" s="66" t="str">
        <f t="shared" si="1"/>
        <v>1LZ AQ9 HUP</v>
      </c>
      <c r="L4" s="64">
        <f>SUM(
  SUMIFS(
    PriceRef!$D$2:$D109,
    PriceRef!$A$2:$A109, "Seat",
    PriceRef!$B$2:$B109, $B4,
    PriceRef!$C$2:$C109, $C4
  ),
  SUMIFS(
    PriceRef!$D$2:$D109,
    PriceRef!$A$2:$A109, "Stitching",
    PriceRef!$C$2:$C109, $F4
  ),
  SUMIFS(
    PriceRef!$D$2:$D109,
    PriceRef!$A$2:$A109, "Suede",
    PriceRef!$C$2:$C109, $E4
  ),
  SUMIFS(
    PriceRef!$D$2:$D109,
    PriceRef!$A$2:$A109, "TwoTone",
    PriceRef!$C$2:$C109, $G4
  )
)</f>
        <v>0</v>
      </c>
    </row>
    <row r="5">
      <c r="A5" s="60" t="s">
        <v>1471</v>
      </c>
      <c r="B5" s="61" t="s">
        <v>1472</v>
      </c>
      <c r="C5" s="61" t="s">
        <v>721</v>
      </c>
      <c r="D5" s="61" t="s">
        <v>734</v>
      </c>
      <c r="E5" s="61"/>
      <c r="F5" s="61"/>
      <c r="G5" s="61"/>
      <c r="H5" s="62" t="s">
        <v>735</v>
      </c>
      <c r="I5" s="63" t="s">
        <v>733</v>
      </c>
      <c r="J5" s="65" t="s">
        <v>725</v>
      </c>
      <c r="K5" s="66" t="str">
        <f t="shared" si="1"/>
        <v>1LZ AQ9 HUQ</v>
      </c>
      <c r="L5" s="64">
        <f>SUM(
  SUMIFS(
    PriceRef!$D$2:$D109,
    PriceRef!$A$2:$A109, "Seat",
    PriceRef!$B$2:$B109, $B5,
    PriceRef!$C$2:$C109, $C5
  ),
  SUMIFS(
    PriceRef!$D$2:$D109,
    PriceRef!$A$2:$A109, "Stitching",
    PriceRef!$C$2:$C109, $F5
  ),
  SUMIFS(
    PriceRef!$D$2:$D109,
    PriceRef!$A$2:$A109, "Suede",
    PriceRef!$C$2:$C109, $E5
  ),
  SUMIFS(
    PriceRef!$D$2:$D109,
    PriceRef!$A$2:$A109, "TwoTone",
    PriceRef!$C$2:$C109, $G5
  )
)</f>
        <v>0</v>
      </c>
    </row>
    <row r="6">
      <c r="A6" s="60" t="s">
        <v>1473</v>
      </c>
      <c r="B6" s="61" t="s">
        <v>1472</v>
      </c>
      <c r="C6" s="61" t="s">
        <v>726</v>
      </c>
      <c r="D6" s="61" t="s">
        <v>726</v>
      </c>
      <c r="E6" s="61"/>
      <c r="F6" s="61"/>
      <c r="G6" s="61"/>
      <c r="H6" s="62" t="s">
        <v>736</v>
      </c>
      <c r="I6" s="63" t="s">
        <v>737</v>
      </c>
      <c r="J6" s="65" t="s">
        <v>738</v>
      </c>
      <c r="K6" s="66" t="str">
        <f t="shared" si="1"/>
        <v>1LZ AE4 AE4</v>
      </c>
      <c r="L6" s="64">
        <f>SUM(
  SUMIFS(
    PriceRef!$D$2:$D109,
    PriceRef!$A$2:$A109, "Seat",
    PriceRef!$B$2:$B109, $B6,
    PriceRef!$C$2:$C109, $C6
  ),
  SUMIFS(
    PriceRef!$D$2:$D109,
    PriceRef!$A$2:$A109, "Stitching",
    PriceRef!$C$2:$C109, $F6
  ),
  SUMIFS(
    PriceRef!$D$2:$D109,
    PriceRef!$A$2:$A109, "Suede",
    PriceRef!$C$2:$C109, $E6
  ),
  SUMIFS(
    PriceRef!$D$2:$D109,
    PriceRef!$A$2:$A109, "TwoTone",
    PriceRef!$C$2:$C109, $G6
  )
)</f>
        <v>995</v>
      </c>
    </row>
    <row r="7">
      <c r="A7" s="60" t="s">
        <v>1473</v>
      </c>
      <c r="B7" s="61" t="s">
        <v>1472</v>
      </c>
      <c r="C7" s="61" t="s">
        <v>721</v>
      </c>
      <c r="D7" s="61" t="s">
        <v>721</v>
      </c>
      <c r="E7" s="61"/>
      <c r="F7" s="61"/>
      <c r="G7" s="61"/>
      <c r="H7" s="62" t="s">
        <v>739</v>
      </c>
      <c r="I7" s="63" t="s">
        <v>740</v>
      </c>
      <c r="J7" s="65" t="s">
        <v>738</v>
      </c>
      <c r="K7" s="66" t="str">
        <f t="shared" si="1"/>
        <v>1LZ AQ9 AQ9</v>
      </c>
      <c r="L7" s="64">
        <f>SUM(
  SUMIFS(
    PriceRef!$D$2:$D109,
    PriceRef!$A$2:$A109, "Seat",
    PriceRef!$B$2:$B109, $B7,
    PriceRef!$C$2:$C109, $C7
  ),
  SUMIFS(
    PriceRef!$D$2:$D109,
    PriceRef!$A$2:$A109, "Stitching",
    PriceRef!$C$2:$C109, $F7
  ),
  SUMIFS(
    PriceRef!$D$2:$D109,
    PriceRef!$A$2:$A109, "Suede",
    PriceRef!$C$2:$C109, $E7
  ),
  SUMIFS(
    PriceRef!$D$2:$D109,
    PriceRef!$A$2:$A109, "TwoTone",
    PriceRef!$C$2:$C109, $G7
  )
)</f>
        <v>0</v>
      </c>
    </row>
    <row r="8">
      <c r="A8" s="60" t="s">
        <v>1477</v>
      </c>
      <c r="B8" s="61" t="s">
        <v>1478</v>
      </c>
      <c r="C8" s="61" t="s">
        <v>753</v>
      </c>
      <c r="D8" s="61" t="s">
        <v>897</v>
      </c>
      <c r="E8" s="61"/>
      <c r="F8" s="61"/>
      <c r="G8" s="61"/>
      <c r="H8" s="62" t="s">
        <v>898</v>
      </c>
      <c r="I8" s="63" t="s">
        <v>899</v>
      </c>
      <c r="J8" s="65" t="s">
        <v>817</v>
      </c>
      <c r="K8" s="66" t="str">
        <f t="shared" si="1"/>
        <v>3LZ AH2 EJH</v>
      </c>
      <c r="L8" s="64">
        <f>SUM(
  SUMIFS(
    PriceRef!$D$2:$D109,
    PriceRef!$A$2:$A109, "Seat",
    PriceRef!$B$2:$B109, $B8,
    PriceRef!$C$2:$C109, $C8
  ),
  SUMIFS(
    PriceRef!$D$2:$D109,
    PriceRef!$A$2:$A109, "Stitching",
    PriceRef!$C$2:$C109, $F8
  ),
  SUMIFS(
    PriceRef!$D$2:$D109,
    PriceRef!$A$2:$A109, "Suede",
    PriceRef!$C$2:$C109, $E8
  ),
  SUMIFS(
    PriceRef!$D$2:$D109,
    PriceRef!$A$2:$A109, "TwoTone",
    PriceRef!$C$2:$C109, $G8
  )
)</f>
        <v>0</v>
      </c>
    </row>
    <row r="9">
      <c r="A9" s="60" t="s">
        <v>1477</v>
      </c>
      <c r="B9" s="61" t="s">
        <v>1478</v>
      </c>
      <c r="C9" s="61" t="s">
        <v>726</v>
      </c>
      <c r="D9" s="61" t="s">
        <v>897</v>
      </c>
      <c r="E9" s="61"/>
      <c r="F9" s="61"/>
      <c r="G9" s="61"/>
      <c r="H9" s="62" t="s">
        <v>900</v>
      </c>
      <c r="I9" s="63" t="s">
        <v>901</v>
      </c>
      <c r="J9" s="65" t="s">
        <v>817</v>
      </c>
      <c r="K9" s="66" t="str">
        <f t="shared" si="1"/>
        <v>3LZ AE4 EJH</v>
      </c>
      <c r="L9" s="64">
        <f>SUM(
  SUMIFS(
    PriceRef!$D$2:$D109,
    PriceRef!$A$2:$A109, "Seat",
    PriceRef!$B$2:$B109, $B9,
    PriceRef!$C$2:$C109, $C9
  ),
  SUMIFS(
    PriceRef!$D$2:$D109,
    PriceRef!$A$2:$A109, "Stitching",
    PriceRef!$C$2:$C109, $F9
  ),
  SUMIFS(
    PriceRef!$D$2:$D109,
    PriceRef!$A$2:$A109, "Suede",
    PriceRef!$C$2:$C109, $E9
  ),
  SUMIFS(
    PriceRef!$D$2:$D109,
    PriceRef!$A$2:$A109, "TwoTone",
    PriceRef!$C$2:$C109, $G9
  )
)</f>
        <v>500</v>
      </c>
    </row>
    <row r="10">
      <c r="A10" s="60" t="s">
        <v>1477</v>
      </c>
      <c r="B10" s="61" t="s">
        <v>1478</v>
      </c>
      <c r="C10" s="61" t="s">
        <v>753</v>
      </c>
      <c r="D10" s="61" t="s">
        <v>889</v>
      </c>
      <c r="E10" s="61"/>
      <c r="F10" s="61"/>
      <c r="G10" s="61"/>
      <c r="H10" s="62" t="s">
        <v>890</v>
      </c>
      <c r="I10" s="63" t="s">
        <v>891</v>
      </c>
      <c r="J10" s="65" t="s">
        <v>817</v>
      </c>
      <c r="K10" s="66" t="str">
        <f t="shared" si="1"/>
        <v>3LZ AH2 EMT</v>
      </c>
      <c r="L10" s="64">
        <f>SUM(
  SUMIFS(
    PriceRef!$D$2:$D109,
    PriceRef!$A$2:$A109, "Seat",
    PriceRef!$B$2:$B109, $B10,
    PriceRef!$C$2:$C109, $C10
  ),
  SUMIFS(
    PriceRef!$D$2:$D109,
    PriceRef!$A$2:$A109, "Stitching",
    PriceRef!$C$2:$C109, $F10
  ),
  SUMIFS(
    PriceRef!$D$2:$D109,
    PriceRef!$A$2:$A109, "Suede",
    PriceRef!$C$2:$C109, $E10
  ),
  SUMIFS(
    PriceRef!$D$2:$D109,
    PriceRef!$A$2:$A109, "TwoTone",
    PriceRef!$C$2:$C109, $G10
  )
)</f>
        <v>0</v>
      </c>
    </row>
    <row r="11">
      <c r="A11" s="60" t="s">
        <v>1477</v>
      </c>
      <c r="B11" s="61" t="s">
        <v>1478</v>
      </c>
      <c r="C11" s="61" t="s">
        <v>726</v>
      </c>
      <c r="D11" s="61" t="s">
        <v>889</v>
      </c>
      <c r="E11" s="61"/>
      <c r="F11" s="61"/>
      <c r="G11" s="61"/>
      <c r="H11" s="62" t="s">
        <v>890</v>
      </c>
      <c r="I11" s="63" t="s">
        <v>892</v>
      </c>
      <c r="J11" s="65" t="s">
        <v>817</v>
      </c>
      <c r="K11" s="66" t="str">
        <f t="shared" si="1"/>
        <v>3LZ AE4 EMT</v>
      </c>
      <c r="L11" s="64">
        <f>SUM(
  SUMIFS(
    PriceRef!$D$2:$D109,
    PriceRef!$A$2:$A109, "Seat",
    PriceRef!$B$2:$B109, $B11,
    PriceRef!$C$2:$C109, $C11
  ),
  SUMIFS(
    PriceRef!$D$2:$D109,
    PriceRef!$A$2:$A109, "Stitching",
    PriceRef!$C$2:$C109, $F11
  ),
  SUMIFS(
    PriceRef!$D$2:$D109,
    PriceRef!$A$2:$A109, "Suede",
    PriceRef!$C$2:$C109, $E11
  ),
  SUMIFS(
    PriceRef!$D$2:$D109,
    PriceRef!$A$2:$A109, "TwoTone",
    PriceRef!$C$2:$C109, $G11
  )
)</f>
        <v>500</v>
      </c>
    </row>
    <row r="12">
      <c r="A12" s="60" t="s">
        <v>1477</v>
      </c>
      <c r="B12" s="61" t="s">
        <v>1478</v>
      </c>
      <c r="C12" s="61" t="s">
        <v>753</v>
      </c>
      <c r="D12" s="61" t="s">
        <v>893</v>
      </c>
      <c r="E12" s="61" t="s">
        <v>1479</v>
      </c>
      <c r="F12" s="61"/>
      <c r="G12" s="61"/>
      <c r="H12" s="62" t="s">
        <v>894</v>
      </c>
      <c r="I12" s="63" t="s">
        <v>1499</v>
      </c>
      <c r="J12" s="65" t="s">
        <v>817</v>
      </c>
      <c r="K12" s="66" t="str">
        <f t="shared" si="1"/>
        <v>3LZ AH2 EPX N2Z</v>
      </c>
      <c r="L12" s="64">
        <f>SUM(
  SUMIFS(
    PriceRef!$D$2:$D109,
    PriceRef!$A$2:$A109, "Seat",
    PriceRef!$B$2:$B109, $B12,
    PriceRef!$C$2:$C109, $C12
  ),
  SUMIFS(
    PriceRef!$D$2:$D109,
    PriceRef!$A$2:$A109, "Stitching",
    PriceRef!$C$2:$C109, $F12
  ),
  SUMIFS(
    PriceRef!$D$2:$D109,
    PriceRef!$A$2:$A109, "Suede",
    PriceRef!$C$2:$C109, $E12
  ),
  SUMIFS(
    PriceRef!$D$2:$D109,
    PriceRef!$A$2:$A109, "TwoTone",
    PriceRef!$C$2:$C109, $G12
  )
)</f>
        <v>695</v>
      </c>
    </row>
    <row r="13">
      <c r="A13" s="60" t="s">
        <v>1477</v>
      </c>
      <c r="B13" s="61" t="s">
        <v>1478</v>
      </c>
      <c r="C13" s="61" t="s">
        <v>726</v>
      </c>
      <c r="D13" s="61" t="s">
        <v>893</v>
      </c>
      <c r="E13" s="61" t="s">
        <v>1479</v>
      </c>
      <c r="F13" s="61"/>
      <c r="G13" s="61"/>
      <c r="H13" s="62" t="s">
        <v>894</v>
      </c>
      <c r="I13" s="63" t="s">
        <v>1499</v>
      </c>
      <c r="J13" s="65" t="s">
        <v>817</v>
      </c>
      <c r="K13" s="66" t="str">
        <f t="shared" si="1"/>
        <v>3LZ AE4 EPX N2Z</v>
      </c>
      <c r="L13" s="64">
        <f>SUM(
  SUMIFS(
    PriceRef!$D$2:$D109,
    PriceRef!$A$2:$A109, "Seat",
    PriceRef!$B$2:$B109, $B13,
    PriceRef!$C$2:$C109, $C13
  ),
  SUMIFS(
    PriceRef!$D$2:$D109,
    PriceRef!$A$2:$A109, "Stitching",
    PriceRef!$C$2:$C109, $F13
  ),
  SUMIFS(
    PriceRef!$D$2:$D109,
    PriceRef!$A$2:$A109, "Suede",
    PriceRef!$C$2:$C109, $E13
  ),
  SUMIFS(
    PriceRef!$D$2:$D109,
    PriceRef!$A$2:$A109, "TwoTone",
    PriceRef!$C$2:$C109, $G13
  )
)</f>
        <v>1195</v>
      </c>
    </row>
    <row r="14">
      <c r="A14" s="60" t="s">
        <v>1477</v>
      </c>
      <c r="B14" s="61" t="s">
        <v>1478</v>
      </c>
      <c r="C14" s="61" t="s">
        <v>753</v>
      </c>
      <c r="D14" s="61" t="s">
        <v>837</v>
      </c>
      <c r="E14" s="61"/>
      <c r="F14" s="61"/>
      <c r="G14" s="61"/>
      <c r="H14" s="62" t="s">
        <v>838</v>
      </c>
      <c r="I14" s="63" t="s">
        <v>839</v>
      </c>
      <c r="J14" s="65" t="s">
        <v>817</v>
      </c>
      <c r="K14" s="66" t="str">
        <f t="shared" si="1"/>
        <v>3LZ AH2 H8T</v>
      </c>
      <c r="L14" s="64">
        <f>SUM(
  SUMIFS(
    PriceRef!$D$2:$D109,
    PriceRef!$A$2:$A109, "Seat",
    PriceRef!$B$2:$B109, $B14,
    PriceRef!$C$2:$C109, $C14
  ),
  SUMIFS(
    PriceRef!$D$2:$D109,
    PriceRef!$A$2:$A109, "Stitching",
    PriceRef!$C$2:$C109, $F14
  ),
  SUMIFS(
    PriceRef!$D$2:$D109,
    PriceRef!$A$2:$A109, "Suede",
    PriceRef!$C$2:$C109, $E14
  ),
  SUMIFS(
    PriceRef!$D$2:$D109,
    PriceRef!$A$2:$A109, "TwoTone",
    PriceRef!$C$2:$C109, $G14
  )
)</f>
        <v>0</v>
      </c>
    </row>
    <row r="15">
      <c r="A15" s="60" t="s">
        <v>1477</v>
      </c>
      <c r="B15" s="61" t="s">
        <v>1478</v>
      </c>
      <c r="C15" s="61" t="s">
        <v>726</v>
      </c>
      <c r="D15" s="61" t="s">
        <v>837</v>
      </c>
      <c r="E15" s="61"/>
      <c r="F15" s="61"/>
      <c r="G15" s="61"/>
      <c r="H15" s="62" t="s">
        <v>838</v>
      </c>
      <c r="I15" s="63" t="s">
        <v>840</v>
      </c>
      <c r="J15" s="65" t="s">
        <v>817</v>
      </c>
      <c r="K15" s="66" t="str">
        <f t="shared" si="1"/>
        <v>3LZ AE4 H8T</v>
      </c>
      <c r="L15" s="64">
        <f>SUM(
  SUMIFS(
    PriceRef!$D$2:$D109,
    PriceRef!$A$2:$A109, "Seat",
    PriceRef!$B$2:$B109, $B15,
    PriceRef!$C$2:$C109, $C15
  ),
  SUMIFS(
    PriceRef!$D$2:$D109,
    PriceRef!$A$2:$A109, "Stitching",
    PriceRef!$C$2:$C109, $F15
  ),
  SUMIFS(
    PriceRef!$D$2:$D109,
    PriceRef!$A$2:$A109, "Suede",
    PriceRef!$C$2:$C109, $E15
  ),
  SUMIFS(
    PriceRef!$D$2:$D109,
    PriceRef!$A$2:$A109, "TwoTone",
    PriceRef!$C$2:$C109, $G15
  )
)</f>
        <v>500</v>
      </c>
    </row>
    <row r="16">
      <c r="A16" s="60" t="s">
        <v>1477</v>
      </c>
      <c r="B16" s="61" t="s">
        <v>1478</v>
      </c>
      <c r="C16" s="61" t="s">
        <v>753</v>
      </c>
      <c r="D16" s="61" t="s">
        <v>814</v>
      </c>
      <c r="E16" s="61"/>
      <c r="F16" s="61"/>
      <c r="G16" s="61"/>
      <c r="H16" s="62" t="s">
        <v>815</v>
      </c>
      <c r="I16" s="63" t="s">
        <v>816</v>
      </c>
      <c r="J16" s="65" t="s">
        <v>817</v>
      </c>
      <c r="K16" s="66" t="str">
        <f t="shared" si="1"/>
        <v>3LZ AH2 HNK</v>
      </c>
      <c r="L16" s="64">
        <f>SUM(
  SUMIFS(
    PriceRef!$D$2:$D109,
    PriceRef!$A$2:$A109, "Seat",
    PriceRef!$B$2:$B109, $B16,
    PriceRef!$C$2:$C109, $C16
  ),
  SUMIFS(
    PriceRef!$D$2:$D109,
    PriceRef!$A$2:$A109, "Stitching",
    PriceRef!$C$2:$C109, $F16
  ),
  SUMIFS(
    PriceRef!$D$2:$D109,
    PriceRef!$A$2:$A109, "Suede",
    PriceRef!$C$2:$C109, $E16
  ),
  SUMIFS(
    PriceRef!$D$2:$D109,
    PriceRef!$A$2:$A109, "TwoTone",
    PriceRef!$C$2:$C109, $G16
  )
)</f>
        <v>0</v>
      </c>
    </row>
    <row r="17">
      <c r="A17" s="60" t="s">
        <v>1477</v>
      </c>
      <c r="B17" s="61" t="s">
        <v>1478</v>
      </c>
      <c r="C17" s="61" t="s">
        <v>726</v>
      </c>
      <c r="D17" s="61" t="s">
        <v>814</v>
      </c>
      <c r="E17" s="61"/>
      <c r="F17" s="61"/>
      <c r="G17" s="61"/>
      <c r="H17" s="62" t="s">
        <v>815</v>
      </c>
      <c r="I17" s="63" t="s">
        <v>818</v>
      </c>
      <c r="J17" s="65" t="s">
        <v>817</v>
      </c>
      <c r="K17" s="66" t="str">
        <f t="shared" si="1"/>
        <v>3LZ AE4 HNK</v>
      </c>
      <c r="L17" s="64">
        <f>SUM(
  SUMIFS(
    PriceRef!$D$2:$D109,
    PriceRef!$A$2:$A109, "Seat",
    PriceRef!$B$2:$B109, $B17,
    PriceRef!$C$2:$C109, $C17
  ),
  SUMIFS(
    PriceRef!$D$2:$D109,
    PriceRef!$A$2:$A109, "Stitching",
    PriceRef!$C$2:$C109, $F17
  ),
  SUMIFS(
    PriceRef!$D$2:$D109,
    PriceRef!$A$2:$A109, "Suede",
    PriceRef!$C$2:$C109, $E17
  ),
  SUMIFS(
    PriceRef!$D$2:$D109,
    PriceRef!$A$2:$A109, "TwoTone",
    PriceRef!$C$2:$C109, $G17
  )
)</f>
        <v>500</v>
      </c>
    </row>
    <row r="18">
      <c r="A18" s="60" t="s">
        <v>1477</v>
      </c>
      <c r="B18" s="61" t="s">
        <v>1478</v>
      </c>
      <c r="C18" s="61" t="s">
        <v>753</v>
      </c>
      <c r="D18" s="61" t="s">
        <v>824</v>
      </c>
      <c r="E18" s="61"/>
      <c r="F18" s="61"/>
      <c r="G18" s="61"/>
      <c r="H18" s="62" t="s">
        <v>755</v>
      </c>
      <c r="I18" s="63" t="s">
        <v>825</v>
      </c>
      <c r="J18" s="65" t="s">
        <v>817</v>
      </c>
      <c r="K18" s="66" t="str">
        <f t="shared" si="1"/>
        <v>3LZ AH2 HTE</v>
      </c>
      <c r="L18" s="64">
        <f>SUM(
  SUMIFS(
    PriceRef!$D$2:$D109,
    PriceRef!$A$2:$A109, "Seat",
    PriceRef!$B$2:$B109, $B18,
    PriceRef!$C$2:$C109, $C18
  ),
  SUMIFS(
    PriceRef!$D$2:$D109,
    PriceRef!$A$2:$A109, "Stitching",
    PriceRef!$C$2:$C109, $F18
  ),
  SUMIFS(
    PriceRef!$D$2:$D109,
    PriceRef!$A$2:$A109, "Suede",
    PriceRef!$C$2:$C109, $E18
  ),
  SUMIFS(
    PriceRef!$D$2:$D109,
    PriceRef!$A$2:$A109, "TwoTone",
    PriceRef!$C$2:$C109, $G18
  )
)</f>
        <v>0</v>
      </c>
    </row>
    <row r="19">
      <c r="A19" s="60" t="s">
        <v>1477</v>
      </c>
      <c r="B19" s="61" t="s">
        <v>1478</v>
      </c>
      <c r="C19" s="61" t="s">
        <v>753</v>
      </c>
      <c r="D19" s="61" t="s">
        <v>824</v>
      </c>
      <c r="E19" s="61"/>
      <c r="F19" s="61" t="s">
        <v>749</v>
      </c>
      <c r="G19" s="61"/>
      <c r="H19" s="62" t="s">
        <v>826</v>
      </c>
      <c r="I19" s="63" t="s">
        <v>827</v>
      </c>
      <c r="J19" s="65" t="s">
        <v>817</v>
      </c>
      <c r="K19" s="66" t="str">
        <f t="shared" si="1"/>
        <v>3LZ AH2 HTE 36S</v>
      </c>
      <c r="L19" s="64">
        <f>SUM(
  SUMIFS(
    PriceRef!$D$2:$D109,
    PriceRef!$A$2:$A109, "Seat",
    PriceRef!$B$2:$B109, $B19,
    PriceRef!$C$2:$C109, $C19
  ),
  SUMIFS(
    PriceRef!$D$2:$D109,
    PriceRef!$A$2:$A109, "Stitching",
    PriceRef!$C$2:$C109, $F19
  ),
  SUMIFS(
    PriceRef!$D$2:$D109,
    PriceRef!$A$2:$A109, "Suede",
    PriceRef!$C$2:$C109, $E19
  ),
  SUMIFS(
    PriceRef!$D$2:$D109,
    PriceRef!$A$2:$A109, "TwoTone",
    PriceRef!$C$2:$C109, $G19
  )
)</f>
        <v>495</v>
      </c>
    </row>
    <row r="20">
      <c r="A20" s="60" t="s">
        <v>1477</v>
      </c>
      <c r="B20" s="61" t="s">
        <v>1478</v>
      </c>
      <c r="C20" s="61" t="s">
        <v>753</v>
      </c>
      <c r="D20" s="61" t="s">
        <v>824</v>
      </c>
      <c r="E20" s="61"/>
      <c r="F20" s="61" t="s">
        <v>746</v>
      </c>
      <c r="G20" s="61"/>
      <c r="H20" s="62" t="s">
        <v>828</v>
      </c>
      <c r="I20" s="63" t="s">
        <v>829</v>
      </c>
      <c r="J20" s="65" t="s">
        <v>817</v>
      </c>
      <c r="K20" s="66" t="str">
        <f t="shared" si="1"/>
        <v>3LZ AH2 HTE 38S</v>
      </c>
      <c r="L20" s="64">
        <f>SUM(
  SUMIFS(
    PriceRef!$D$2:$D109,
    PriceRef!$A$2:$A109, "Seat",
    PriceRef!$B$2:$B109, $B20,
    PriceRef!$C$2:$C109, $C20
  ),
  SUMIFS(
    PriceRef!$D$2:$D109,
    PriceRef!$A$2:$A109, "Stitching",
    PriceRef!$C$2:$C109, $F20
  ),
  SUMIFS(
    PriceRef!$D$2:$D109,
    PriceRef!$A$2:$A109, "Suede",
    PriceRef!$C$2:$C109, $E20
  ),
  SUMIFS(
    PriceRef!$D$2:$D109,
    PriceRef!$A$2:$A109, "TwoTone",
    PriceRef!$C$2:$C109, $G20
  )
)</f>
        <v>495</v>
      </c>
    </row>
    <row r="21">
      <c r="A21" s="60" t="s">
        <v>1477</v>
      </c>
      <c r="B21" s="61" t="s">
        <v>1478</v>
      </c>
      <c r="C21" s="61" t="s">
        <v>753</v>
      </c>
      <c r="D21" s="61" t="s">
        <v>824</v>
      </c>
      <c r="E21" s="61"/>
      <c r="F21" s="61" t="s">
        <v>751</v>
      </c>
      <c r="G21" s="61"/>
      <c r="H21" s="62" t="s">
        <v>830</v>
      </c>
      <c r="I21" s="63" t="s">
        <v>829</v>
      </c>
      <c r="J21" s="65" t="s">
        <v>817</v>
      </c>
      <c r="K21" s="66" t="str">
        <f t="shared" si="1"/>
        <v>3LZ AH2 HTE 37S</v>
      </c>
      <c r="L21" s="64">
        <f>SUM(
  SUMIFS(
    PriceRef!$D$2:$D109,
    PriceRef!$A$2:$A109, "Seat",
    PriceRef!$B$2:$B109, $B21,
    PriceRef!$C$2:$C109, $C21
  ),
  SUMIFS(
    PriceRef!$D$2:$D109,
    PriceRef!$A$2:$A109, "Stitching",
    PriceRef!$C$2:$C109, $F21
  ),
  SUMIFS(
    PriceRef!$D$2:$D109,
    PriceRef!$A$2:$A109, "Suede",
    PriceRef!$C$2:$C109, $E21
  ),
  SUMIFS(
    PriceRef!$D$2:$D109,
    PriceRef!$A$2:$A109, "TwoTone",
    PriceRef!$C$2:$C109, $G21
  )
)</f>
        <v>495</v>
      </c>
    </row>
    <row r="22">
      <c r="A22" s="60" t="s">
        <v>1477</v>
      </c>
      <c r="B22" s="61" t="s">
        <v>1478</v>
      </c>
      <c r="C22" s="61" t="s">
        <v>726</v>
      </c>
      <c r="D22" s="61" t="s">
        <v>824</v>
      </c>
      <c r="E22" s="61"/>
      <c r="F22" s="61"/>
      <c r="G22" s="61"/>
      <c r="H22" s="62" t="s">
        <v>755</v>
      </c>
      <c r="I22" s="63" t="s">
        <v>831</v>
      </c>
      <c r="J22" s="65" t="s">
        <v>817</v>
      </c>
      <c r="K22" s="66" t="str">
        <f t="shared" si="1"/>
        <v>3LZ AE4 HTE</v>
      </c>
      <c r="L22" s="64">
        <f>SUM(
  SUMIFS(
    PriceRef!$D$2:$D109,
    PriceRef!$A$2:$A109, "Seat",
    PriceRef!$B$2:$B109, $B22,
    PriceRef!$C$2:$C109, $C22
  ),
  SUMIFS(
    PriceRef!$D$2:$D109,
    PriceRef!$A$2:$A109, "Stitching",
    PriceRef!$C$2:$C109, $F22
  ),
  SUMIFS(
    PriceRef!$D$2:$D109,
    PriceRef!$A$2:$A109, "Suede",
    PriceRef!$C$2:$C109, $E22
  ),
  SUMIFS(
    PriceRef!$D$2:$D109,
    PriceRef!$A$2:$A109, "TwoTone",
    PriceRef!$C$2:$C109, $G22
  )
)</f>
        <v>500</v>
      </c>
    </row>
    <row r="23">
      <c r="A23" s="60" t="s">
        <v>1477</v>
      </c>
      <c r="B23" s="61" t="s">
        <v>1478</v>
      </c>
      <c r="C23" s="61" t="s">
        <v>726</v>
      </c>
      <c r="D23" s="61" t="s">
        <v>824</v>
      </c>
      <c r="E23" s="61"/>
      <c r="F23" s="61" t="s">
        <v>749</v>
      </c>
      <c r="G23" s="61"/>
      <c r="H23" s="62" t="s">
        <v>826</v>
      </c>
      <c r="I23" s="63" t="s">
        <v>831</v>
      </c>
      <c r="J23" s="65" t="s">
        <v>817</v>
      </c>
      <c r="K23" s="66" t="str">
        <f t="shared" si="1"/>
        <v>3LZ AE4 HTE 36S</v>
      </c>
      <c r="L23" s="64">
        <f>SUM(
  SUMIFS(
    PriceRef!$D$2:$D109,
    PriceRef!$A$2:$A109, "Seat",
    PriceRef!$B$2:$B109, $B23,
    PriceRef!$C$2:$C109, $C23
  ),
  SUMIFS(
    PriceRef!$D$2:$D109,
    PriceRef!$A$2:$A109, "Stitching",
    PriceRef!$C$2:$C109, $F23
  ),
  SUMIFS(
    PriceRef!$D$2:$D109,
    PriceRef!$A$2:$A109, "Suede",
    PriceRef!$C$2:$C109, $E23
  ),
  SUMIFS(
    PriceRef!$D$2:$D109,
    PriceRef!$A$2:$A109, "TwoTone",
    PriceRef!$C$2:$C109, $G23
  )
)</f>
        <v>995</v>
      </c>
    </row>
    <row r="24">
      <c r="A24" s="60" t="s">
        <v>1477</v>
      </c>
      <c r="B24" s="61" t="s">
        <v>1478</v>
      </c>
      <c r="C24" s="61" t="s">
        <v>726</v>
      </c>
      <c r="D24" s="61" t="s">
        <v>824</v>
      </c>
      <c r="E24" s="61"/>
      <c r="F24" s="61" t="s">
        <v>751</v>
      </c>
      <c r="G24" s="61"/>
      <c r="H24" s="62" t="s">
        <v>830</v>
      </c>
      <c r="I24" s="63" t="s">
        <v>832</v>
      </c>
      <c r="J24" s="65" t="s">
        <v>817</v>
      </c>
      <c r="K24" s="66" t="str">
        <f t="shared" si="1"/>
        <v>3LZ AE4 HTE 37S</v>
      </c>
      <c r="L24" s="64">
        <f>SUM(
  SUMIFS(
    PriceRef!$D$2:$D109,
    PriceRef!$A$2:$A109, "Seat",
    PriceRef!$B$2:$B109, $B24,
    PriceRef!$C$2:$C109, $C24
  ),
  SUMIFS(
    PriceRef!$D$2:$D109,
    PriceRef!$A$2:$A109, "Stitching",
    PriceRef!$C$2:$C109, $F24
  ),
  SUMIFS(
    PriceRef!$D$2:$D109,
    PriceRef!$A$2:$A109, "Suede",
    PriceRef!$C$2:$C109, $E24
  ),
  SUMIFS(
    PriceRef!$D$2:$D109,
    PriceRef!$A$2:$A109, "TwoTone",
    PriceRef!$C$2:$C109, $G24
  )
)</f>
        <v>995</v>
      </c>
    </row>
    <row r="25">
      <c r="A25" s="60" t="s">
        <v>1477</v>
      </c>
      <c r="B25" s="61" t="s">
        <v>1478</v>
      </c>
      <c r="C25" s="61" t="s">
        <v>726</v>
      </c>
      <c r="D25" s="61" t="s">
        <v>824</v>
      </c>
      <c r="E25" s="61"/>
      <c r="F25" s="61" t="s">
        <v>746</v>
      </c>
      <c r="G25" s="61"/>
      <c r="H25" s="62" t="s">
        <v>828</v>
      </c>
      <c r="I25" s="63" t="s">
        <v>832</v>
      </c>
      <c r="J25" s="65" t="s">
        <v>817</v>
      </c>
      <c r="K25" s="66" t="str">
        <f t="shared" si="1"/>
        <v>3LZ AE4 HTE 38S</v>
      </c>
      <c r="L25" s="64">
        <f>SUM(
  SUMIFS(
    PriceRef!$D$2:$D109,
    PriceRef!$A$2:$A109, "Seat",
    PriceRef!$B$2:$B109, $B25,
    PriceRef!$C$2:$C109, $C25
  ),
  SUMIFS(
    PriceRef!$D$2:$D109,
    PriceRef!$A$2:$A109, "Stitching",
    PriceRef!$C$2:$C109, $F25
  ),
  SUMIFS(
    PriceRef!$D$2:$D109,
    PriceRef!$A$2:$A109, "Suede",
    PriceRef!$C$2:$C109, $E25
  ),
  SUMIFS(
    PriceRef!$D$2:$D109,
    PriceRef!$A$2:$A109, "TwoTone",
    PriceRef!$C$2:$C109, $G25
  )
)</f>
        <v>995</v>
      </c>
    </row>
    <row r="26">
      <c r="A26" s="60" t="s">
        <v>1477</v>
      </c>
      <c r="B26" s="61" t="s">
        <v>1478</v>
      </c>
      <c r="C26" s="61" t="s">
        <v>753</v>
      </c>
      <c r="D26" s="61" t="s">
        <v>833</v>
      </c>
      <c r="E26" s="61" t="s">
        <v>1479</v>
      </c>
      <c r="F26" s="61"/>
      <c r="G26" s="61"/>
      <c r="H26" s="62" t="s">
        <v>778</v>
      </c>
      <c r="I26" s="63" t="s">
        <v>1480</v>
      </c>
      <c r="J26" s="65" t="s">
        <v>817</v>
      </c>
      <c r="K26" s="66" t="str">
        <f t="shared" si="1"/>
        <v>3LZ AH2 HTG N2Z</v>
      </c>
      <c r="L26" s="64">
        <f>SUM(
  SUMIFS(
    PriceRef!$D$2:$D109,
    PriceRef!$A$2:$A109, "Seat",
    PriceRef!$B$2:$B109, $B26,
    PriceRef!$C$2:$C109, $C26
  ),
  SUMIFS(
    PriceRef!$D$2:$D109,
    PriceRef!$A$2:$A109, "Stitching",
    PriceRef!$C$2:$C109, $F26
  ),
  SUMIFS(
    PriceRef!$D$2:$D109,
    PriceRef!$A$2:$A109, "Suede",
    PriceRef!$C$2:$C109, $E26
  ),
  SUMIFS(
    PriceRef!$D$2:$D109,
    PriceRef!$A$2:$A109, "TwoTone",
    PriceRef!$C$2:$C109, $G26
  )
)</f>
        <v>695</v>
      </c>
    </row>
    <row r="27">
      <c r="A27" s="60" t="s">
        <v>1477</v>
      </c>
      <c r="B27" s="61" t="s">
        <v>1478</v>
      </c>
      <c r="C27" s="61" t="s">
        <v>726</v>
      </c>
      <c r="D27" s="61" t="s">
        <v>833</v>
      </c>
      <c r="E27" s="61" t="s">
        <v>1479</v>
      </c>
      <c r="F27" s="61"/>
      <c r="G27" s="61"/>
      <c r="H27" s="62" t="s">
        <v>778</v>
      </c>
      <c r="I27" s="63" t="s">
        <v>1481</v>
      </c>
      <c r="J27" s="65" t="s">
        <v>817</v>
      </c>
      <c r="K27" s="66" t="str">
        <f t="shared" si="1"/>
        <v>3LZ AE4 HTG N2Z</v>
      </c>
      <c r="L27" s="64">
        <f>SUM(
  SUMIFS(
    PriceRef!$D$2:$D109,
    PriceRef!$A$2:$A109, "Seat",
    PriceRef!$B$2:$B109, $B27,
    PriceRef!$C$2:$C109, $C27
  ),
  SUMIFS(
    PriceRef!$D$2:$D109,
    PriceRef!$A$2:$A109, "Stitching",
    PriceRef!$C$2:$C109, $F27
  ),
  SUMIFS(
    PriceRef!$D$2:$D109,
    PriceRef!$A$2:$A109, "Suede",
    PriceRef!$C$2:$C109, $E27
  ),
  SUMIFS(
    PriceRef!$D$2:$D109,
    PriceRef!$A$2:$A109, "TwoTone",
    PriceRef!$C$2:$C109, $G27
  )
)</f>
        <v>1195</v>
      </c>
    </row>
    <row r="28">
      <c r="A28" s="60" t="s">
        <v>1477</v>
      </c>
      <c r="B28" s="61" t="s">
        <v>1478</v>
      </c>
      <c r="C28" s="61" t="s">
        <v>753</v>
      </c>
      <c r="D28" s="61" t="s">
        <v>833</v>
      </c>
      <c r="E28" s="61" t="s">
        <v>1479</v>
      </c>
      <c r="F28" s="61"/>
      <c r="G28" s="61" t="s">
        <v>767</v>
      </c>
      <c r="H28" s="62" t="s">
        <v>781</v>
      </c>
      <c r="I28" s="63" t="s">
        <v>1482</v>
      </c>
      <c r="J28" s="65" t="s">
        <v>817</v>
      </c>
      <c r="K28" s="66" t="str">
        <f t="shared" si="1"/>
        <v>3LZ AH2 HTG N2Z TU7</v>
      </c>
      <c r="L28" s="64">
        <f>SUM(
  SUMIFS(
    PriceRef!$D$2:$D109,
    PriceRef!$A$2:$A109, "Seat",
    PriceRef!$B$2:$B109, $B28,
    PriceRef!$C$2:$C109, $C28
  ),
  SUMIFS(
    PriceRef!$D$2:$D109,
    PriceRef!$A$2:$A109, "Stitching",
    PriceRef!$C$2:$C109, $F28
  ),
  SUMIFS(
    PriceRef!$D$2:$D109,
    PriceRef!$A$2:$A109, "Suede",
    PriceRef!$C$2:$C109, $E28
  ),
  SUMIFS(
    PriceRef!$D$2:$D109,
    PriceRef!$A$2:$A109, "TwoTone",
    PriceRef!$C$2:$C109, $G28
  )
)</f>
        <v>1290</v>
      </c>
    </row>
    <row r="29">
      <c r="A29" s="60" t="s">
        <v>1477</v>
      </c>
      <c r="B29" s="61" t="s">
        <v>1478</v>
      </c>
      <c r="C29" s="61" t="s">
        <v>753</v>
      </c>
      <c r="D29" s="61" t="s">
        <v>841</v>
      </c>
      <c r="E29" s="61" t="s">
        <v>1479</v>
      </c>
      <c r="F29" s="61" t="s">
        <v>749</v>
      </c>
      <c r="G29" s="61"/>
      <c r="H29" s="62" t="s">
        <v>842</v>
      </c>
      <c r="I29" s="63" t="s">
        <v>1483</v>
      </c>
      <c r="J29" s="65" t="s">
        <v>817</v>
      </c>
      <c r="K29" s="66" t="str">
        <f t="shared" si="1"/>
        <v>3LZ AH2 HTT 36S N2Z</v>
      </c>
      <c r="L29" s="64">
        <f>SUM(
  SUMIFS(
    PriceRef!$D$2:$D109,
    PriceRef!$A$2:$A109, "Seat",
    PriceRef!$B$2:$B109, $B29,
    PriceRef!$C$2:$C109, $C29
  ),
  SUMIFS(
    PriceRef!$D$2:$D109,
    PriceRef!$A$2:$A109, "Stitching",
    PriceRef!$C$2:$C109, $F29
  ),
  SUMIFS(
    PriceRef!$D$2:$D109,
    PriceRef!$A$2:$A109, "Suede",
    PriceRef!$C$2:$C109, $E29
  ),
  SUMIFS(
    PriceRef!$D$2:$D109,
    PriceRef!$A$2:$A109, "TwoTone",
    PriceRef!$C$2:$C109, $G29
  )
)</f>
        <v>1190</v>
      </c>
    </row>
    <row r="30">
      <c r="A30" s="60" t="s">
        <v>1477</v>
      </c>
      <c r="B30" s="61" t="s">
        <v>1478</v>
      </c>
      <c r="C30" s="61" t="s">
        <v>726</v>
      </c>
      <c r="D30" s="61" t="s">
        <v>841</v>
      </c>
      <c r="E30" s="61" t="s">
        <v>1479</v>
      </c>
      <c r="F30" s="61" t="s">
        <v>749</v>
      </c>
      <c r="G30" s="61"/>
      <c r="H30" s="62" t="s">
        <v>842</v>
      </c>
      <c r="I30" s="63" t="s">
        <v>1484</v>
      </c>
      <c r="J30" s="65" t="s">
        <v>817</v>
      </c>
      <c r="K30" s="66" t="str">
        <f t="shared" si="1"/>
        <v>3LZ AE4 HTT 36S N2Z</v>
      </c>
      <c r="L30" s="64">
        <f>SUM(
  SUMIFS(
    PriceRef!$D$2:$D109,
    PriceRef!$A$2:$A109, "Seat",
    PriceRef!$B$2:$B109, $B30,
    PriceRef!$C$2:$C109, $C30
  ),
  SUMIFS(
    PriceRef!$D$2:$D109,
    PriceRef!$A$2:$A109, "Stitching",
    PriceRef!$C$2:$C109, $F30
  ),
  SUMIFS(
    PriceRef!$D$2:$D109,
    PriceRef!$A$2:$A109, "Suede",
    PriceRef!$C$2:$C109, $E30
  ),
  SUMIFS(
    PriceRef!$D$2:$D109,
    PriceRef!$A$2:$A109, "TwoTone",
    PriceRef!$C$2:$C109, $G30
  )
)</f>
        <v>1690</v>
      </c>
    </row>
    <row r="31">
      <c r="A31" s="60" t="s">
        <v>1477</v>
      </c>
      <c r="B31" s="61" t="s">
        <v>1478</v>
      </c>
      <c r="C31" s="61" t="s">
        <v>753</v>
      </c>
      <c r="D31" s="61" t="s">
        <v>841</v>
      </c>
      <c r="E31" s="61" t="s">
        <v>1479</v>
      </c>
      <c r="F31" s="61" t="s">
        <v>751</v>
      </c>
      <c r="G31" s="61"/>
      <c r="H31" s="62" t="s">
        <v>845</v>
      </c>
      <c r="I31" s="63" t="s">
        <v>1485</v>
      </c>
      <c r="J31" s="65" t="s">
        <v>817</v>
      </c>
      <c r="K31" s="66" t="str">
        <f t="shared" si="1"/>
        <v>3LZ AH2 HTT 37S N2Z</v>
      </c>
      <c r="L31" s="64">
        <f>SUM(
  SUMIFS(
    PriceRef!$D$2:$D109,
    PriceRef!$A$2:$A109, "Seat",
    PriceRef!$B$2:$B109, $B31,
    PriceRef!$C$2:$C109, $C31
  ),
  SUMIFS(
    PriceRef!$D$2:$D109,
    PriceRef!$A$2:$A109, "Stitching",
    PriceRef!$C$2:$C109, $F31
  ),
  SUMIFS(
    PriceRef!$D$2:$D109,
    PriceRef!$A$2:$A109, "Suede",
    PriceRef!$C$2:$C109, $E31
  ),
  SUMIFS(
    PriceRef!$D$2:$D109,
    PriceRef!$A$2:$A109, "TwoTone",
    PriceRef!$C$2:$C109, $G31
  )
)</f>
        <v>1190</v>
      </c>
    </row>
    <row r="32">
      <c r="A32" s="60" t="s">
        <v>1477</v>
      </c>
      <c r="B32" s="61" t="s">
        <v>1478</v>
      </c>
      <c r="C32" s="61" t="s">
        <v>726</v>
      </c>
      <c r="D32" s="61" t="s">
        <v>841</v>
      </c>
      <c r="E32" s="61" t="s">
        <v>1479</v>
      </c>
      <c r="F32" s="61" t="s">
        <v>751</v>
      </c>
      <c r="G32" s="61"/>
      <c r="H32" s="62" t="s">
        <v>845</v>
      </c>
      <c r="I32" s="63" t="s">
        <v>1486</v>
      </c>
      <c r="J32" s="65" t="s">
        <v>817</v>
      </c>
      <c r="K32" s="66" t="str">
        <f t="shared" si="1"/>
        <v>3LZ AE4 HTT 37S N2Z</v>
      </c>
      <c r="L32" s="64">
        <f>SUM(
  SUMIFS(
    PriceRef!$D$2:$D109,
    PriceRef!$A$2:$A109, "Seat",
    PriceRef!$B$2:$B109, $B32,
    PriceRef!$C$2:$C109, $C32
  ),
  SUMIFS(
    PriceRef!$D$2:$D109,
    PriceRef!$A$2:$A109, "Stitching",
    PriceRef!$C$2:$C109, $F32
  ),
  SUMIFS(
    PriceRef!$D$2:$D109,
    PriceRef!$A$2:$A109, "Suede",
    PriceRef!$C$2:$C109, $E32
  ),
  SUMIFS(
    PriceRef!$D$2:$D109,
    PriceRef!$A$2:$A109, "TwoTone",
    PriceRef!$C$2:$C109, $G32
  )
)</f>
        <v>1690</v>
      </c>
    </row>
    <row r="33">
      <c r="A33" s="60" t="s">
        <v>1477</v>
      </c>
      <c r="B33" s="61" t="s">
        <v>1478</v>
      </c>
      <c r="C33" s="61" t="s">
        <v>753</v>
      </c>
      <c r="D33" s="61" t="s">
        <v>841</v>
      </c>
      <c r="E33" s="61" t="s">
        <v>1479</v>
      </c>
      <c r="F33" s="61" t="s">
        <v>746</v>
      </c>
      <c r="G33" s="61"/>
      <c r="H33" s="62" t="s">
        <v>848</v>
      </c>
      <c r="I33" s="63" t="s">
        <v>1483</v>
      </c>
      <c r="J33" s="65" t="s">
        <v>817</v>
      </c>
      <c r="K33" s="66" t="str">
        <f t="shared" si="1"/>
        <v>3LZ AH2 HTT 38S N2Z</v>
      </c>
      <c r="L33" s="64">
        <f>SUM(
  SUMIFS(
    PriceRef!$D$2:$D109,
    PriceRef!$A$2:$A109, "Seat",
    PriceRef!$B$2:$B109, $B33,
    PriceRef!$C$2:$C109, $C33
  ),
  SUMIFS(
    PriceRef!$D$2:$D109,
    PriceRef!$A$2:$A109, "Stitching",
    PriceRef!$C$2:$C109, $F33
  ),
  SUMIFS(
    PriceRef!$D$2:$D109,
    PriceRef!$A$2:$A109, "Suede",
    PriceRef!$C$2:$C109, $E33
  ),
  SUMIFS(
    PriceRef!$D$2:$D109,
    PriceRef!$A$2:$A109, "TwoTone",
    PriceRef!$C$2:$C109, $G33
  )
)</f>
        <v>1190</v>
      </c>
    </row>
    <row r="34">
      <c r="A34" s="60" t="s">
        <v>1477</v>
      </c>
      <c r="B34" s="61" t="s">
        <v>1478</v>
      </c>
      <c r="C34" s="61" t="s">
        <v>726</v>
      </c>
      <c r="D34" s="61" t="s">
        <v>841</v>
      </c>
      <c r="E34" s="61" t="s">
        <v>1479</v>
      </c>
      <c r="F34" s="61" t="s">
        <v>746</v>
      </c>
      <c r="G34" s="61"/>
      <c r="H34" s="62" t="s">
        <v>848</v>
      </c>
      <c r="I34" s="63" t="s">
        <v>1484</v>
      </c>
      <c r="J34" s="65" t="s">
        <v>817</v>
      </c>
      <c r="K34" s="66" t="str">
        <f t="shared" si="1"/>
        <v>3LZ AE4 HTT 38S N2Z</v>
      </c>
      <c r="L34" s="64">
        <f>SUM(
  SUMIFS(
    PriceRef!$D$2:$D109,
    PriceRef!$A$2:$A109, "Seat",
    PriceRef!$B$2:$B109, $B34,
    PriceRef!$C$2:$C109, $C34
  ),
  SUMIFS(
    PriceRef!$D$2:$D109,
    PriceRef!$A$2:$A109, "Stitching",
    PriceRef!$C$2:$C109, $F34
  ),
  SUMIFS(
    PriceRef!$D$2:$D109,
    PriceRef!$A$2:$A109, "Suede",
    PriceRef!$C$2:$C109, $E34
  ),
  SUMIFS(
    PriceRef!$D$2:$D109,
    PriceRef!$A$2:$A109, "TwoTone",
    PriceRef!$C$2:$C109, $G34
  )
)</f>
        <v>1690</v>
      </c>
    </row>
    <row r="35">
      <c r="A35" s="60" t="s">
        <v>1477</v>
      </c>
      <c r="B35" s="61" t="s">
        <v>1478</v>
      </c>
      <c r="C35" s="61" t="s">
        <v>753</v>
      </c>
      <c r="D35" s="61" t="s">
        <v>841</v>
      </c>
      <c r="E35" s="61" t="s">
        <v>1479</v>
      </c>
      <c r="F35" s="61"/>
      <c r="G35" s="61"/>
      <c r="H35" s="62" t="s">
        <v>771</v>
      </c>
      <c r="I35" s="63" t="s">
        <v>1487</v>
      </c>
      <c r="J35" s="65" t="s">
        <v>817</v>
      </c>
      <c r="K35" s="66" t="str">
        <f t="shared" si="1"/>
        <v>3LZ AH2 HTT N2Z</v>
      </c>
      <c r="L35" s="64">
        <f>SUM(
  SUMIFS(
    PriceRef!$D$2:$D109,
    PriceRef!$A$2:$A109, "Seat",
    PriceRef!$B$2:$B109, $B35,
    PriceRef!$C$2:$C109, $C35
  ),
  SUMIFS(
    PriceRef!$D$2:$D109,
    PriceRef!$A$2:$A109, "Stitching",
    PriceRef!$C$2:$C109, $F35
  ),
  SUMIFS(
    PriceRef!$D$2:$D109,
    PriceRef!$A$2:$A109, "Suede",
    PriceRef!$C$2:$C109, $E35
  ),
  SUMIFS(
    PriceRef!$D$2:$D109,
    PriceRef!$A$2:$A109, "TwoTone",
    PriceRef!$C$2:$C109, $G35
  )
)</f>
        <v>695</v>
      </c>
    </row>
    <row r="36">
      <c r="A36" s="60" t="s">
        <v>1477</v>
      </c>
      <c r="B36" s="61" t="s">
        <v>1478</v>
      </c>
      <c r="C36" s="61" t="s">
        <v>726</v>
      </c>
      <c r="D36" s="61" t="s">
        <v>841</v>
      </c>
      <c r="E36" s="61" t="s">
        <v>1479</v>
      </c>
      <c r="F36" s="61"/>
      <c r="G36" s="61"/>
      <c r="H36" s="62" t="s">
        <v>771</v>
      </c>
      <c r="I36" s="63" t="s">
        <v>1488</v>
      </c>
      <c r="J36" s="65" t="s">
        <v>817</v>
      </c>
      <c r="K36" s="66" t="str">
        <f t="shared" si="1"/>
        <v>3LZ AE4 HTT N2Z</v>
      </c>
      <c r="L36" s="64">
        <f>SUM(
  SUMIFS(
    PriceRef!$D$2:$D109,
    PriceRef!$A$2:$A109, "Seat",
    PriceRef!$B$2:$B109, $B36,
    PriceRef!$C$2:$C109, $C36
  ),
  SUMIFS(
    PriceRef!$D$2:$D109,
    PriceRef!$A$2:$A109, "Stitching",
    PriceRef!$C$2:$C109, $F36
  ),
  SUMIFS(
    PriceRef!$D$2:$D109,
    PriceRef!$A$2:$A109, "Suede",
    PriceRef!$C$2:$C109, $E36
  ),
  SUMIFS(
    PriceRef!$D$2:$D109,
    PriceRef!$A$2:$A109, "TwoTone",
    PriceRef!$C$2:$C109, $G36
  )
)</f>
        <v>1195</v>
      </c>
    </row>
    <row r="37">
      <c r="A37" s="60" t="s">
        <v>1477</v>
      </c>
      <c r="B37" s="61" t="s">
        <v>1478</v>
      </c>
      <c r="C37" s="61" t="s">
        <v>753</v>
      </c>
      <c r="D37" s="61" t="s">
        <v>862</v>
      </c>
      <c r="E37" s="61"/>
      <c r="F37" s="61"/>
      <c r="G37" s="61"/>
      <c r="H37" s="62" t="s">
        <v>795</v>
      </c>
      <c r="I37" s="63" t="s">
        <v>863</v>
      </c>
      <c r="J37" s="65" t="s">
        <v>817</v>
      </c>
      <c r="K37" s="66" t="str">
        <f t="shared" si="1"/>
        <v>3LZ AH2 HU1</v>
      </c>
      <c r="L37" s="64">
        <f>SUM(
  SUMIFS(
    PriceRef!$D$2:$D109,
    PriceRef!$A$2:$A109, "Seat",
    PriceRef!$B$2:$B109, $B37,
    PriceRef!$C$2:$C109, $C37
  ),
  SUMIFS(
    PriceRef!$D$2:$D109,
    PriceRef!$A$2:$A109, "Stitching",
    PriceRef!$C$2:$C109, $F37
  ),
  SUMIFS(
    PriceRef!$D$2:$D109,
    PriceRef!$A$2:$A109, "Suede",
    PriceRef!$C$2:$C109, $E37
  ),
  SUMIFS(
    PriceRef!$D$2:$D109,
    PriceRef!$A$2:$A109, "TwoTone",
    PriceRef!$C$2:$C109, $G37
  )
)</f>
        <v>0</v>
      </c>
    </row>
    <row r="38">
      <c r="A38" s="60" t="s">
        <v>1477</v>
      </c>
      <c r="B38" s="61" t="s">
        <v>1478</v>
      </c>
      <c r="C38" s="61" t="s">
        <v>726</v>
      </c>
      <c r="D38" s="61" t="s">
        <v>862</v>
      </c>
      <c r="E38" s="61"/>
      <c r="F38" s="61"/>
      <c r="G38" s="61"/>
      <c r="H38" s="62" t="s">
        <v>795</v>
      </c>
      <c r="I38" s="63" t="s">
        <v>864</v>
      </c>
      <c r="J38" s="65" t="s">
        <v>817</v>
      </c>
      <c r="K38" s="66" t="str">
        <f t="shared" si="1"/>
        <v>3LZ AE4 HU1</v>
      </c>
      <c r="L38" s="64">
        <f>SUM(
  SUMIFS(
    PriceRef!$D$2:$D109,
    PriceRef!$A$2:$A109, "Seat",
    PriceRef!$B$2:$B109, $B38,
    PriceRef!$C$2:$C109, $C38
  ),
  SUMIFS(
    PriceRef!$D$2:$D109,
    PriceRef!$A$2:$A109, "Stitching",
    PriceRef!$C$2:$C109, $F38
  ),
  SUMIFS(
    PriceRef!$D$2:$D109,
    PriceRef!$A$2:$A109, "Suede",
    PriceRef!$C$2:$C109, $E38
  ),
  SUMIFS(
    PriceRef!$D$2:$D109,
    PriceRef!$A$2:$A109, "TwoTone",
    PriceRef!$C$2:$C109, $G38
  )
)</f>
        <v>500</v>
      </c>
    </row>
    <row r="39">
      <c r="A39" s="60" t="s">
        <v>1477</v>
      </c>
      <c r="B39" s="61" t="s">
        <v>1478</v>
      </c>
      <c r="C39" s="61" t="s">
        <v>753</v>
      </c>
      <c r="D39" s="61" t="s">
        <v>862</v>
      </c>
      <c r="E39" s="61"/>
      <c r="F39" s="61"/>
      <c r="G39" s="61" t="s">
        <v>767</v>
      </c>
      <c r="H39" s="62" t="s">
        <v>797</v>
      </c>
      <c r="I39" s="63" t="s">
        <v>865</v>
      </c>
      <c r="J39" s="65" t="s">
        <v>817</v>
      </c>
      <c r="K39" s="66" t="str">
        <f t="shared" si="1"/>
        <v>3LZ AH2 HU1 TU7</v>
      </c>
      <c r="L39" s="64">
        <f>SUM(
  SUMIFS(
    PriceRef!$D$2:$D109,
    PriceRef!$A$2:$A109, "Seat",
    PriceRef!$B$2:$B109, $B39,
    PriceRef!$C$2:$C109, $C39
  ),
  SUMIFS(
    PriceRef!$D$2:$D109,
    PriceRef!$A$2:$A109, "Stitching",
    PriceRef!$C$2:$C109, $F39
  ),
  SUMIFS(
    PriceRef!$D$2:$D109,
    PriceRef!$A$2:$A109, "Suede",
    PriceRef!$C$2:$C109, $E39
  ),
  SUMIFS(
    PriceRef!$D$2:$D109,
    PriceRef!$A$2:$A109, "TwoTone",
    PriceRef!$C$2:$C109, $G39
  )
)</f>
        <v>595</v>
      </c>
    </row>
    <row r="40">
      <c r="A40" s="60" t="s">
        <v>1477</v>
      </c>
      <c r="B40" s="61" t="s">
        <v>1478</v>
      </c>
      <c r="C40" s="61" t="s">
        <v>753</v>
      </c>
      <c r="D40" s="61" t="s">
        <v>866</v>
      </c>
      <c r="E40" s="61"/>
      <c r="F40" s="61"/>
      <c r="G40" s="61"/>
      <c r="H40" s="62" t="s">
        <v>800</v>
      </c>
      <c r="I40" s="63" t="s">
        <v>867</v>
      </c>
      <c r="J40" s="65" t="s">
        <v>817</v>
      </c>
      <c r="K40" s="66" t="str">
        <f t="shared" si="1"/>
        <v>3LZ AH2 HU2</v>
      </c>
      <c r="L40" s="64">
        <f>SUM(
  SUMIFS(
    PriceRef!$D$2:$D109,
    PriceRef!$A$2:$A109, "Seat",
    PriceRef!$B$2:$B109, $B40,
    PriceRef!$C$2:$C109, $C40
  ),
  SUMIFS(
    PriceRef!$D$2:$D109,
    PriceRef!$A$2:$A109, "Stitching",
    PriceRef!$C$2:$C109, $F40
  ),
  SUMIFS(
    PriceRef!$D$2:$D109,
    PriceRef!$A$2:$A109, "Suede",
    PriceRef!$C$2:$C109, $E40
  ),
  SUMIFS(
    PriceRef!$D$2:$D109,
    PriceRef!$A$2:$A109, "TwoTone",
    PriceRef!$C$2:$C109, $G40
  )
)</f>
        <v>0</v>
      </c>
    </row>
    <row r="41">
      <c r="A41" s="60" t="s">
        <v>1477</v>
      </c>
      <c r="B41" s="61" t="s">
        <v>1478</v>
      </c>
      <c r="C41" s="61" t="s">
        <v>726</v>
      </c>
      <c r="D41" s="61" t="s">
        <v>866</v>
      </c>
      <c r="E41" s="61"/>
      <c r="F41" s="61"/>
      <c r="G41" s="61"/>
      <c r="H41" s="62" t="s">
        <v>800</v>
      </c>
      <c r="I41" s="63" t="s">
        <v>831</v>
      </c>
      <c r="J41" s="65" t="s">
        <v>817</v>
      </c>
      <c r="K41" s="66" t="str">
        <f t="shared" si="1"/>
        <v>3LZ AE4 HU2</v>
      </c>
      <c r="L41" s="64">
        <f>SUM(
  SUMIFS(
    PriceRef!$D$2:$D109,
    PriceRef!$A$2:$A109, "Seat",
    PriceRef!$B$2:$B109, $B41,
    PriceRef!$C$2:$C109, $C41
  ),
  SUMIFS(
    PriceRef!$D$2:$D109,
    PriceRef!$A$2:$A109, "Stitching",
    PriceRef!$C$2:$C109, $F41
  ),
  SUMIFS(
    PriceRef!$D$2:$D109,
    PriceRef!$A$2:$A109, "Suede",
    PriceRef!$C$2:$C109, $E41
  ),
  SUMIFS(
    PriceRef!$D$2:$D109,
    PriceRef!$A$2:$A109, "TwoTone",
    PriceRef!$C$2:$C109, $G41
  )
)</f>
        <v>500</v>
      </c>
    </row>
    <row r="42">
      <c r="A42" s="60" t="s">
        <v>1477</v>
      </c>
      <c r="B42" s="61" t="s">
        <v>1478</v>
      </c>
      <c r="C42" s="61" t="s">
        <v>753</v>
      </c>
      <c r="D42" s="61" t="s">
        <v>866</v>
      </c>
      <c r="E42" s="61"/>
      <c r="F42" s="61"/>
      <c r="G42" s="61" t="s">
        <v>767</v>
      </c>
      <c r="H42" s="62" t="s">
        <v>801</v>
      </c>
      <c r="I42" s="63" t="s">
        <v>868</v>
      </c>
      <c r="J42" s="65" t="s">
        <v>817</v>
      </c>
      <c r="K42" s="66" t="str">
        <f t="shared" si="1"/>
        <v>3LZ AH2 HU2 TU7</v>
      </c>
      <c r="L42" s="64">
        <f>SUM(
  SUMIFS(
    PriceRef!$D$2:$D109,
    PriceRef!$A$2:$A109, "Seat",
    PriceRef!$B$2:$B109, $B42,
    PriceRef!$C$2:$C109, $C42
  ),
  SUMIFS(
    PriceRef!$D$2:$D109,
    PriceRef!$A$2:$A109, "Stitching",
    PriceRef!$C$2:$C109, $F42
  ),
  SUMIFS(
    PriceRef!$D$2:$D109,
    PriceRef!$A$2:$A109, "Suede",
    PriceRef!$C$2:$C109, $E42
  ),
  SUMIFS(
    PriceRef!$D$2:$D109,
    PriceRef!$A$2:$A109, "TwoTone",
    PriceRef!$C$2:$C109, $G42
  )
)</f>
        <v>595</v>
      </c>
    </row>
    <row r="43">
      <c r="A43" s="60" t="s">
        <v>1477</v>
      </c>
      <c r="B43" s="61" t="s">
        <v>1478</v>
      </c>
      <c r="C43" s="61" t="s">
        <v>753</v>
      </c>
      <c r="D43" s="61" t="s">
        <v>869</v>
      </c>
      <c r="E43" s="61" t="s">
        <v>1479</v>
      </c>
      <c r="F43" s="61"/>
      <c r="G43" s="61"/>
      <c r="H43" s="62" t="s">
        <v>784</v>
      </c>
      <c r="I43" s="63" t="s">
        <v>1491</v>
      </c>
      <c r="J43" s="65" t="s">
        <v>817</v>
      </c>
      <c r="K43" s="66" t="str">
        <f t="shared" si="1"/>
        <v>3LZ AH2 HU9 N2Z</v>
      </c>
      <c r="L43" s="64">
        <f>SUM(
  SUMIFS(
    PriceRef!$D$2:$D109,
    PriceRef!$A$2:$A109, "Seat",
    PriceRef!$B$2:$B109, $B43,
    PriceRef!$C$2:$C109, $C43
  ),
  SUMIFS(
    PriceRef!$D$2:$D109,
    PriceRef!$A$2:$A109, "Stitching",
    PriceRef!$C$2:$C109, $F43
  ),
  SUMIFS(
    PriceRef!$D$2:$D109,
    PriceRef!$A$2:$A109, "Suede",
    PriceRef!$C$2:$C109, $E43
  ),
  SUMIFS(
    PriceRef!$D$2:$D109,
    PriceRef!$A$2:$A109, "TwoTone",
    PriceRef!$C$2:$C109, $G43
  )
)</f>
        <v>695</v>
      </c>
    </row>
    <row r="44">
      <c r="A44" s="60" t="s">
        <v>1477</v>
      </c>
      <c r="B44" s="61" t="s">
        <v>1478</v>
      </c>
      <c r="C44" s="61" t="s">
        <v>726</v>
      </c>
      <c r="D44" s="61" t="s">
        <v>869</v>
      </c>
      <c r="E44" s="61" t="s">
        <v>1479</v>
      </c>
      <c r="F44" s="61"/>
      <c r="G44" s="61"/>
      <c r="H44" s="62" t="s">
        <v>784</v>
      </c>
      <c r="I44" s="63" t="s">
        <v>1492</v>
      </c>
      <c r="J44" s="65" t="s">
        <v>817</v>
      </c>
      <c r="K44" s="66" t="str">
        <f t="shared" si="1"/>
        <v>3LZ AE4 HU9 N2Z</v>
      </c>
      <c r="L44" s="64">
        <f>SUM(
  SUMIFS(
    PriceRef!$D$2:$D109,
    PriceRef!$A$2:$A109, "Seat",
    PriceRef!$B$2:$B109, $B44,
    PriceRef!$C$2:$C109, $C44
  ),
  SUMIFS(
    PriceRef!$D$2:$D109,
    PriceRef!$A$2:$A109, "Stitching",
    PriceRef!$C$2:$C109, $F44
  ),
  SUMIFS(
    PriceRef!$D$2:$D109,
    PriceRef!$A$2:$A109, "Suede",
    PriceRef!$C$2:$C109, $E44
  ),
  SUMIFS(
    PriceRef!$D$2:$D109,
    PriceRef!$A$2:$A109, "TwoTone",
    PriceRef!$C$2:$C109, $G44
  )
)</f>
        <v>1195</v>
      </c>
    </row>
    <row r="45">
      <c r="A45" s="60" t="s">
        <v>1477</v>
      </c>
      <c r="B45" s="61" t="s">
        <v>1478</v>
      </c>
      <c r="C45" s="61" t="s">
        <v>753</v>
      </c>
      <c r="D45" s="61" t="s">
        <v>869</v>
      </c>
      <c r="E45" s="61" t="s">
        <v>1479</v>
      </c>
      <c r="F45" s="61"/>
      <c r="G45" s="61" t="s">
        <v>767</v>
      </c>
      <c r="H45" s="62" t="s">
        <v>787</v>
      </c>
      <c r="I45" s="63" t="s">
        <v>1493</v>
      </c>
      <c r="J45" s="65" t="s">
        <v>817</v>
      </c>
      <c r="K45" s="66" t="str">
        <f t="shared" si="1"/>
        <v>3LZ AH2 HU9 N2Z TU7</v>
      </c>
      <c r="L45" s="64">
        <f>SUM(
  SUMIFS(
    PriceRef!$D$2:$D109,
    PriceRef!$A$2:$A109, "Seat",
    PriceRef!$B$2:$B109, $B45,
    PriceRef!$C$2:$C109, $C45
  ),
  SUMIFS(
    PriceRef!$D$2:$D109,
    PriceRef!$A$2:$A109, "Stitching",
    PriceRef!$C$2:$C109, $F45
  ),
  SUMIFS(
    PriceRef!$D$2:$D109,
    PriceRef!$A$2:$A109, "Suede",
    PriceRef!$C$2:$C109, $E45
  ),
  SUMIFS(
    PriceRef!$D$2:$D109,
    PriceRef!$A$2:$A109, "TwoTone",
    PriceRef!$C$2:$C109, $G45
  )
)</f>
        <v>1290</v>
      </c>
    </row>
    <row r="46">
      <c r="A46" s="60" t="s">
        <v>1477</v>
      </c>
      <c r="B46" s="61" t="s">
        <v>1478</v>
      </c>
      <c r="C46" s="61" t="s">
        <v>726</v>
      </c>
      <c r="D46" s="61" t="s">
        <v>873</v>
      </c>
      <c r="E46" s="61" t="s">
        <v>1479</v>
      </c>
      <c r="F46" s="61"/>
      <c r="G46" s="61"/>
      <c r="H46" s="62" t="s">
        <v>790</v>
      </c>
      <c r="I46" s="63" t="s">
        <v>1481</v>
      </c>
      <c r="J46" s="65" t="s">
        <v>817</v>
      </c>
      <c r="K46" s="66" t="str">
        <f t="shared" si="1"/>
        <v>3LZ AE4 HUA N2Z</v>
      </c>
      <c r="L46" s="64">
        <f>SUM(
  SUMIFS(
    PriceRef!$D$2:$D109,
    PriceRef!$A$2:$A109, "Seat",
    PriceRef!$B$2:$B109, $B46,
    PriceRef!$C$2:$C109, $C46
  ),
  SUMIFS(
    PriceRef!$D$2:$D109,
    PriceRef!$A$2:$A109, "Stitching",
    PriceRef!$C$2:$C109, $F46
  ),
  SUMIFS(
    PriceRef!$D$2:$D109,
    PriceRef!$A$2:$A109, "Suede",
    PriceRef!$C$2:$C109, $E46
  ),
  SUMIFS(
    PriceRef!$D$2:$D109,
    PriceRef!$A$2:$A109, "TwoTone",
    PriceRef!$C$2:$C109, $G46
  )
)</f>
        <v>1195</v>
      </c>
    </row>
    <row r="47">
      <c r="A47" s="60" t="s">
        <v>1477</v>
      </c>
      <c r="B47" s="61" t="s">
        <v>1478</v>
      </c>
      <c r="C47" s="61" t="s">
        <v>753</v>
      </c>
      <c r="D47" s="61" t="s">
        <v>873</v>
      </c>
      <c r="E47" s="61" t="s">
        <v>1479</v>
      </c>
      <c r="F47" s="61"/>
      <c r="G47" s="61" t="s">
        <v>767</v>
      </c>
      <c r="H47" s="62" t="s">
        <v>790</v>
      </c>
      <c r="I47" s="63" t="s">
        <v>1494</v>
      </c>
      <c r="J47" s="65" t="s">
        <v>817</v>
      </c>
      <c r="K47" s="66" t="str">
        <f t="shared" si="1"/>
        <v>3LZ AH2 HUA N2Z TU7</v>
      </c>
      <c r="L47" s="64">
        <f>SUM(
  SUMIFS(
    PriceRef!$D$2:$D109,
    PriceRef!$A$2:$A109, "Seat",
    PriceRef!$B$2:$B109, $B47,
    PriceRef!$C$2:$C109, $C47
  ),
  SUMIFS(
    PriceRef!$D$2:$D109,
    PriceRef!$A$2:$A109, "Stitching",
    PriceRef!$C$2:$C109, $F47
  ),
  SUMIFS(
    PriceRef!$D$2:$D109,
    PriceRef!$A$2:$A109, "Suede",
    PriceRef!$C$2:$C109, $E47
  ),
  SUMIFS(
    PriceRef!$D$2:$D109,
    PriceRef!$A$2:$A109, "TwoTone",
    PriceRef!$C$2:$C109, $G47
  )
)</f>
        <v>1290</v>
      </c>
    </row>
    <row r="48">
      <c r="A48" s="60" t="s">
        <v>1477</v>
      </c>
      <c r="B48" s="61" t="s">
        <v>1478</v>
      </c>
      <c r="C48" s="61" t="s">
        <v>753</v>
      </c>
      <c r="D48" s="61" t="s">
        <v>856</v>
      </c>
      <c r="E48" s="61" t="s">
        <v>1479</v>
      </c>
      <c r="F48" s="61"/>
      <c r="G48" s="61"/>
      <c r="H48" s="62" t="s">
        <v>857</v>
      </c>
      <c r="I48" s="63" t="s">
        <v>851</v>
      </c>
      <c r="J48" s="65" t="s">
        <v>817</v>
      </c>
      <c r="K48" s="66" t="str">
        <f t="shared" si="1"/>
        <v>3LZ AH2 HUB N2Z</v>
      </c>
      <c r="L48" s="64">
        <f>SUM(
  SUMIFS(
    PriceRef!$D$2:$D109,
    PriceRef!$A$2:$A109, "Seat",
    PriceRef!$B$2:$B109, $B48,
    PriceRef!$C$2:$C109, $C48
  ),
  SUMIFS(
    PriceRef!$D$2:$D109,
    PriceRef!$A$2:$A109, "Stitching",
    PriceRef!$C$2:$C109, $F48
  ),
  SUMIFS(
    PriceRef!$D$2:$D109,
    PriceRef!$A$2:$A109, "Suede",
    PriceRef!$C$2:$C109, $E48
  ),
  SUMIFS(
    PriceRef!$D$2:$D109,
    PriceRef!$A$2:$A109, "TwoTone",
    PriceRef!$C$2:$C109, $G48
  )
)</f>
        <v>695</v>
      </c>
    </row>
    <row r="49">
      <c r="A49" s="60" t="s">
        <v>1477</v>
      </c>
      <c r="B49" s="61" t="s">
        <v>1478</v>
      </c>
      <c r="C49" s="61" t="s">
        <v>753</v>
      </c>
      <c r="D49" s="61" t="s">
        <v>856</v>
      </c>
      <c r="E49" s="61" t="s">
        <v>1479</v>
      </c>
      <c r="F49" s="61" t="s">
        <v>749</v>
      </c>
      <c r="G49" s="61"/>
      <c r="H49" s="62" t="s">
        <v>858</v>
      </c>
      <c r="I49" s="63" t="s">
        <v>1489</v>
      </c>
      <c r="J49" s="65" t="s">
        <v>817</v>
      </c>
      <c r="K49" s="66" t="str">
        <f t="shared" si="1"/>
        <v>3LZ AH2 HUB 36S N2Z</v>
      </c>
      <c r="L49" s="64">
        <f>SUM(
  SUMIFS(
    PriceRef!$D$2:$D109,
    PriceRef!$A$2:$A109, "Seat",
    PriceRef!$B$2:$B109, $B49,
    PriceRef!$C$2:$C109, $C49
  ),
  SUMIFS(
    PriceRef!$D$2:$D109,
    PriceRef!$A$2:$A109, "Stitching",
    PriceRef!$C$2:$C109, $F49
  ),
  SUMIFS(
    PriceRef!$D$2:$D109,
    PriceRef!$A$2:$A109, "Suede",
    PriceRef!$C$2:$C109, $E49
  ),
  SUMIFS(
    PriceRef!$D$2:$D109,
    PriceRef!$A$2:$A109, "TwoTone",
    PriceRef!$C$2:$C109, $G49
  )
)</f>
        <v>1190</v>
      </c>
    </row>
    <row r="50">
      <c r="A50" s="60" t="s">
        <v>1477</v>
      </c>
      <c r="B50" s="61" t="s">
        <v>1478</v>
      </c>
      <c r="C50" s="61" t="s">
        <v>753</v>
      </c>
      <c r="D50" s="61" t="s">
        <v>856</v>
      </c>
      <c r="E50" s="61" t="s">
        <v>1479</v>
      </c>
      <c r="F50" s="61" t="s">
        <v>751</v>
      </c>
      <c r="G50" s="61"/>
      <c r="H50" s="62" t="s">
        <v>859</v>
      </c>
      <c r="I50" s="63" t="s">
        <v>1489</v>
      </c>
      <c r="J50" s="65" t="s">
        <v>817</v>
      </c>
      <c r="K50" s="66" t="str">
        <f t="shared" si="1"/>
        <v>3LZ AH2 HUB 37S N2Z</v>
      </c>
      <c r="L50" s="64">
        <f>SUM(
  SUMIFS(
    PriceRef!$D$2:$D109,
    PriceRef!$A$2:$A109, "Seat",
    PriceRef!$B$2:$B109, $B50,
    PriceRef!$C$2:$C109, $C50
  ),
  SUMIFS(
    PriceRef!$D$2:$D109,
    PriceRef!$A$2:$A109, "Stitching",
    PriceRef!$C$2:$C109, $F50
  ),
  SUMIFS(
    PriceRef!$D$2:$D109,
    PriceRef!$A$2:$A109, "Suede",
    PriceRef!$C$2:$C109, $E50
  ),
  SUMIFS(
    PriceRef!$D$2:$D109,
    PriceRef!$A$2:$A109, "TwoTone",
    PriceRef!$C$2:$C109, $G50
  )
)</f>
        <v>1190</v>
      </c>
    </row>
    <row r="51">
      <c r="A51" s="60" t="s">
        <v>1477</v>
      </c>
      <c r="B51" s="61" t="s">
        <v>1478</v>
      </c>
      <c r="C51" s="61" t="s">
        <v>753</v>
      </c>
      <c r="D51" s="61" t="s">
        <v>856</v>
      </c>
      <c r="E51" s="61" t="s">
        <v>1479</v>
      </c>
      <c r="F51" s="61" t="s">
        <v>746</v>
      </c>
      <c r="G51" s="61"/>
      <c r="H51" s="62" t="s">
        <v>860</v>
      </c>
      <c r="I51" s="63" t="s">
        <v>1489</v>
      </c>
      <c r="J51" s="65" t="s">
        <v>817</v>
      </c>
      <c r="K51" s="66" t="str">
        <f t="shared" si="1"/>
        <v>3LZ AH2 HUB 38S N2Z</v>
      </c>
      <c r="L51" s="64">
        <f>SUM(
  SUMIFS(
    PriceRef!$D$2:$D109,
    PriceRef!$A$2:$A109, "Seat",
    PriceRef!$B$2:$B109, $B51,
    PriceRef!$C$2:$C109, $C51
  ),
  SUMIFS(
    PriceRef!$D$2:$D109,
    PriceRef!$A$2:$A109, "Stitching",
    PriceRef!$C$2:$C109, $F51
  ),
  SUMIFS(
    PriceRef!$D$2:$D109,
    PriceRef!$A$2:$A109, "Suede",
    PriceRef!$C$2:$C109, $E51
  ),
  SUMIFS(
    PriceRef!$D$2:$D109,
    PriceRef!$A$2:$A109, "TwoTone",
    PriceRef!$C$2:$C109, $G51
  )
)</f>
        <v>1190</v>
      </c>
    </row>
    <row r="52">
      <c r="A52" s="60" t="s">
        <v>1477</v>
      </c>
      <c r="B52" s="61" t="s">
        <v>1478</v>
      </c>
      <c r="C52" s="61" t="s">
        <v>726</v>
      </c>
      <c r="D52" s="61" t="s">
        <v>856</v>
      </c>
      <c r="E52" s="61" t="s">
        <v>1479</v>
      </c>
      <c r="F52" s="61"/>
      <c r="G52" s="61"/>
      <c r="H52" s="62" t="s">
        <v>861</v>
      </c>
      <c r="I52" s="63" t="s">
        <v>1490</v>
      </c>
      <c r="J52" s="65" t="s">
        <v>817</v>
      </c>
      <c r="K52" s="66" t="str">
        <f t="shared" si="1"/>
        <v>3LZ AE4 HUB N2Z</v>
      </c>
      <c r="L52" s="64">
        <f>SUM(
  SUMIFS(
    PriceRef!$D$2:$D109,
    PriceRef!$A$2:$A109, "Seat",
    PriceRef!$B$2:$B109, $B52,
    PriceRef!$C$2:$C109, $C52
  ),
  SUMIFS(
    PriceRef!$D$2:$D109,
    PriceRef!$A$2:$A109, "Stitching",
    PriceRef!$C$2:$C109, $F52
  ),
  SUMIFS(
    PriceRef!$D$2:$D109,
    PriceRef!$A$2:$A109, "Suede",
    PriceRef!$C$2:$C109, $E52
  ),
  SUMIFS(
    PriceRef!$D$2:$D109,
    PriceRef!$A$2:$A109, "TwoTone",
    PriceRef!$C$2:$C109, $G52
  )
)</f>
        <v>1195</v>
      </c>
    </row>
    <row r="53">
      <c r="A53" s="60" t="s">
        <v>1477</v>
      </c>
      <c r="B53" s="61" t="s">
        <v>1478</v>
      </c>
      <c r="C53" s="61" t="s">
        <v>726</v>
      </c>
      <c r="D53" s="61" t="s">
        <v>856</v>
      </c>
      <c r="E53" s="61" t="s">
        <v>1479</v>
      </c>
      <c r="F53" s="61" t="s">
        <v>749</v>
      </c>
      <c r="G53" s="61"/>
      <c r="H53" s="62" t="s">
        <v>858</v>
      </c>
      <c r="I53" s="63" t="s">
        <v>1490</v>
      </c>
      <c r="J53" s="65" t="s">
        <v>817</v>
      </c>
      <c r="K53" s="66" t="str">
        <f t="shared" si="1"/>
        <v>3LZ AE4 HUB 36S N2Z</v>
      </c>
      <c r="L53" s="64">
        <f>SUM(
  SUMIFS(
    PriceRef!$D$2:$D109,
    PriceRef!$A$2:$A109, "Seat",
    PriceRef!$B$2:$B109, $B53,
    PriceRef!$C$2:$C109, $C53
  ),
  SUMIFS(
    PriceRef!$D$2:$D109,
    PriceRef!$A$2:$A109, "Stitching",
    PriceRef!$C$2:$C109, $F53
  ),
  SUMIFS(
    PriceRef!$D$2:$D109,
    PriceRef!$A$2:$A109, "Suede",
    PriceRef!$C$2:$C109, $E53
  ),
  SUMIFS(
    PriceRef!$D$2:$D109,
    PriceRef!$A$2:$A109, "TwoTone",
    PriceRef!$C$2:$C109, $G53
  )
)</f>
        <v>1690</v>
      </c>
    </row>
    <row r="54">
      <c r="A54" s="60" t="s">
        <v>1477</v>
      </c>
      <c r="B54" s="61" t="s">
        <v>1478</v>
      </c>
      <c r="C54" s="61" t="s">
        <v>726</v>
      </c>
      <c r="D54" s="61" t="s">
        <v>856</v>
      </c>
      <c r="E54" s="61" t="s">
        <v>1479</v>
      </c>
      <c r="F54" s="61" t="s">
        <v>751</v>
      </c>
      <c r="G54" s="61"/>
      <c r="H54" s="62" t="s">
        <v>859</v>
      </c>
      <c r="I54" s="63" t="s">
        <v>1490</v>
      </c>
      <c r="J54" s="65" t="s">
        <v>817</v>
      </c>
      <c r="K54" s="66" t="str">
        <f t="shared" si="1"/>
        <v>3LZ AE4 HUB 37S N2Z</v>
      </c>
      <c r="L54" s="64">
        <f>SUM(
  SUMIFS(
    PriceRef!$D$2:$D109,
    PriceRef!$A$2:$A109, "Seat",
    PriceRef!$B$2:$B109, $B54,
    PriceRef!$C$2:$C109, $C54
  ),
  SUMIFS(
    PriceRef!$D$2:$D109,
    PriceRef!$A$2:$A109, "Stitching",
    PriceRef!$C$2:$C109, $F54
  ),
  SUMIFS(
    PriceRef!$D$2:$D109,
    PriceRef!$A$2:$A109, "Suede",
    PriceRef!$C$2:$C109, $E54
  ),
  SUMIFS(
    PriceRef!$D$2:$D109,
    PriceRef!$A$2:$A109, "TwoTone",
    PriceRef!$C$2:$C109, $G54
  )
)</f>
        <v>1690</v>
      </c>
    </row>
    <row r="55">
      <c r="A55" s="60" t="s">
        <v>1477</v>
      </c>
      <c r="B55" s="61" t="s">
        <v>1478</v>
      </c>
      <c r="C55" s="61" t="s">
        <v>726</v>
      </c>
      <c r="D55" s="61" t="s">
        <v>856</v>
      </c>
      <c r="E55" s="61" t="s">
        <v>1479</v>
      </c>
      <c r="F55" s="61" t="s">
        <v>746</v>
      </c>
      <c r="G55" s="61"/>
      <c r="H55" s="62" t="s">
        <v>860</v>
      </c>
      <c r="I55" s="63" t="s">
        <v>1490</v>
      </c>
      <c r="J55" s="65" t="s">
        <v>817</v>
      </c>
      <c r="K55" s="66" t="str">
        <f t="shared" si="1"/>
        <v>3LZ AE4 HUB 38S N2Z</v>
      </c>
      <c r="L55" s="64">
        <f>SUM(
  SUMIFS(
    PriceRef!$D$2:$D109,
    PriceRef!$A$2:$A109, "Seat",
    PriceRef!$B$2:$B109, $B55,
    PriceRef!$C$2:$C109, $C55
  ),
  SUMIFS(
    PriceRef!$D$2:$D109,
    PriceRef!$A$2:$A109, "Stitching",
    PriceRef!$C$2:$C109, $F55
  ),
  SUMIFS(
    PriceRef!$D$2:$D109,
    PriceRef!$A$2:$A109, "Suede",
    PriceRef!$C$2:$C109, $E55
  ),
  SUMIFS(
    PriceRef!$D$2:$D109,
    PriceRef!$A$2:$A109, "TwoTone",
    PriceRef!$C$2:$C109, $G55
  )
)</f>
        <v>1690</v>
      </c>
    </row>
    <row r="56">
      <c r="A56" s="60" t="s">
        <v>1477</v>
      </c>
      <c r="B56" s="61" t="s">
        <v>1478</v>
      </c>
      <c r="C56" s="61" t="s">
        <v>753</v>
      </c>
      <c r="D56" s="61" t="s">
        <v>849</v>
      </c>
      <c r="E56" s="61"/>
      <c r="F56" s="61"/>
      <c r="G56" s="61"/>
      <c r="H56" s="62" t="s">
        <v>850</v>
      </c>
      <c r="I56" s="63" t="s">
        <v>851</v>
      </c>
      <c r="J56" s="65" t="s">
        <v>817</v>
      </c>
      <c r="K56" s="66" t="str">
        <f t="shared" si="1"/>
        <v>3LZ AH2 HUC</v>
      </c>
      <c r="L56" s="64">
        <f>SUM(
  SUMIFS(
    PriceRef!$D$2:$D109,
    PriceRef!$A$2:$A109, "Seat",
    PriceRef!$B$2:$B109, $B56,
    PriceRef!$C$2:$C109, $C56
  ),
  SUMIFS(
    PriceRef!$D$2:$D109,
    PriceRef!$A$2:$A109, "Stitching",
    PriceRef!$C$2:$C109, $F56
  ),
  SUMIFS(
    PriceRef!$D$2:$D109,
    PriceRef!$A$2:$A109, "Suede",
    PriceRef!$C$2:$C109, $E56
  ),
  SUMIFS(
    PriceRef!$D$2:$D109,
    PriceRef!$A$2:$A109, "TwoTone",
    PriceRef!$C$2:$C109, $G56
  )
)</f>
        <v>0</v>
      </c>
    </row>
    <row r="57">
      <c r="A57" s="60" t="s">
        <v>1477</v>
      </c>
      <c r="B57" s="61" t="s">
        <v>1478</v>
      </c>
      <c r="C57" s="61" t="s">
        <v>753</v>
      </c>
      <c r="D57" s="61" t="s">
        <v>849</v>
      </c>
      <c r="E57" s="61"/>
      <c r="F57" s="61" t="s">
        <v>749</v>
      </c>
      <c r="G57" s="61"/>
      <c r="H57" s="62" t="s">
        <v>852</v>
      </c>
      <c r="I57" s="63" t="s">
        <v>851</v>
      </c>
      <c r="J57" s="65" t="s">
        <v>817</v>
      </c>
      <c r="K57" s="66" t="str">
        <f t="shared" si="1"/>
        <v>3LZ AH2 HUC 36S</v>
      </c>
      <c r="L57" s="64">
        <f>SUM(
  SUMIFS(
    PriceRef!$D$2:$D109,
    PriceRef!$A$2:$A109, "Seat",
    PriceRef!$B$2:$B109, $B57,
    PriceRef!$C$2:$C109, $C57
  ),
  SUMIFS(
    PriceRef!$D$2:$D109,
    PriceRef!$A$2:$A109, "Stitching",
    PriceRef!$C$2:$C109, $F57
  ),
  SUMIFS(
    PriceRef!$D$2:$D109,
    PriceRef!$A$2:$A109, "Suede",
    PriceRef!$C$2:$C109, $E57
  ),
  SUMIFS(
    PriceRef!$D$2:$D109,
    PriceRef!$A$2:$A109, "TwoTone",
    PriceRef!$C$2:$C109, $G57
  )
)</f>
        <v>495</v>
      </c>
    </row>
    <row r="58">
      <c r="A58" s="60" t="s">
        <v>1477</v>
      </c>
      <c r="B58" s="61" t="s">
        <v>1478</v>
      </c>
      <c r="C58" s="61" t="s">
        <v>753</v>
      </c>
      <c r="D58" s="61" t="s">
        <v>849</v>
      </c>
      <c r="E58" s="61"/>
      <c r="F58" s="61" t="s">
        <v>751</v>
      </c>
      <c r="G58" s="61"/>
      <c r="H58" s="62" t="s">
        <v>853</v>
      </c>
      <c r="I58" s="63" t="s">
        <v>851</v>
      </c>
      <c r="J58" s="65" t="s">
        <v>817</v>
      </c>
      <c r="K58" s="66" t="str">
        <f t="shared" si="1"/>
        <v>3LZ AH2 HUC 37S</v>
      </c>
      <c r="L58" s="64">
        <f>SUM(
  SUMIFS(
    PriceRef!$D$2:$D109,
    PriceRef!$A$2:$A109, "Seat",
    PriceRef!$B$2:$B109, $B58,
    PriceRef!$C$2:$C109, $C58
  ),
  SUMIFS(
    PriceRef!$D$2:$D109,
    PriceRef!$A$2:$A109, "Stitching",
    PriceRef!$C$2:$C109, $F58
  ),
  SUMIFS(
    PriceRef!$D$2:$D109,
    PriceRef!$A$2:$A109, "Suede",
    PriceRef!$C$2:$C109, $E58
  ),
  SUMIFS(
    PriceRef!$D$2:$D109,
    PriceRef!$A$2:$A109, "TwoTone",
    PriceRef!$C$2:$C109, $G58
  )
)</f>
        <v>495</v>
      </c>
    </row>
    <row r="59">
      <c r="A59" s="60" t="s">
        <v>1477</v>
      </c>
      <c r="B59" s="61" t="s">
        <v>1478</v>
      </c>
      <c r="C59" s="61" t="s">
        <v>753</v>
      </c>
      <c r="D59" s="61" t="s">
        <v>849</v>
      </c>
      <c r="E59" s="61"/>
      <c r="F59" s="61" t="s">
        <v>746</v>
      </c>
      <c r="G59" s="61"/>
      <c r="H59" s="62" t="s">
        <v>854</v>
      </c>
      <c r="I59" s="63" t="s">
        <v>851</v>
      </c>
      <c r="J59" s="65" t="s">
        <v>817</v>
      </c>
      <c r="K59" s="66" t="str">
        <f t="shared" si="1"/>
        <v>3LZ AH2 HUC 38S</v>
      </c>
      <c r="L59" s="64">
        <f>SUM(
  SUMIFS(
    PriceRef!$D$2:$D109,
    PriceRef!$A$2:$A109, "Seat",
    PriceRef!$B$2:$B109, $B59,
    PriceRef!$C$2:$C109, $C59
  ),
  SUMIFS(
    PriceRef!$D$2:$D109,
    PriceRef!$A$2:$A109, "Stitching",
    PriceRef!$C$2:$C109, $F59
  ),
  SUMIFS(
    PriceRef!$D$2:$D109,
    PriceRef!$A$2:$A109, "Suede",
    PriceRef!$C$2:$C109, $E59
  ),
  SUMIFS(
    PriceRef!$D$2:$D109,
    PriceRef!$A$2:$A109, "TwoTone",
    PriceRef!$C$2:$C109, $G59
  )
)</f>
        <v>495</v>
      </c>
    </row>
    <row r="60">
      <c r="A60" s="60" t="s">
        <v>1477</v>
      </c>
      <c r="B60" s="61" t="s">
        <v>1478</v>
      </c>
      <c r="C60" s="61" t="s">
        <v>726</v>
      </c>
      <c r="D60" s="61" t="s">
        <v>849</v>
      </c>
      <c r="E60" s="61"/>
      <c r="F60" s="61"/>
      <c r="G60" s="61"/>
      <c r="H60" s="62" t="s">
        <v>850</v>
      </c>
      <c r="I60" s="63" t="s">
        <v>855</v>
      </c>
      <c r="J60" s="65" t="s">
        <v>817</v>
      </c>
      <c r="K60" s="66" t="str">
        <f t="shared" si="1"/>
        <v>3LZ AE4 HUC</v>
      </c>
      <c r="L60" s="64">
        <f>SUM(
  SUMIFS(
    PriceRef!$D$2:$D109,
    PriceRef!$A$2:$A109, "Seat",
    PriceRef!$B$2:$B109, $B60,
    PriceRef!$C$2:$C109, $C60
  ),
  SUMIFS(
    PriceRef!$D$2:$D109,
    PriceRef!$A$2:$A109, "Stitching",
    PriceRef!$C$2:$C109, $F60
  ),
  SUMIFS(
    PriceRef!$D$2:$D109,
    PriceRef!$A$2:$A109, "Suede",
    PriceRef!$C$2:$C109, $E60
  ),
  SUMIFS(
    PriceRef!$D$2:$D109,
    PriceRef!$A$2:$A109, "TwoTone",
    PriceRef!$C$2:$C109, $G60
  )
)</f>
        <v>500</v>
      </c>
    </row>
    <row r="61">
      <c r="A61" s="60" t="s">
        <v>1477</v>
      </c>
      <c r="B61" s="61" t="s">
        <v>1478</v>
      </c>
      <c r="C61" s="61" t="s">
        <v>726</v>
      </c>
      <c r="D61" s="61" t="s">
        <v>849</v>
      </c>
      <c r="E61" s="61"/>
      <c r="F61" s="61" t="s">
        <v>749</v>
      </c>
      <c r="G61" s="61"/>
      <c r="H61" s="62" t="s">
        <v>852</v>
      </c>
      <c r="I61" s="63" t="s">
        <v>855</v>
      </c>
      <c r="J61" s="65" t="s">
        <v>817</v>
      </c>
      <c r="K61" s="66" t="str">
        <f t="shared" si="1"/>
        <v>3LZ AE4 HUC 36S</v>
      </c>
      <c r="L61" s="64">
        <f>SUM(
  SUMIFS(
    PriceRef!$D$2:$D109,
    PriceRef!$A$2:$A109, "Seat",
    PriceRef!$B$2:$B109, $B61,
    PriceRef!$C$2:$C109, $C61
  ),
  SUMIFS(
    PriceRef!$D$2:$D109,
    PriceRef!$A$2:$A109, "Stitching",
    PriceRef!$C$2:$C109, $F61
  ),
  SUMIFS(
    PriceRef!$D$2:$D109,
    PriceRef!$A$2:$A109, "Suede",
    PriceRef!$C$2:$C109, $E61
  ),
  SUMIFS(
    PriceRef!$D$2:$D109,
    PriceRef!$A$2:$A109, "TwoTone",
    PriceRef!$C$2:$C109, $G61
  )
)</f>
        <v>995</v>
      </c>
    </row>
    <row r="62">
      <c r="A62" s="60" t="s">
        <v>1477</v>
      </c>
      <c r="B62" s="61" t="s">
        <v>1478</v>
      </c>
      <c r="C62" s="61" t="s">
        <v>726</v>
      </c>
      <c r="D62" s="61" t="s">
        <v>849</v>
      </c>
      <c r="E62" s="61"/>
      <c r="F62" s="61" t="s">
        <v>751</v>
      </c>
      <c r="G62" s="61"/>
      <c r="H62" s="62" t="s">
        <v>853</v>
      </c>
      <c r="I62" s="63" t="s">
        <v>855</v>
      </c>
      <c r="J62" s="65" t="s">
        <v>817</v>
      </c>
      <c r="K62" s="66" t="str">
        <f t="shared" si="1"/>
        <v>3LZ AE4 HUC 37S</v>
      </c>
      <c r="L62" s="64">
        <f>SUM(
  SUMIFS(
    PriceRef!$D$2:$D109,
    PriceRef!$A$2:$A109, "Seat",
    PriceRef!$B$2:$B109, $B62,
    PriceRef!$C$2:$C109, $C62
  ),
  SUMIFS(
    PriceRef!$D$2:$D109,
    PriceRef!$A$2:$A109, "Stitching",
    PriceRef!$C$2:$C109, $F62
  ),
  SUMIFS(
    PriceRef!$D$2:$D109,
    PriceRef!$A$2:$A109, "Suede",
    PriceRef!$C$2:$C109, $E62
  ),
  SUMIFS(
    PriceRef!$D$2:$D109,
    PriceRef!$A$2:$A109, "TwoTone",
    PriceRef!$C$2:$C109, $G62
  )
)</f>
        <v>995</v>
      </c>
    </row>
    <row r="63">
      <c r="A63" s="60" t="s">
        <v>1477</v>
      </c>
      <c r="B63" s="61" t="s">
        <v>1478</v>
      </c>
      <c r="C63" s="61" t="s">
        <v>726</v>
      </c>
      <c r="D63" s="61" t="s">
        <v>849</v>
      </c>
      <c r="E63" s="61"/>
      <c r="F63" s="61" t="s">
        <v>746</v>
      </c>
      <c r="G63" s="61"/>
      <c r="H63" s="62" t="s">
        <v>854</v>
      </c>
      <c r="I63" s="63" t="s">
        <v>855</v>
      </c>
      <c r="J63" s="65" t="s">
        <v>817</v>
      </c>
      <c r="K63" s="66" t="str">
        <f t="shared" si="1"/>
        <v>3LZ AE4 HUC 38S</v>
      </c>
      <c r="L63" s="64">
        <f>SUM(
  SUMIFS(
    PriceRef!$D$2:$D109,
    PriceRef!$A$2:$A109, "Seat",
    PriceRef!$B$2:$B109, $B63,
    PriceRef!$C$2:$C109, $C63
  ),
  SUMIFS(
    PriceRef!$D$2:$D109,
    PriceRef!$A$2:$A109, "Stitching",
    PriceRef!$C$2:$C109, $F63
  ),
  SUMIFS(
    PriceRef!$D$2:$D109,
    PriceRef!$A$2:$A109, "Suede",
    PriceRef!$C$2:$C109, $E63
  ),
  SUMIFS(
    PriceRef!$D$2:$D109,
    PriceRef!$A$2:$A109, "TwoTone",
    PriceRef!$C$2:$C109, $G63
  )
)</f>
        <v>995</v>
      </c>
    </row>
    <row r="64">
      <c r="A64" s="60" t="s">
        <v>1477</v>
      </c>
      <c r="B64" s="61" t="s">
        <v>1478</v>
      </c>
      <c r="C64" s="61" t="s">
        <v>753</v>
      </c>
      <c r="D64" s="61" t="s">
        <v>875</v>
      </c>
      <c r="E64" s="61"/>
      <c r="F64" s="61"/>
      <c r="G64" s="61"/>
      <c r="H64" s="62" t="s">
        <v>764</v>
      </c>
      <c r="I64" s="63" t="s">
        <v>876</v>
      </c>
      <c r="J64" s="65" t="s">
        <v>817</v>
      </c>
      <c r="K64" s="66" t="str">
        <f t="shared" si="1"/>
        <v>3LZ AH2 HUE</v>
      </c>
      <c r="L64" s="64">
        <f>SUM(
  SUMIFS(
    PriceRef!$D$2:$D109,
    PriceRef!$A$2:$A109, "Seat",
    PriceRef!$B$2:$B109, $B64,
    PriceRef!$C$2:$C109, $C64
  ),
  SUMIFS(
    PriceRef!$D$2:$D109,
    PriceRef!$A$2:$A109, "Stitching",
    PriceRef!$C$2:$C109, $F64
  ),
  SUMIFS(
    PriceRef!$D$2:$D109,
    PriceRef!$A$2:$A109, "Suede",
    PriceRef!$C$2:$C109, $E64
  ),
  SUMIFS(
    PriceRef!$D$2:$D109,
    PriceRef!$A$2:$A109, "TwoTone",
    PriceRef!$C$2:$C109, $G64
  )
)</f>
        <v>0</v>
      </c>
    </row>
    <row r="65">
      <c r="A65" s="60" t="s">
        <v>1477</v>
      </c>
      <c r="B65" s="61" t="s">
        <v>1478</v>
      </c>
      <c r="C65" s="61" t="s">
        <v>726</v>
      </c>
      <c r="D65" s="61" t="s">
        <v>875</v>
      </c>
      <c r="E65" s="61"/>
      <c r="F65" s="61"/>
      <c r="G65" s="61"/>
      <c r="H65" s="62" t="s">
        <v>764</v>
      </c>
      <c r="I65" s="63" t="s">
        <v>831</v>
      </c>
      <c r="J65" s="65" t="s">
        <v>817</v>
      </c>
      <c r="K65" s="66" t="str">
        <f t="shared" si="1"/>
        <v>3LZ AE4 HUE</v>
      </c>
      <c r="L65" s="64">
        <f>SUM(
  SUMIFS(
    PriceRef!$D$2:$D109,
    PriceRef!$A$2:$A109, "Seat",
    PriceRef!$B$2:$B109, $B65,
    PriceRef!$C$2:$C109, $C65
  ),
  SUMIFS(
    PriceRef!$D$2:$D109,
    PriceRef!$A$2:$A109, "Stitching",
    PriceRef!$C$2:$C109, $F65
  ),
  SUMIFS(
    PriceRef!$D$2:$D109,
    PriceRef!$A$2:$A109, "Suede",
    PriceRef!$C$2:$C109, $E65
  ),
  SUMIFS(
    PriceRef!$D$2:$D109,
    PriceRef!$A$2:$A109, "TwoTone",
    PriceRef!$C$2:$C109, $G65
  )
)</f>
        <v>500</v>
      </c>
    </row>
    <row r="66">
      <c r="A66" s="60" t="s">
        <v>1477</v>
      </c>
      <c r="B66" s="61" t="s">
        <v>1478</v>
      </c>
      <c r="C66" s="61" t="s">
        <v>753</v>
      </c>
      <c r="D66" s="61" t="s">
        <v>875</v>
      </c>
      <c r="E66" s="61"/>
      <c r="F66" s="61"/>
      <c r="G66" s="61" t="s">
        <v>767</v>
      </c>
      <c r="H66" s="62" t="s">
        <v>768</v>
      </c>
      <c r="I66" s="63" t="s">
        <v>868</v>
      </c>
      <c r="J66" s="65" t="s">
        <v>817</v>
      </c>
      <c r="K66" s="66" t="str">
        <f t="shared" si="1"/>
        <v>3LZ AH2 HUE TU7</v>
      </c>
      <c r="L66" s="64">
        <f>SUM(
  SUMIFS(
    PriceRef!$D$2:$D109,
    PriceRef!$A$2:$A109, "Seat",
    PriceRef!$B$2:$B109, $B66,
    PriceRef!$C$2:$C109, $C66
  ),
  SUMIFS(
    PriceRef!$D$2:$D109,
    PriceRef!$A$2:$A109, "Stitching",
    PriceRef!$C$2:$C109, $F66
  ),
  SUMIFS(
    PriceRef!$D$2:$D109,
    PriceRef!$A$2:$A109, "Suede",
    PriceRef!$C$2:$C109, $E66
  ),
  SUMIFS(
    PriceRef!$D$2:$D109,
    PriceRef!$A$2:$A109, "TwoTone",
    PriceRef!$C$2:$C109, $G66
  )
)</f>
        <v>595</v>
      </c>
    </row>
    <row r="67">
      <c r="A67" s="60" t="s">
        <v>1477</v>
      </c>
      <c r="B67" s="61" t="s">
        <v>1478</v>
      </c>
      <c r="C67" s="61" t="s">
        <v>753</v>
      </c>
      <c r="D67" s="61" t="s">
        <v>877</v>
      </c>
      <c r="E67" s="61" t="s">
        <v>1479</v>
      </c>
      <c r="F67" s="61"/>
      <c r="G67" s="61"/>
      <c r="H67" s="62" t="s">
        <v>878</v>
      </c>
      <c r="I67" s="63" t="s">
        <v>1495</v>
      </c>
      <c r="J67" s="65" t="s">
        <v>817</v>
      </c>
      <c r="K67" s="66" t="str">
        <f t="shared" si="1"/>
        <v>3LZ AH2 HUF N2Z</v>
      </c>
      <c r="L67" s="64">
        <f>SUM(
  SUMIFS(
    PriceRef!$D$2:$D109,
    PriceRef!$A$2:$A109, "Seat",
    PriceRef!$B$2:$B109, $B67,
    PriceRef!$C$2:$C109, $C67
  ),
  SUMIFS(
    PriceRef!$D$2:$D109,
    PriceRef!$A$2:$A109, "Stitching",
    PriceRef!$C$2:$C109, $F67
  ),
  SUMIFS(
    PriceRef!$D$2:$D109,
    PriceRef!$A$2:$A109, "Suede",
    PriceRef!$C$2:$C109, $E67
  ),
  SUMIFS(
    PriceRef!$D$2:$D109,
    PriceRef!$A$2:$A109, "TwoTone",
    PriceRef!$C$2:$C109, $G67
  )
)</f>
        <v>695</v>
      </c>
    </row>
    <row r="68">
      <c r="A68" s="60" t="s">
        <v>1477</v>
      </c>
      <c r="B68" s="61" t="s">
        <v>1478</v>
      </c>
      <c r="C68" s="61" t="s">
        <v>726</v>
      </c>
      <c r="D68" s="61" t="s">
        <v>877</v>
      </c>
      <c r="E68" s="61" t="s">
        <v>1479</v>
      </c>
      <c r="F68" s="61"/>
      <c r="G68" s="61"/>
      <c r="H68" s="62" t="s">
        <v>878</v>
      </c>
      <c r="I68" s="63" t="s">
        <v>1496</v>
      </c>
      <c r="J68" s="65" t="s">
        <v>817</v>
      </c>
      <c r="K68" s="66" t="str">
        <f t="shared" si="1"/>
        <v>3LZ AE4 HUF N2Z</v>
      </c>
      <c r="L68" s="64">
        <f>SUM(
  SUMIFS(
    PriceRef!$D$2:$D109,
    PriceRef!$A$2:$A109, "Seat",
    PriceRef!$B$2:$B109, $B68,
    PriceRef!$C$2:$C109, $C68
  ),
  SUMIFS(
    PriceRef!$D$2:$D109,
    PriceRef!$A$2:$A109, "Stitching",
    PriceRef!$C$2:$C109, $F68
  ),
  SUMIFS(
    PriceRef!$D$2:$D109,
    PriceRef!$A$2:$A109, "Suede",
    PriceRef!$C$2:$C109, $E68
  ),
  SUMIFS(
    PriceRef!$D$2:$D109,
    PriceRef!$A$2:$A109, "TwoTone",
    PriceRef!$C$2:$C109, $G68
  )
)</f>
        <v>1195</v>
      </c>
    </row>
    <row r="69">
      <c r="A69" s="60" t="s">
        <v>1477</v>
      </c>
      <c r="B69" s="61" t="s">
        <v>1478</v>
      </c>
      <c r="C69" s="61" t="s">
        <v>753</v>
      </c>
      <c r="D69" s="61" t="s">
        <v>881</v>
      </c>
      <c r="E69" s="61"/>
      <c r="F69" s="61"/>
      <c r="G69" s="61"/>
      <c r="H69" s="62" t="s">
        <v>882</v>
      </c>
      <c r="I69" s="63" t="s">
        <v>883</v>
      </c>
      <c r="J69" s="65" t="s">
        <v>817</v>
      </c>
      <c r="K69" s="66" t="str">
        <f t="shared" si="1"/>
        <v>3LZ AH2 HUW</v>
      </c>
      <c r="L69" s="64">
        <f>SUM(
  SUMIFS(
    PriceRef!$D$2:$D109,
    PriceRef!$A$2:$A109, "Seat",
    PriceRef!$B$2:$B109, $B69,
    PriceRef!$C$2:$C109, $C69
  ),
  SUMIFS(
    PriceRef!$D$2:$D109,
    PriceRef!$A$2:$A109, "Stitching",
    PriceRef!$C$2:$C109, $F69
  ),
  SUMIFS(
    PriceRef!$D$2:$D109,
    PriceRef!$A$2:$A109, "Suede",
    PriceRef!$C$2:$C109, $E69
  ),
  SUMIFS(
    PriceRef!$D$2:$D109,
    PriceRef!$A$2:$A109, "TwoTone",
    PriceRef!$C$2:$C109, $G69
  )
)</f>
        <v>0</v>
      </c>
    </row>
    <row r="70">
      <c r="A70" s="60" t="s">
        <v>1477</v>
      </c>
      <c r="B70" s="61" t="s">
        <v>1478</v>
      </c>
      <c r="C70" s="61" t="s">
        <v>726</v>
      </c>
      <c r="D70" s="61" t="s">
        <v>881</v>
      </c>
      <c r="E70" s="61"/>
      <c r="F70" s="61"/>
      <c r="G70" s="61"/>
      <c r="H70" s="62" t="s">
        <v>882</v>
      </c>
      <c r="I70" s="63" t="s">
        <v>884</v>
      </c>
      <c r="J70" s="65" t="s">
        <v>817</v>
      </c>
      <c r="K70" s="66" t="str">
        <f t="shared" si="1"/>
        <v>3LZ AE4 HUW</v>
      </c>
      <c r="L70" s="64">
        <f>SUM(
  SUMIFS(
    PriceRef!$D$2:$D109,
    PriceRef!$A$2:$A109, "Seat",
    PriceRef!$B$2:$B109, $B70,
    PriceRef!$C$2:$C109, $C70
  ),
  SUMIFS(
    PriceRef!$D$2:$D109,
    PriceRef!$A$2:$A109, "Stitching",
    PriceRef!$C$2:$C109, $F70
  ),
  SUMIFS(
    PriceRef!$D$2:$D109,
    PriceRef!$A$2:$A109, "Suede",
    PriceRef!$C$2:$C109, $E70
  ),
  SUMIFS(
    PriceRef!$D$2:$D109,
    PriceRef!$A$2:$A109, "TwoTone",
    PriceRef!$C$2:$C109, $G70
  )
)</f>
        <v>500</v>
      </c>
    </row>
    <row r="71">
      <c r="A71" s="60" t="s">
        <v>1477</v>
      </c>
      <c r="B71" s="61" t="s">
        <v>1478</v>
      </c>
      <c r="C71" s="61" t="s">
        <v>753</v>
      </c>
      <c r="D71" s="61" t="s">
        <v>885</v>
      </c>
      <c r="E71" s="61" t="s">
        <v>1479</v>
      </c>
      <c r="F71" s="61"/>
      <c r="G71" s="61"/>
      <c r="H71" s="62" t="s">
        <v>886</v>
      </c>
      <c r="I71" s="63" t="s">
        <v>1497</v>
      </c>
      <c r="J71" s="65" t="s">
        <v>817</v>
      </c>
      <c r="K71" s="66" t="str">
        <f t="shared" si="1"/>
        <v>3LZ AH2 HUX N2Z</v>
      </c>
      <c r="L71" s="64">
        <f>SUM(
  SUMIFS(
    PriceRef!$D$2:$D109,
    PriceRef!$A$2:$A109, "Seat",
    PriceRef!$B$2:$B109, $B71,
    PriceRef!$C$2:$C109, $C71
  ),
  SUMIFS(
    PriceRef!$D$2:$D109,
    PriceRef!$A$2:$A109, "Stitching",
    PriceRef!$C$2:$C109, $F71
  ),
  SUMIFS(
    PriceRef!$D$2:$D109,
    PriceRef!$A$2:$A109, "Suede",
    PriceRef!$C$2:$C109, $E71
  ),
  SUMIFS(
    PriceRef!$D$2:$D109,
    PriceRef!$A$2:$A109, "TwoTone",
    PriceRef!$C$2:$C109, $G71
  )
)</f>
        <v>695</v>
      </c>
    </row>
    <row r="72">
      <c r="A72" s="60" t="s">
        <v>1477</v>
      </c>
      <c r="B72" s="61" t="s">
        <v>1478</v>
      </c>
      <c r="C72" s="61" t="s">
        <v>726</v>
      </c>
      <c r="D72" s="61" t="s">
        <v>885</v>
      </c>
      <c r="E72" s="61" t="s">
        <v>1479</v>
      </c>
      <c r="F72" s="61"/>
      <c r="G72" s="61"/>
      <c r="H72" s="62" t="s">
        <v>886</v>
      </c>
      <c r="I72" s="63" t="s">
        <v>1498</v>
      </c>
      <c r="J72" s="65" t="s">
        <v>817</v>
      </c>
      <c r="K72" s="66" t="str">
        <f t="shared" si="1"/>
        <v>3LZ AE4 HUX N2Z</v>
      </c>
      <c r="L72" s="64">
        <f>SUM(
  SUMIFS(
    PriceRef!$D$2:$D109,
    PriceRef!$A$2:$A109, "Seat",
    PriceRef!$B$2:$B109, $B72,
    PriceRef!$C$2:$C109, $C72
  ),
  SUMIFS(
    PriceRef!$D$2:$D109,
    PriceRef!$A$2:$A109, "Stitching",
    PriceRef!$C$2:$C109, $F72
  ),
  SUMIFS(
    PriceRef!$D$2:$D109,
    PriceRef!$A$2:$A109, "Suede",
    PriceRef!$C$2:$C109, $E72
  ),
  SUMIFS(
    PriceRef!$D$2:$D109,
    PriceRef!$A$2:$A109, "TwoTone",
    PriceRef!$C$2:$C109, $G72
  )
)</f>
        <v>1195</v>
      </c>
    </row>
    <row r="73">
      <c r="A73" s="60" t="s">
        <v>1477</v>
      </c>
      <c r="B73" s="61" t="s">
        <v>1478</v>
      </c>
      <c r="C73" s="61" t="s">
        <v>753</v>
      </c>
      <c r="D73" s="61" t="s">
        <v>819</v>
      </c>
      <c r="E73" s="61"/>
      <c r="F73" s="61"/>
      <c r="G73" s="61"/>
      <c r="H73" s="62" t="s">
        <v>820</v>
      </c>
      <c r="I73" s="63" t="s">
        <v>821</v>
      </c>
      <c r="J73" s="65" t="s">
        <v>817</v>
      </c>
      <c r="K73" s="66" t="str">
        <f t="shared" si="1"/>
        <v>3LZ AH2 HVZ</v>
      </c>
      <c r="L73" s="64">
        <f>SUM(
  SUMIFS(
    PriceRef!$D$2:$D109,
    PriceRef!$A$2:$A109, "Seat",
    PriceRef!$B$2:$B109, $B73,
    PriceRef!$C$2:$C109, $C73
  ),
  SUMIFS(
    PriceRef!$D$2:$D109,
    PriceRef!$A$2:$A109, "Stitching",
    PriceRef!$C$2:$C109, $F73
  ),
  SUMIFS(
    PriceRef!$D$2:$D109,
    PriceRef!$A$2:$A109, "Suede",
    PriceRef!$C$2:$C109, $E73
  ),
  SUMIFS(
    PriceRef!$D$2:$D109,
    PriceRef!$A$2:$A109, "TwoTone",
    PriceRef!$C$2:$C109, $G73
  )
)</f>
        <v>0</v>
      </c>
    </row>
    <row r="74">
      <c r="A74" s="60" t="s">
        <v>1477</v>
      </c>
      <c r="B74" s="61" t="s">
        <v>1478</v>
      </c>
      <c r="C74" s="61" t="s">
        <v>726</v>
      </c>
      <c r="D74" s="61" t="s">
        <v>819</v>
      </c>
      <c r="E74" s="61"/>
      <c r="F74" s="61"/>
      <c r="G74" s="61"/>
      <c r="H74" s="62" t="s">
        <v>820</v>
      </c>
      <c r="I74" s="63" t="s">
        <v>821</v>
      </c>
      <c r="J74" s="65" t="s">
        <v>817</v>
      </c>
      <c r="K74" s="66" t="str">
        <f t="shared" si="1"/>
        <v>3LZ AE4 HVZ</v>
      </c>
      <c r="L74" s="64">
        <f>SUM(
  SUMIFS(
    PriceRef!$D$2:$D109,
    PriceRef!$A$2:$A109, "Seat",
    PriceRef!$B$2:$B109, $B74,
    PriceRef!$C$2:$C109, $C74
  ),
  SUMIFS(
    PriceRef!$D$2:$D109,
    PriceRef!$A$2:$A109, "Stitching",
    PriceRef!$C$2:$C109, $F74
  ),
  SUMIFS(
    PriceRef!$D$2:$D109,
    PriceRef!$A$2:$A109, "Suede",
    PriceRef!$C$2:$C109, $E74
  ),
  SUMIFS(
    PriceRef!$D$2:$D109,
    PriceRef!$A$2:$A109, "TwoTone",
    PriceRef!$C$2:$C109, $G74
  )
)</f>
        <v>500</v>
      </c>
    </row>
    <row r="75">
      <c r="A75" s="60" t="s">
        <v>1477</v>
      </c>
      <c r="B75" s="61" t="s">
        <v>1478</v>
      </c>
      <c r="C75" s="61" t="s">
        <v>822</v>
      </c>
      <c r="D75" s="61" t="s">
        <v>819</v>
      </c>
      <c r="E75" s="61"/>
      <c r="F75" s="61"/>
      <c r="G75" s="61"/>
      <c r="H75" s="62" t="s">
        <v>820</v>
      </c>
      <c r="I75" s="63" t="s">
        <v>823</v>
      </c>
      <c r="J75" s="65" t="s">
        <v>817</v>
      </c>
      <c r="K75" s="66" t="str">
        <f t="shared" si="1"/>
        <v>3LZ AUP HVZ</v>
      </c>
      <c r="L75" s="64">
        <f>SUM(
  SUMIFS(
    PriceRef!$D$2:$D109,
    PriceRef!$A$2:$A109, "Seat",
    PriceRef!$B$2:$B109, $B75,
    PriceRef!$C$2:$C109, $C75
  ),
  SUMIFS(
    PriceRef!$D$2:$D109,
    PriceRef!$A$2:$A109, "Stitching",
    PriceRef!$C$2:$C109, $F75
  ),
  SUMIFS(
    PriceRef!$D$2:$D109,
    PriceRef!$A$2:$A109, "Suede",
    PriceRef!$C$2:$C109, $E75
  ),
  SUMIFS(
    PriceRef!$D$2:$D109,
    PriceRef!$A$2:$A109, "TwoTone",
    PriceRef!$C$2:$C109, $G75
  )
)</f>
        <v>250</v>
      </c>
    </row>
    <row r="76">
      <c r="A76" s="60" t="s">
        <v>1477</v>
      </c>
      <c r="B76" s="61" t="s">
        <v>1478</v>
      </c>
      <c r="C76" s="61" t="s">
        <v>753</v>
      </c>
      <c r="D76" s="61" t="s">
        <v>902</v>
      </c>
      <c r="E76" s="61"/>
      <c r="F76" s="61"/>
      <c r="G76" s="61"/>
      <c r="H76" s="62" t="s">
        <v>903</v>
      </c>
      <c r="I76" s="63" t="s">
        <v>904</v>
      </c>
      <c r="J76" s="65" t="s">
        <v>817</v>
      </c>
      <c r="K76" s="66" t="str">
        <f t="shared" si="1"/>
        <v>3LZ AH2 HZN</v>
      </c>
      <c r="L76" s="64">
        <f>SUM(
  SUMIFS(
    PriceRef!$D$2:$D109,
    PriceRef!$A$2:$A109, "Seat",
    PriceRef!$B$2:$B109, $B76,
    PriceRef!$C$2:$C109, $C76
  ),
  SUMIFS(
    PriceRef!$D$2:$D109,
    PriceRef!$A$2:$A109, "Stitching",
    PriceRef!$C$2:$C109, $F76
  ),
  SUMIFS(
    PriceRef!$D$2:$D109,
    PriceRef!$A$2:$A109, "Suede",
    PriceRef!$C$2:$C109, $E76
  ),
  SUMIFS(
    PriceRef!$D$2:$D109,
    PriceRef!$A$2:$A109, "TwoTone",
    PriceRef!$C$2:$C109, $G76
  )
)</f>
        <v>0</v>
      </c>
    </row>
    <row r="77">
      <c r="A77" s="60" t="s">
        <v>1477</v>
      </c>
      <c r="B77" s="61" t="s">
        <v>1478</v>
      </c>
      <c r="C77" s="61" t="s">
        <v>726</v>
      </c>
      <c r="D77" s="61" t="s">
        <v>902</v>
      </c>
      <c r="E77" s="61"/>
      <c r="F77" s="61"/>
      <c r="G77" s="61"/>
      <c r="H77" s="62" t="s">
        <v>903</v>
      </c>
      <c r="I77" s="63" t="s">
        <v>905</v>
      </c>
      <c r="J77" s="65" t="s">
        <v>817</v>
      </c>
      <c r="K77" s="66" t="str">
        <f t="shared" si="1"/>
        <v>3LZ AE4 HZN</v>
      </c>
      <c r="L77" s="64">
        <f>SUM(
  SUMIFS(
    PriceRef!$D$2:$D109,
    PriceRef!$A$2:$A109, "Seat",
    PriceRef!$B$2:$B109, $B77,
    PriceRef!$C$2:$C109, $C77
  ),
  SUMIFS(
    PriceRef!$D$2:$D109,
    PriceRef!$A$2:$A109, "Stitching",
    PriceRef!$C$2:$C109, $F77
  ),
  SUMIFS(
    PriceRef!$D$2:$D109,
    PriceRef!$A$2:$A109, "Suede",
    PriceRef!$C$2:$C109, $E77
  ),
  SUMIFS(
    PriceRef!$D$2:$D109,
    PriceRef!$A$2:$A109, "TwoTone",
    PriceRef!$C$2:$C109, $G77
  )
)</f>
        <v>500</v>
      </c>
    </row>
    <row r="78">
      <c r="A78" s="60" t="s">
        <v>1500</v>
      </c>
      <c r="B78" s="61" t="s">
        <v>1501</v>
      </c>
      <c r="C78" s="61" t="s">
        <v>753</v>
      </c>
      <c r="D78" s="61" t="s">
        <v>908</v>
      </c>
      <c r="E78" s="61" t="s">
        <v>1479</v>
      </c>
      <c r="F78" s="61"/>
      <c r="G78" s="61"/>
      <c r="H78" s="62" t="s">
        <v>909</v>
      </c>
      <c r="I78" s="63" t="s">
        <v>1502</v>
      </c>
      <c r="J78" s="65" t="s">
        <v>817</v>
      </c>
      <c r="K78" s="66" t="str">
        <f t="shared" si="1"/>
        <v>3LZ R6X AH2 HM0 N2Z</v>
      </c>
      <c r="L78" s="64">
        <f>SUM(
  SUMIFS(
    PriceRef!$D$2:$D109,
    PriceRef!$A$2:$A109, "Seat",
    PriceRef!$B$2:$B109, $B78,
    PriceRef!$C$2:$C109, $C78
  ),
  SUMIFS(
    PriceRef!$D$2:$D109,
    PriceRef!$A$2:$A109, "Stitching",
    PriceRef!$C$2:$C109, $F78
  ),
  SUMIFS(
    PriceRef!$D$2:$D109,
    PriceRef!$A$2:$A109, "Suede",
    PriceRef!$C$2:$C109, $E78
  ),
  SUMIFS(
    PriceRef!$D$2:$D109,
    PriceRef!$A$2:$A109, "TwoTone",
    PriceRef!$C$2:$C109, $G78
  )
)</f>
        <v>1390</v>
      </c>
    </row>
    <row r="79">
      <c r="A79" s="60" t="s">
        <v>1500</v>
      </c>
      <c r="B79" s="61" t="s">
        <v>1501</v>
      </c>
      <c r="C79" s="61" t="s">
        <v>753</v>
      </c>
      <c r="D79" s="61" t="s">
        <v>908</v>
      </c>
      <c r="E79" s="61" t="s">
        <v>1479</v>
      </c>
      <c r="F79" s="61"/>
      <c r="G79" s="61" t="s">
        <v>767</v>
      </c>
      <c r="H79" s="62" t="s">
        <v>911</v>
      </c>
      <c r="I79" s="63" t="s">
        <v>1503</v>
      </c>
      <c r="J79" s="65" t="s">
        <v>817</v>
      </c>
      <c r="K79" s="66" t="str">
        <f t="shared" si="1"/>
        <v>3LZ R6X AH2 HM0 N2Z TU7</v>
      </c>
      <c r="L79" s="64">
        <f>SUM(
  SUMIFS(
    PriceRef!$D$2:$D109,
    PriceRef!$A$2:$A109, "Seat",
    PriceRef!$B$2:$B109, $B79,
    PriceRef!$C$2:$C109, $C79
  ),
  SUMIFS(
    PriceRef!$D$2:$D109,
    PriceRef!$A$2:$A109, "Stitching",
    PriceRef!$C$2:$C109, $F79
  ),
  SUMIFS(
    PriceRef!$D$2:$D109,
    PriceRef!$A$2:$A109, "Suede",
    PriceRef!$C$2:$C109, $E79
  ),
  SUMIFS(
    PriceRef!$D$2:$D109,
    PriceRef!$A$2:$A109, "TwoTone",
    PriceRef!$C$2:$C109, $G79
  )
)</f>
        <v>1985</v>
      </c>
    </row>
    <row r="80">
      <c r="A80" s="60" t="s">
        <v>1500</v>
      </c>
      <c r="B80" s="61" t="s">
        <v>1501</v>
      </c>
      <c r="C80" s="61" t="s">
        <v>753</v>
      </c>
      <c r="D80" s="61" t="s">
        <v>913</v>
      </c>
      <c r="E80" s="61"/>
      <c r="F80" s="61" t="s">
        <v>746</v>
      </c>
      <c r="G80" s="61"/>
      <c r="H80" s="62" t="s">
        <v>914</v>
      </c>
      <c r="I80" s="63" t="s">
        <v>915</v>
      </c>
      <c r="J80" s="65" t="s">
        <v>817</v>
      </c>
      <c r="K80" s="66" t="str">
        <f t="shared" si="1"/>
        <v>3LZ R6X AH2 HU0 38S</v>
      </c>
      <c r="L80" s="64">
        <f>SUM(
  SUMIFS(
    PriceRef!$D$2:$D109,
    PriceRef!$A$2:$A109, "Seat",
    PriceRef!$B$2:$B109, $B80,
    PriceRef!$C$2:$C109, $C80
  ),
  SUMIFS(
    PriceRef!$D$2:$D109,
    PriceRef!$A$2:$A109, "Stitching",
    PriceRef!$C$2:$C109, $F80
  ),
  SUMIFS(
    PriceRef!$D$2:$D109,
    PriceRef!$A$2:$A109, "Suede",
    PriceRef!$C$2:$C109, $E80
  ),
  SUMIFS(
    PriceRef!$D$2:$D109,
    PriceRef!$A$2:$A109, "TwoTone",
    PriceRef!$C$2:$C109, $G80
  )
)</f>
        <v>1190</v>
      </c>
    </row>
    <row r="81">
      <c r="A81" s="60" t="s">
        <v>1500</v>
      </c>
      <c r="B81" s="61" t="s">
        <v>1501</v>
      </c>
      <c r="C81" s="61" t="s">
        <v>726</v>
      </c>
      <c r="D81" s="61" t="s">
        <v>913</v>
      </c>
      <c r="E81" s="61"/>
      <c r="F81" s="61" t="s">
        <v>746</v>
      </c>
      <c r="G81" s="61"/>
      <c r="H81" s="62" t="s">
        <v>914</v>
      </c>
      <c r="I81" s="63" t="s">
        <v>916</v>
      </c>
      <c r="J81" s="65" t="s">
        <v>817</v>
      </c>
      <c r="K81" s="66" t="str">
        <f t="shared" si="1"/>
        <v>3LZ R6X AE4 HU0 38S</v>
      </c>
      <c r="L81" s="64">
        <f>SUM(
  SUMIFS(
    PriceRef!$D$2:$D109,
    PriceRef!$A$2:$A109, "Seat",
    PriceRef!$B$2:$B109, $B81,
    PriceRef!$C$2:$C109, $C81
  ),
  SUMIFS(
    PriceRef!$D$2:$D109,
    PriceRef!$A$2:$A109, "Stitching",
    PriceRef!$C$2:$C109, $F81
  ),
  SUMIFS(
    PriceRef!$D$2:$D109,
    PriceRef!$A$2:$A109, "Suede",
    PriceRef!$C$2:$C109, $E81
  ),
  SUMIFS(
    PriceRef!$D$2:$D109,
    PriceRef!$A$2:$A109, "TwoTone",
    PriceRef!$C$2:$C109, $G81
  )
)</f>
        <v>1690</v>
      </c>
    </row>
    <row r="82">
      <c r="A82" s="60" t="s">
        <v>1500</v>
      </c>
      <c r="B82" s="61" t="s">
        <v>1501</v>
      </c>
      <c r="C82" s="61" t="s">
        <v>753</v>
      </c>
      <c r="D82" s="61" t="s">
        <v>913</v>
      </c>
      <c r="E82" s="61"/>
      <c r="F82" s="61" t="s">
        <v>746</v>
      </c>
      <c r="G82" s="61" t="s">
        <v>767</v>
      </c>
      <c r="H82" s="62" t="s">
        <v>917</v>
      </c>
      <c r="I82" s="63" t="s">
        <v>918</v>
      </c>
      <c r="J82" s="65" t="s">
        <v>817</v>
      </c>
      <c r="K82" s="66" t="str">
        <f t="shared" si="1"/>
        <v>3LZ R6X AH2 HU0 38S TU7</v>
      </c>
      <c r="L82" s="64">
        <f>SUM(
  SUMIFS(
    PriceRef!$D$2:$D109,
    PriceRef!$A$2:$A109, "Seat",
    PriceRef!$B$2:$B109, $B82,
    PriceRef!$C$2:$C109, $C82
  ),
  SUMIFS(
    PriceRef!$D$2:$D109,
    PriceRef!$A$2:$A109, "Stitching",
    PriceRef!$C$2:$C109, $F82
  ),
  SUMIFS(
    PriceRef!$D$2:$D109,
    PriceRef!$A$2:$A109, "Suede",
    PriceRef!$C$2:$C109, $E82
  ),
  SUMIFS(
    PriceRef!$D$2:$D109,
    PriceRef!$A$2:$A109, "TwoTone",
    PriceRef!$C$2:$C109, $G82
  )
)</f>
        <v>1785</v>
      </c>
    </row>
    <row r="83">
      <c r="A83" s="60" t="s">
        <v>1500</v>
      </c>
      <c r="B83" s="61" t="s">
        <v>1501</v>
      </c>
      <c r="C83" s="61" t="s">
        <v>753</v>
      </c>
      <c r="D83" s="61" t="s">
        <v>919</v>
      </c>
      <c r="E83" s="61"/>
      <c r="F83" s="61"/>
      <c r="G83" s="61"/>
      <c r="H83" s="62" t="s">
        <v>920</v>
      </c>
      <c r="I83" s="63" t="s">
        <v>921</v>
      </c>
      <c r="J83" s="65" t="s">
        <v>817</v>
      </c>
      <c r="K83" s="66" t="str">
        <f t="shared" si="1"/>
        <v>3LZ R6X AH2 HUU</v>
      </c>
      <c r="L83" s="64">
        <f>SUM(
  SUMIFS(
    PriceRef!$D$2:$D109,
    PriceRef!$A$2:$A109, "Seat",
    PriceRef!$B$2:$B109, $B83,
    PriceRef!$C$2:$C109, $C83
  ),
  SUMIFS(
    PriceRef!$D$2:$D109,
    PriceRef!$A$2:$A109, "Stitching",
    PriceRef!$C$2:$C109, $F83
  ),
  SUMIFS(
    PriceRef!$D$2:$D109,
    PriceRef!$A$2:$A109, "Suede",
    PriceRef!$C$2:$C109, $E83
  ),
  SUMIFS(
    PriceRef!$D$2:$D109,
    PriceRef!$A$2:$A109, "TwoTone",
    PriceRef!$C$2:$C109, $G83
  )
)</f>
        <v>695</v>
      </c>
    </row>
    <row r="84">
      <c r="A84" s="60" t="s">
        <v>1500</v>
      </c>
      <c r="B84" s="61" t="s">
        <v>1501</v>
      </c>
      <c r="C84" s="61" t="s">
        <v>726</v>
      </c>
      <c r="D84" s="61" t="s">
        <v>919</v>
      </c>
      <c r="E84" s="61"/>
      <c r="F84" s="61"/>
      <c r="G84" s="61"/>
      <c r="H84" s="62" t="s">
        <v>920</v>
      </c>
      <c r="I84" s="63" t="s">
        <v>922</v>
      </c>
      <c r="J84" s="65" t="s">
        <v>817</v>
      </c>
      <c r="K84" s="66" t="str">
        <f t="shared" si="1"/>
        <v>3LZ R6X AE4 HUU</v>
      </c>
      <c r="L84" s="64">
        <f>SUM(
  SUMIFS(
    PriceRef!$D$2:$D109,
    PriceRef!$A$2:$A109, "Seat",
    PriceRef!$B$2:$B109, $B84,
    PriceRef!$C$2:$C109, $C84
  ),
  SUMIFS(
    PriceRef!$D$2:$D109,
    PriceRef!$A$2:$A109, "Stitching",
    PriceRef!$C$2:$C109, $F84
  ),
  SUMIFS(
    PriceRef!$D$2:$D109,
    PriceRef!$A$2:$A109, "Suede",
    PriceRef!$C$2:$C109, $E84
  ),
  SUMIFS(
    PriceRef!$D$2:$D109,
    PriceRef!$A$2:$A109, "TwoTone",
    PriceRef!$C$2:$C109, $G84
  )
)</f>
        <v>1195</v>
      </c>
    </row>
    <row r="85">
      <c r="A85" s="60" t="s">
        <v>1500</v>
      </c>
      <c r="B85" s="61" t="s">
        <v>1501</v>
      </c>
      <c r="C85" s="61" t="s">
        <v>753</v>
      </c>
      <c r="D85" s="61" t="s">
        <v>923</v>
      </c>
      <c r="E85" s="61" t="s">
        <v>1479</v>
      </c>
      <c r="F85" s="61"/>
      <c r="G85" s="61"/>
      <c r="H85" s="62" t="s">
        <v>924</v>
      </c>
      <c r="I85" s="63" t="s">
        <v>1504</v>
      </c>
      <c r="J85" s="65" t="s">
        <v>817</v>
      </c>
      <c r="K85" s="66" t="str">
        <f t="shared" si="1"/>
        <v>3LZ R6X AH2 HVT N2Z</v>
      </c>
      <c r="L85" s="64">
        <f>SUM(
  SUMIFS(
    PriceRef!$D$2:$D109,
    PriceRef!$A$2:$A109, "Seat",
    PriceRef!$B$2:$B109, $B85,
    PriceRef!$C$2:$C109, $C85
  ),
  SUMIFS(
    PriceRef!$D$2:$D109,
    PriceRef!$A$2:$A109, "Stitching",
    PriceRef!$C$2:$C109, $F85
  ),
  SUMIFS(
    PriceRef!$D$2:$D109,
    PriceRef!$A$2:$A109, "Suede",
    PriceRef!$C$2:$C109, $E85
  ),
  SUMIFS(
    PriceRef!$D$2:$D109,
    PriceRef!$A$2:$A109, "TwoTone",
    PriceRef!$C$2:$C109, $G85
  )
)</f>
        <v>1390</v>
      </c>
    </row>
    <row r="86">
      <c r="A86" s="60" t="s">
        <v>1500</v>
      </c>
      <c r="B86" s="61" t="s">
        <v>1501</v>
      </c>
      <c r="C86" s="61" t="s">
        <v>753</v>
      </c>
      <c r="D86" s="61" t="s">
        <v>926</v>
      </c>
      <c r="E86" s="61"/>
      <c r="F86" s="61"/>
      <c r="G86" s="61"/>
      <c r="H86" s="62" t="s">
        <v>927</v>
      </c>
      <c r="I86" s="63" t="s">
        <v>928</v>
      </c>
      <c r="J86" s="65" t="s">
        <v>817</v>
      </c>
      <c r="K86" s="66" t="str">
        <f t="shared" si="1"/>
        <v>3LZ R6X AH2 HVV</v>
      </c>
      <c r="L86" s="64">
        <f>SUM(
  SUMIFS(
    PriceRef!$D$2:$D109,
    PriceRef!$A$2:$A109, "Seat",
    PriceRef!$B$2:$B109, $B86,
    PriceRef!$C$2:$C109, $C86
  ),
  SUMIFS(
    PriceRef!$D$2:$D109,
    PriceRef!$A$2:$A109, "Stitching",
    PriceRef!$C$2:$C109, $F86
  ),
  SUMIFS(
    PriceRef!$D$2:$D109,
    PriceRef!$A$2:$A109, "Suede",
    PriceRef!$C$2:$C109, $E86
  ),
  SUMIFS(
    PriceRef!$D$2:$D109,
    PriceRef!$A$2:$A109, "TwoTone",
    PriceRef!$C$2:$C109, $G86
  )
)</f>
        <v>695</v>
      </c>
    </row>
    <row r="87">
      <c r="A87" s="60" t="s">
        <v>1500</v>
      </c>
      <c r="B87" s="61" t="s">
        <v>1501</v>
      </c>
      <c r="C87" s="61" t="s">
        <v>753</v>
      </c>
      <c r="D87" s="61" t="s">
        <v>926</v>
      </c>
      <c r="E87" s="61"/>
      <c r="F87" s="61"/>
      <c r="G87" s="61" t="s">
        <v>767</v>
      </c>
      <c r="H87" s="62" t="s">
        <v>929</v>
      </c>
      <c r="I87" s="63" t="s">
        <v>930</v>
      </c>
      <c r="J87" s="65" t="s">
        <v>817</v>
      </c>
      <c r="K87" s="66" t="str">
        <f t="shared" si="1"/>
        <v>3LZ R6X AH2 HVV TU7</v>
      </c>
      <c r="L87" s="64">
        <f>SUM(
  SUMIFS(
    PriceRef!$D$2:$D109,
    PriceRef!$A$2:$A109, "Seat",
    PriceRef!$B$2:$B109, $B87,
    PriceRef!$C$2:$C109, $C87
  ),
  SUMIFS(
    PriceRef!$D$2:$D109,
    PriceRef!$A$2:$A109, "Stitching",
    PriceRef!$C$2:$C109, $F87
  ),
  SUMIFS(
    PriceRef!$D$2:$D109,
    PriceRef!$A$2:$A109, "Suede",
    PriceRef!$C$2:$C109, $E87
  ),
  SUMIFS(
    PriceRef!$D$2:$D109,
    PriceRef!$A$2:$A109, "TwoTone",
    PriceRef!$C$2:$C109, $G87
  )
)</f>
        <v>1290</v>
      </c>
    </row>
    <row r="88">
      <c r="A88" s="60" t="s">
        <v>1500</v>
      </c>
      <c r="B88" s="61" t="s">
        <v>1501</v>
      </c>
      <c r="C88" s="61" t="s">
        <v>726</v>
      </c>
      <c r="D88" s="61" t="s">
        <v>931</v>
      </c>
      <c r="E88" s="61" t="s">
        <v>1479</v>
      </c>
      <c r="F88" s="61" t="s">
        <v>746</v>
      </c>
      <c r="G88" s="61"/>
      <c r="H88" s="62" t="s">
        <v>932</v>
      </c>
      <c r="I88" s="63" t="s">
        <v>1505</v>
      </c>
      <c r="J88" s="65" t="s">
        <v>817</v>
      </c>
      <c r="K88" s="66" t="str">
        <f t="shared" si="1"/>
        <v>3LZ R6X AE4 HX0 38S N2Z</v>
      </c>
      <c r="L88" s="64">
        <f>SUM(
  SUMIFS(
    PriceRef!$D$2:$D109,
    PriceRef!$A$2:$A109, "Seat",
    PriceRef!$B$2:$B109, $B88,
    PriceRef!$C$2:$C109, $C88
  ),
  SUMIFS(
    PriceRef!$D$2:$D109,
    PriceRef!$A$2:$A109, "Stitching",
    PriceRef!$C$2:$C109, $F88
  ),
  SUMIFS(
    PriceRef!$D$2:$D109,
    PriceRef!$A$2:$A109, "Suede",
    PriceRef!$C$2:$C109, $E88
  ),
  SUMIFS(
    PriceRef!$D$2:$D109,
    PriceRef!$A$2:$A109, "TwoTone",
    PriceRef!$C$2:$C109, $G88
  )
)</f>
        <v>2385</v>
      </c>
    </row>
    <row r="89">
      <c r="A89" s="60" t="s">
        <v>1500</v>
      </c>
      <c r="B89" s="61" t="s">
        <v>1501</v>
      </c>
      <c r="C89" s="61" t="s">
        <v>753</v>
      </c>
      <c r="D89" s="61" t="s">
        <v>931</v>
      </c>
      <c r="E89" s="61" t="s">
        <v>1479</v>
      </c>
      <c r="F89" s="61" t="s">
        <v>746</v>
      </c>
      <c r="G89" s="61" t="s">
        <v>767</v>
      </c>
      <c r="H89" s="62" t="s">
        <v>932</v>
      </c>
      <c r="I89" s="63" t="s">
        <v>1506</v>
      </c>
      <c r="J89" s="65" t="s">
        <v>817</v>
      </c>
      <c r="K89" s="66" t="str">
        <f t="shared" si="1"/>
        <v>3LZ R6X AH2 HX0 38S N2Z TU7</v>
      </c>
      <c r="L89" s="64">
        <f>SUM(
  SUMIFS(
    PriceRef!$D$2:$D109,
    PriceRef!$A$2:$A109, "Seat",
    PriceRef!$B$2:$B109, $B89,
    PriceRef!$C$2:$C109, $C89
  ),
  SUMIFS(
    PriceRef!$D$2:$D109,
    PriceRef!$A$2:$A109, "Stitching",
    PriceRef!$C$2:$C109, $F89
  ),
  SUMIFS(
    PriceRef!$D$2:$D109,
    PriceRef!$A$2:$A109, "Suede",
    PriceRef!$C$2:$C109, $E89
  ),
  SUMIFS(
    PriceRef!$D$2:$D109,
    PriceRef!$A$2:$A109, "TwoTone",
    PriceRef!$C$2:$C109, $G89
  )
)</f>
        <v>2480</v>
      </c>
    </row>
    <row r="90">
      <c r="A90" s="60" t="s">
        <v>1500</v>
      </c>
      <c r="B90" s="61" t="s">
        <v>1501</v>
      </c>
      <c r="C90" s="61" t="s">
        <v>753</v>
      </c>
      <c r="D90" s="61" t="s">
        <v>935</v>
      </c>
      <c r="E90" s="61"/>
      <c r="F90" s="61"/>
      <c r="G90" s="61"/>
      <c r="H90" s="62" t="s">
        <v>936</v>
      </c>
      <c r="I90" s="63" t="s">
        <v>937</v>
      </c>
      <c r="J90" s="65" t="s">
        <v>817</v>
      </c>
      <c r="K90" s="66" t="str">
        <f t="shared" si="1"/>
        <v>3LZ R6X AH2 HZB</v>
      </c>
      <c r="L90" s="64">
        <f>SUM(
  SUMIFS(
    PriceRef!$D$2:$D109,
    PriceRef!$A$2:$A109, "Seat",
    PriceRef!$B$2:$B109, $B90,
    PriceRef!$C$2:$C109, $C90
  ),
  SUMIFS(
    PriceRef!$D$2:$D109,
    PriceRef!$A$2:$A109, "Stitching",
    PriceRef!$C$2:$C109, $F90
  ),
  SUMIFS(
    PriceRef!$D$2:$D109,
    PriceRef!$A$2:$A109, "Suede",
    PriceRef!$C$2:$C109, $E90
  ),
  SUMIFS(
    PriceRef!$D$2:$D109,
    PriceRef!$A$2:$A109, "TwoTone",
    PriceRef!$C$2:$C109, $G90
  )
)</f>
        <v>695</v>
      </c>
    </row>
    <row r="91">
      <c r="A91" s="60" t="s">
        <v>1500</v>
      </c>
      <c r="B91" s="61" t="s">
        <v>1501</v>
      </c>
      <c r="C91" s="61" t="s">
        <v>753</v>
      </c>
      <c r="D91" s="61" t="s">
        <v>938</v>
      </c>
      <c r="E91" s="61" t="s">
        <v>1479</v>
      </c>
      <c r="F91" s="61"/>
      <c r="G91" s="61"/>
      <c r="H91" s="62" t="s">
        <v>939</v>
      </c>
      <c r="I91" s="63" t="s">
        <v>1507</v>
      </c>
      <c r="J91" s="65" t="s">
        <v>817</v>
      </c>
      <c r="K91" s="66" t="str">
        <f t="shared" si="1"/>
        <v>3LZ R6X AH2 HZP N2Z</v>
      </c>
      <c r="L91" s="64">
        <f>SUM(
  SUMIFS(
    PriceRef!$D$2:$D109,
    PriceRef!$A$2:$A109, "Seat",
    PriceRef!$B$2:$B109, $B91,
    PriceRef!$C$2:$C109, $C91
  ),
  SUMIFS(
    PriceRef!$D$2:$D109,
    PriceRef!$A$2:$A109, "Stitching",
    PriceRef!$C$2:$C109, $F91
  ),
  SUMIFS(
    PriceRef!$D$2:$D109,
    PriceRef!$A$2:$A109, "Suede",
    PriceRef!$C$2:$C109, $E91
  ),
  SUMIFS(
    PriceRef!$D$2:$D109,
    PriceRef!$A$2:$A109, "TwoTone",
    PriceRef!$C$2:$C109, $G91
  )
)</f>
        <v>1390</v>
      </c>
    </row>
    <row r="92">
      <c r="A92" s="60" t="s">
        <v>1500</v>
      </c>
      <c r="B92" s="61" t="s">
        <v>1501</v>
      </c>
      <c r="C92" s="61" t="s">
        <v>726</v>
      </c>
      <c r="D92" s="61" t="s">
        <v>938</v>
      </c>
      <c r="E92" s="61" t="s">
        <v>1479</v>
      </c>
      <c r="F92" s="61"/>
      <c r="G92" s="61"/>
      <c r="H92" s="62" t="s">
        <v>939</v>
      </c>
      <c r="I92" s="63" t="s">
        <v>1508</v>
      </c>
      <c r="J92" s="65" t="s">
        <v>817</v>
      </c>
      <c r="K92" s="66" t="str">
        <f t="shared" si="1"/>
        <v>3LZ R6X AE4 HZP N2Z</v>
      </c>
      <c r="L92" s="64">
        <f>SUM(
  SUMIFS(
    PriceRef!$D$2:$D109,
    PriceRef!$A$2:$A109, "Seat",
    PriceRef!$B$2:$B109, $B92,
    PriceRef!$C$2:$C109, $C92
  ),
  SUMIFS(
    PriceRef!$D$2:$D109,
    PriceRef!$A$2:$A109, "Stitching",
    PriceRef!$C$2:$C109, $F92
  ),
  SUMIFS(
    PriceRef!$D$2:$D109,
    PriceRef!$A$2:$A109, "Suede",
    PriceRef!$C$2:$C109, $E92
  ),
  SUMIFS(
    PriceRef!$D$2:$D109,
    PriceRef!$A$2:$A109, "TwoTone",
    PriceRef!$C$2:$C109, $G92
  )
)</f>
        <v>1890</v>
      </c>
    </row>
    <row r="93">
      <c r="A93" s="60" t="s">
        <v>1509</v>
      </c>
      <c r="B93" s="61" t="s">
        <v>1478</v>
      </c>
      <c r="C93" s="61" t="s">
        <v>726</v>
      </c>
      <c r="D93" s="61" t="s">
        <v>726</v>
      </c>
      <c r="E93" s="61"/>
      <c r="F93" s="61"/>
      <c r="G93" s="61"/>
      <c r="H93" s="62" t="s">
        <v>807</v>
      </c>
      <c r="I93" s="63" t="s">
        <v>808</v>
      </c>
      <c r="J93" s="65" t="s">
        <v>942</v>
      </c>
      <c r="K93" s="66" t="str">
        <f t="shared" si="1"/>
        <v>3LZ AE4 AE4</v>
      </c>
      <c r="L93" s="64">
        <f>SUM(
  SUMIFS(
    PriceRef!$D$2:$D109,
    PriceRef!$A$2:$A109, "Seat",
    PriceRef!$B$2:$B109, $B93,
    PriceRef!$C$2:$C109, $C93
  ),
  SUMIFS(
    PriceRef!$D$2:$D109,
    PriceRef!$A$2:$A109, "Stitching",
    PriceRef!$C$2:$C109, $F93
  ),
  SUMIFS(
    PriceRef!$D$2:$D109,
    PriceRef!$A$2:$A109, "Suede",
    PriceRef!$C$2:$C109, $E93
  ),
  SUMIFS(
    PriceRef!$D$2:$D109,
    PriceRef!$A$2:$A109, "TwoTone",
    PriceRef!$C$2:$C109, $G93
  )
)</f>
        <v>500</v>
      </c>
    </row>
    <row r="94">
      <c r="A94" s="60" t="s">
        <v>1509</v>
      </c>
      <c r="B94" s="61" t="s">
        <v>1478</v>
      </c>
      <c r="C94" s="61" t="s">
        <v>753</v>
      </c>
      <c r="D94" s="61" t="s">
        <v>753</v>
      </c>
      <c r="E94" s="61"/>
      <c r="F94" s="61"/>
      <c r="G94" s="61"/>
      <c r="H94" s="62" t="s">
        <v>810</v>
      </c>
      <c r="I94" s="63" t="s">
        <v>811</v>
      </c>
      <c r="J94" s="65" t="s">
        <v>942</v>
      </c>
      <c r="K94" s="66" t="str">
        <f t="shared" si="1"/>
        <v>3LZ AH2 AH2</v>
      </c>
      <c r="L94" s="64">
        <f>SUM(
  SUMIFS(
    PriceRef!$D$2:$D109,
    PriceRef!$A$2:$A109, "Seat",
    PriceRef!$B$2:$B109, $B94,
    PriceRef!$C$2:$C109, $C94
  ),
  SUMIFS(
    PriceRef!$D$2:$D109,
    PriceRef!$A$2:$A109, "Stitching",
    PriceRef!$C$2:$C109, $F94
  ),
  SUMIFS(
    PriceRef!$D$2:$D109,
    PriceRef!$A$2:$A109, "Suede",
    PriceRef!$C$2:$C109, $E94
  ),
  SUMIFS(
    PriceRef!$D$2:$D109,
    PriceRef!$A$2:$A109, "TwoTone",
    PriceRef!$C$2:$C109, $G94
  )
)</f>
        <v>0</v>
      </c>
    </row>
    <row r="95">
      <c r="A95" s="60" t="s">
        <v>1509</v>
      </c>
      <c r="B95" s="61" t="s">
        <v>1478</v>
      </c>
      <c r="C95" s="61" t="s">
        <v>822</v>
      </c>
      <c r="D95" s="61" t="s">
        <v>822</v>
      </c>
      <c r="E95" s="61"/>
      <c r="F95" s="61"/>
      <c r="G95" s="61"/>
      <c r="H95" s="62" t="s">
        <v>943</v>
      </c>
      <c r="I95" s="63" t="s">
        <v>944</v>
      </c>
      <c r="J95" s="65" t="s">
        <v>942</v>
      </c>
      <c r="K95" s="66" t="str">
        <f t="shared" si="1"/>
        <v>3LZ AUP AUP</v>
      </c>
      <c r="L95" s="64">
        <f>SUM(
  SUMIFS(
    PriceRef!$D$2:$D109,
    PriceRef!$A$2:$A109, "Seat",
    PriceRef!$B$2:$B109, $B95,
    PriceRef!$C$2:$C109, $C95
  ),
  SUMIFS(
    PriceRef!$D$2:$D109,
    PriceRef!$A$2:$A109, "Stitching",
    PriceRef!$C$2:$C109, $F95
  ),
  SUMIFS(
    PriceRef!$D$2:$D109,
    PriceRef!$A$2:$A109, "Suede",
    PriceRef!$C$2:$C109, $E95
  ),
  SUMIFS(
    PriceRef!$D$2:$D109,
    PriceRef!$A$2:$A109, "TwoTone",
    PriceRef!$C$2:$C109, $G95
  )
)</f>
        <v>250</v>
      </c>
    </row>
    <row r="96">
      <c r="A96" s="60" t="s">
        <v>945</v>
      </c>
      <c r="B96" s="61"/>
      <c r="C96" s="61"/>
      <c r="D96" s="61" t="s">
        <v>946</v>
      </c>
      <c r="E96" s="61"/>
      <c r="F96" s="61"/>
      <c r="G96" s="61"/>
      <c r="H96" s="62" t="s">
        <v>947</v>
      </c>
      <c r="I96" s="63" t="s">
        <v>948</v>
      </c>
      <c r="J96" s="65" t="s">
        <v>949</v>
      </c>
      <c r="K96" s="66" t="str">
        <f t="shared" si="1"/>
        <v>D30</v>
      </c>
      <c r="L96" s="64">
        <v>695.0</v>
      </c>
    </row>
    <row r="97">
      <c r="A97" s="60" t="s">
        <v>945</v>
      </c>
      <c r="B97" s="62" t="s">
        <v>1501</v>
      </c>
      <c r="C97" s="61"/>
      <c r="D97" s="61" t="s">
        <v>946</v>
      </c>
      <c r="E97" s="61"/>
      <c r="F97" s="61"/>
      <c r="G97" s="62"/>
      <c r="H97" s="62" t="s">
        <v>1510</v>
      </c>
      <c r="I97" s="63" t="s">
        <v>950</v>
      </c>
      <c r="J97" s="65" t="s">
        <v>949</v>
      </c>
      <c r="K97" s="66" t="str">
        <f t="shared" si="1"/>
        <v>3LZ R6X D30</v>
      </c>
      <c r="L97" s="64">
        <v>0.0</v>
      </c>
    </row>
    <row r="98">
      <c r="A98" s="60" t="s">
        <v>602</v>
      </c>
      <c r="B98" s="61" t="s">
        <v>1478</v>
      </c>
      <c r="C98" s="61"/>
      <c r="D98" s="61" t="s">
        <v>9</v>
      </c>
      <c r="E98" s="61"/>
      <c r="F98" s="61"/>
      <c r="G98" s="61"/>
      <c r="H98" s="62" t="s">
        <v>951</v>
      </c>
      <c r="I98" s="63" t="s">
        <v>1996</v>
      </c>
      <c r="J98" s="65" t="s">
        <v>949</v>
      </c>
      <c r="K98" s="66" t="str">
        <f t="shared" si="1"/>
        <v>3LZ BAZ</v>
      </c>
      <c r="L98" s="64">
        <v>595.0</v>
      </c>
    </row>
    <row r="99">
      <c r="A99" s="60" t="s">
        <v>602</v>
      </c>
      <c r="B99" s="61"/>
      <c r="C99" s="61"/>
      <c r="D99" s="61" t="s">
        <v>953</v>
      </c>
      <c r="E99" s="61"/>
      <c r="F99" s="61"/>
      <c r="G99" s="61"/>
      <c r="H99" s="62" t="s">
        <v>954</v>
      </c>
      <c r="I99" s="63" t="s">
        <v>1997</v>
      </c>
      <c r="J99" s="65" t="s">
        <v>949</v>
      </c>
      <c r="K99" s="66" t="str">
        <f t="shared" si="1"/>
        <v>FA5</v>
      </c>
      <c r="L99" s="64">
        <v>1500.0</v>
      </c>
    </row>
    <row r="100">
      <c r="A100" s="60" t="s">
        <v>602</v>
      </c>
      <c r="B100" s="61" t="s">
        <v>1478</v>
      </c>
      <c r="C100" s="61"/>
      <c r="D100" s="61" t="s">
        <v>12</v>
      </c>
      <c r="E100" s="61"/>
      <c r="F100" s="61"/>
      <c r="G100" s="61"/>
      <c r="H100" s="62" t="s">
        <v>1515</v>
      </c>
      <c r="I100" s="63" t="s">
        <v>1998</v>
      </c>
      <c r="J100" s="65" t="s">
        <v>949</v>
      </c>
      <c r="K100" s="66" t="str">
        <f t="shared" si="1"/>
        <v>3LZ FA6</v>
      </c>
      <c r="L100" s="64">
        <v>4995.0</v>
      </c>
    </row>
    <row r="101">
      <c r="A101" s="60" t="s">
        <v>602</v>
      </c>
      <c r="B101" s="61" t="s">
        <v>1472</v>
      </c>
      <c r="C101" s="61"/>
      <c r="D101" s="61" t="s">
        <v>728</v>
      </c>
      <c r="E101" s="61" t="s">
        <v>728</v>
      </c>
      <c r="F101" s="61"/>
      <c r="G101" s="61"/>
      <c r="H101" s="62" t="s">
        <v>956</v>
      </c>
      <c r="I101" s="63" t="s">
        <v>1999</v>
      </c>
      <c r="J101" s="65" t="s">
        <v>949</v>
      </c>
      <c r="K101" s="66" t="str">
        <f t="shared" si="1"/>
        <v>1LZ N26 N26</v>
      </c>
      <c r="L101" s="64">
        <f>SUM(
  SUMIFS(
    PriceRef!$D$2:$D109,
    PriceRef!$A$2:$A109, "Seat",
    PriceRef!$B$2:$B109, $B101,
    PriceRef!$C$2:$C109, $C101
  ),
  SUMIFS(
    PriceRef!$D$2:$D109,
    PriceRef!$A$2:$A109, "Stitching",
    PriceRef!$C$2:$C109, $F101
  ),
  SUMIFS(
    PriceRef!$D$2:$D109,
    PriceRef!$A$2:$A109, "Suede",
    PriceRef!$C$2:$C109, $E101
  ),
  SUMIFS(
    PriceRef!$D$2:$D109,
    PriceRef!$A$2:$A109, "TwoTone",
    PriceRef!$C$2:$C109, $G101
  )
)</f>
        <v>695</v>
      </c>
    </row>
    <row r="102">
      <c r="A102" s="60" t="s">
        <v>602</v>
      </c>
      <c r="B102" s="61" t="s">
        <v>1478</v>
      </c>
      <c r="C102" s="61"/>
      <c r="D102" s="61" t="s">
        <v>1479</v>
      </c>
      <c r="E102" s="61" t="s">
        <v>1479</v>
      </c>
      <c r="F102" s="61"/>
      <c r="G102" s="61"/>
      <c r="H102" s="62" t="s">
        <v>1522</v>
      </c>
      <c r="I102" s="63" t="s">
        <v>2000</v>
      </c>
      <c r="J102" s="65" t="s">
        <v>949</v>
      </c>
      <c r="K102" s="66" t="str">
        <f t="shared" si="1"/>
        <v>3LZ N2Z N2Z</v>
      </c>
      <c r="L102" s="64">
        <f>SUM(
  SUMIFS(
    PriceRef!$D$2:$D109,
    PriceRef!$A$2:$A109, "Seat",
    PriceRef!$B$2:$B109, $B102,
    PriceRef!$C$2:$C109, $C102
  ),
  SUMIFS(
    PriceRef!$D$2:$D109,
    PriceRef!$A$2:$A109, "Stitching",
    PriceRef!$C$2:$C109, $F102
  ),
  SUMIFS(
    PriceRef!$D$2:$D109,
    PriceRef!$A$2:$A109, "Suede",
    PriceRef!$C$2:$C109, $E102
  ),
  SUMIFS(
    PriceRef!$D$2:$D109,
    PriceRef!$A$2:$A109, "TwoTone",
    PriceRef!$C$2:$C109, $G102
  )
)</f>
        <v>695</v>
      </c>
    </row>
    <row r="103">
      <c r="A103" s="60" t="s">
        <v>602</v>
      </c>
      <c r="B103" s="61" t="s">
        <v>1478</v>
      </c>
      <c r="C103" s="61"/>
      <c r="D103" s="61" t="s">
        <v>767</v>
      </c>
      <c r="E103" s="61"/>
      <c r="F103" s="61"/>
      <c r="G103" s="61" t="s">
        <v>767</v>
      </c>
      <c r="H103" s="62" t="s">
        <v>572</v>
      </c>
      <c r="I103" s="63" t="s">
        <v>1525</v>
      </c>
      <c r="J103" s="65" t="s">
        <v>949</v>
      </c>
      <c r="K103" s="66" t="str">
        <f t="shared" si="1"/>
        <v>3LZ TU7 TU7</v>
      </c>
      <c r="L103" s="64">
        <f>SUM(
  SUMIFS(
    PriceRef!$D$2:$D109,
    PriceRef!$A$2:$A109, "Seat",
    PriceRef!$B$2:$B109, $B103,
    PriceRef!$C$2:$C109, $C103
  ),
  SUMIFS(
    PriceRef!$D$2:$D109,
    PriceRef!$A$2:$A109, "Stitching",
    PriceRef!$C$2:$C109, $F103
  ),
  SUMIFS(
    PriceRef!$D$2:$D109,
    PriceRef!$A$2:$A109, "Suede",
    PriceRef!$C$2:$C109, $E103
  ),
  SUMIFS(
    PriceRef!$D$2:$D109,
    PriceRef!$A$2:$A109, "TwoTone",
    PriceRef!$C$2:$C109, $G103
  )
)</f>
        <v>595</v>
      </c>
    </row>
    <row r="104">
      <c r="A104" s="60" t="s">
        <v>962</v>
      </c>
      <c r="B104" s="61"/>
      <c r="C104" s="61"/>
      <c r="D104" s="61">
        <v>379.0</v>
      </c>
      <c r="E104" s="61"/>
      <c r="F104" s="61"/>
      <c r="G104" s="61"/>
      <c r="H104" s="62" t="s">
        <v>963</v>
      </c>
      <c r="I104" s="63" t="s">
        <v>1527</v>
      </c>
      <c r="J104" s="67" t="s">
        <v>965</v>
      </c>
      <c r="K104" s="66" t="str">
        <f t="shared" si="1"/>
        <v>379</v>
      </c>
      <c r="L104" s="64">
        <v>495.0</v>
      </c>
    </row>
    <row r="105">
      <c r="A105" s="60" t="s">
        <v>962</v>
      </c>
      <c r="B105" s="61"/>
      <c r="C105" s="61"/>
      <c r="D105" s="61">
        <v>719.0</v>
      </c>
      <c r="E105" s="61"/>
      <c r="F105" s="61"/>
      <c r="G105" s="61"/>
      <c r="H105" s="62" t="s">
        <v>966</v>
      </c>
      <c r="I105" s="63" t="s">
        <v>166</v>
      </c>
      <c r="J105" s="67" t="s">
        <v>965</v>
      </c>
      <c r="K105" s="66" t="str">
        <f t="shared" si="1"/>
        <v>719</v>
      </c>
      <c r="L105" s="64">
        <v>495.0</v>
      </c>
    </row>
    <row r="106">
      <c r="A106" s="60" t="s">
        <v>962</v>
      </c>
      <c r="B106" s="61"/>
      <c r="C106" s="61"/>
      <c r="D106" s="61" t="s">
        <v>967</v>
      </c>
      <c r="E106" s="61"/>
      <c r="F106" s="61"/>
      <c r="G106" s="61"/>
      <c r="H106" s="62" t="s">
        <v>968</v>
      </c>
      <c r="I106" s="63" t="s">
        <v>1528</v>
      </c>
      <c r="J106" s="67" t="s">
        <v>965</v>
      </c>
      <c r="K106" s="66" t="str">
        <f t="shared" si="1"/>
        <v>3A9</v>
      </c>
      <c r="L106" s="64">
        <v>495.0</v>
      </c>
    </row>
    <row r="107">
      <c r="A107" s="60" t="s">
        <v>962</v>
      </c>
      <c r="B107" s="61"/>
      <c r="C107" s="61"/>
      <c r="D107" s="61" t="s">
        <v>5</v>
      </c>
      <c r="E107" s="61"/>
      <c r="F107" s="61"/>
      <c r="G107" s="61"/>
      <c r="H107" s="62" t="s">
        <v>970</v>
      </c>
      <c r="I107" s="63" t="s">
        <v>1529</v>
      </c>
      <c r="J107" s="67" t="s">
        <v>965</v>
      </c>
      <c r="K107" s="66" t="str">
        <f t="shared" si="1"/>
        <v>3F9</v>
      </c>
      <c r="L107" s="64">
        <v>495.0</v>
      </c>
    </row>
    <row r="108">
      <c r="A108" s="60" t="s">
        <v>962</v>
      </c>
      <c r="B108" s="61"/>
      <c r="C108" s="61"/>
      <c r="D108" s="61" t="s">
        <v>972</v>
      </c>
      <c r="E108" s="61"/>
      <c r="F108" s="61"/>
      <c r="G108" s="61"/>
      <c r="H108" s="62" t="s">
        <v>973</v>
      </c>
      <c r="I108" s="63"/>
      <c r="J108" s="67" t="s">
        <v>965</v>
      </c>
      <c r="K108" s="66" t="str">
        <f t="shared" si="1"/>
        <v>3M9</v>
      </c>
      <c r="L108" s="64">
        <v>495.0</v>
      </c>
    </row>
    <row r="109">
      <c r="A109" s="60" t="s">
        <v>962</v>
      </c>
      <c r="B109" s="61"/>
      <c r="C109" s="61"/>
      <c r="D109" s="61" t="s">
        <v>974</v>
      </c>
      <c r="E109" s="61"/>
      <c r="F109" s="61"/>
      <c r="G109" s="61"/>
      <c r="H109" s="62" t="s">
        <v>975</v>
      </c>
      <c r="I109" s="63" t="s">
        <v>1530</v>
      </c>
      <c r="J109" s="67" t="s">
        <v>965</v>
      </c>
      <c r="K109" s="66" t="str">
        <f t="shared" si="1"/>
        <v>3N9</v>
      </c>
      <c r="L109" s="64">
        <v>495.0</v>
      </c>
    </row>
  </sheetData>
  <customSheetViews>
    <customSheetView guid="{B85D8ECB-49C0-4569-B578-25F16D8E67D6}" filter="1" showAutoFilter="1">
      <autoFilter ref="$A$1:$L$109"/>
    </customSheetView>
    <customSheetView guid="{7334F225-E228-4992-B1DA-18CE0E932279}" filter="1" showAutoFilter="1">
      <autoFilter ref="$A$1:$L$109"/>
    </customSheetView>
    <customSheetView guid="{394DB86B-E24D-45B0-AA91-1500FAE92EF1}" filter="1" showAutoFilter="1">
      <autoFilter ref="$A$1:$L$109"/>
    </customSheetView>
  </customSheetView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8.14"/>
    <col customWidth="1" min="2" max="2" width="59.57"/>
    <col customWidth="1" min="3" max="3" width="20.29"/>
    <col customWidth="1" min="4" max="4" width="71.86"/>
    <col customWidth="1" min="5" max="5" width="64.0"/>
    <col customWidth="1" min="6" max="6" width="9.14"/>
    <col customWidth="1" min="7" max="26" width="8.71"/>
  </cols>
  <sheetData>
    <row r="1">
      <c r="A1" s="68" t="s">
        <v>1</v>
      </c>
      <c r="B1" s="83" t="s">
        <v>977</v>
      </c>
      <c r="C1" s="84" t="s">
        <v>2001</v>
      </c>
      <c r="D1" s="73"/>
      <c r="E1" s="73"/>
      <c r="F1" s="73"/>
      <c r="G1" s="73"/>
      <c r="H1" s="73"/>
      <c r="I1" s="73"/>
      <c r="J1" s="73"/>
      <c r="K1" s="73"/>
      <c r="L1" s="73"/>
      <c r="M1" s="73"/>
      <c r="N1" s="73"/>
      <c r="O1" s="73"/>
      <c r="P1" s="73"/>
      <c r="Q1" s="73"/>
      <c r="R1" s="73"/>
      <c r="S1" s="73"/>
      <c r="T1" s="73"/>
      <c r="U1" s="73"/>
      <c r="V1" s="73"/>
      <c r="W1" s="73"/>
      <c r="X1" s="73"/>
      <c r="Y1" s="73"/>
      <c r="Z1" s="73"/>
    </row>
    <row r="2">
      <c r="A2" s="74" t="s">
        <v>749</v>
      </c>
      <c r="B2" s="85" t="s">
        <v>980</v>
      </c>
      <c r="C2" s="73" t="str">
        <f>IFERROR(__xludf.DUMMYFUNCTION("IFERROR(
  FILTER(
    A2:B201,
    ( COUNTIF('ZR1'!$A$2:$A$90, A2:A201)
    + COUNTIF(ZR1_INT!$D$2:$G$106, A2:A201)
    ) = 0
  ),
  ""All codes accounted for""
)"),"3F9")</f>
        <v>3F9</v>
      </c>
      <c r="D2" s="73" t="str">
        <f>IFERROR(__xludf.DUMMYFUNCTION("""COMPUTED_VALUE"""),"Seat belt color, Torch Red")</f>
        <v>Seat belt color, Torch Red</v>
      </c>
      <c r="E2" s="73"/>
      <c r="F2" s="73"/>
      <c r="G2" s="73"/>
      <c r="H2" s="73"/>
      <c r="I2" s="73"/>
      <c r="J2" s="73"/>
      <c r="K2" s="73"/>
      <c r="L2" s="73"/>
      <c r="M2" s="73"/>
      <c r="N2" s="73"/>
      <c r="O2" s="73"/>
      <c r="P2" s="73"/>
      <c r="Q2" s="73"/>
      <c r="R2" s="73"/>
      <c r="S2" s="73"/>
      <c r="T2" s="73"/>
      <c r="U2" s="73"/>
      <c r="V2" s="73"/>
      <c r="W2" s="73"/>
      <c r="X2" s="73"/>
      <c r="Y2" s="73"/>
      <c r="Z2" s="73"/>
    </row>
    <row r="3">
      <c r="A3" s="74" t="s">
        <v>981</v>
      </c>
      <c r="B3" s="77" t="s">
        <v>2002</v>
      </c>
      <c r="C3" s="73" t="str">
        <f>IFERROR(__xludf.DUMMYFUNCTION("""COMPUTED_VALUE"""),"3M9")</f>
        <v>3M9</v>
      </c>
      <c r="D3" s="73" t="str">
        <f>IFERROR(__xludf.DUMMYFUNCTION("""COMPUTED_VALUE"""),"Seat belt color, Yellow")</f>
        <v>Seat belt color, Yellow</v>
      </c>
      <c r="E3" s="73"/>
      <c r="F3" s="73"/>
      <c r="G3" s="73"/>
      <c r="H3" s="73"/>
      <c r="I3" s="73"/>
      <c r="J3" s="73"/>
      <c r="K3" s="73"/>
      <c r="L3" s="73"/>
      <c r="M3" s="73"/>
      <c r="N3" s="73"/>
      <c r="O3" s="73"/>
      <c r="P3" s="73"/>
      <c r="Q3" s="73"/>
      <c r="R3" s="73"/>
      <c r="S3" s="73"/>
      <c r="T3" s="73"/>
      <c r="U3" s="73"/>
      <c r="V3" s="73"/>
      <c r="W3" s="73"/>
      <c r="X3" s="73"/>
      <c r="Y3" s="73"/>
      <c r="Z3" s="73"/>
    </row>
    <row r="4">
      <c r="A4" s="74" t="s">
        <v>751</v>
      </c>
      <c r="B4" s="77" t="s">
        <v>2003</v>
      </c>
      <c r="C4" s="73" t="str">
        <f>IFERROR(__xludf.DUMMYFUNCTION("""COMPUTED_VALUE"""),"3N9")</f>
        <v>3N9</v>
      </c>
      <c r="D4" s="73" t="str">
        <f>IFERROR(__xludf.DUMMYFUNCTION("""COMPUTED_VALUE"""),"Seat belt color, Natural")</f>
        <v>Seat belt color, Natural</v>
      </c>
      <c r="E4" s="73"/>
      <c r="F4" s="73"/>
      <c r="G4" s="73"/>
      <c r="H4" s="73"/>
      <c r="I4" s="73"/>
      <c r="J4" s="73"/>
      <c r="K4" s="73"/>
      <c r="L4" s="73"/>
      <c r="M4" s="73"/>
      <c r="N4" s="73"/>
      <c r="O4" s="73"/>
      <c r="P4" s="73"/>
      <c r="Q4" s="73"/>
      <c r="R4" s="73"/>
      <c r="S4" s="73"/>
      <c r="T4" s="73"/>
      <c r="U4" s="73"/>
      <c r="V4" s="73"/>
      <c r="W4" s="73"/>
      <c r="X4" s="73"/>
      <c r="Y4" s="73"/>
      <c r="Z4" s="73"/>
    </row>
    <row r="5">
      <c r="A5" s="74" t="s">
        <v>746</v>
      </c>
      <c r="B5" s="77" t="s">
        <v>2004</v>
      </c>
      <c r="C5" s="73" t="str">
        <f>IFERROR(__xludf.DUMMYFUNCTION("""COMPUTED_VALUE"""),"A2X")</f>
        <v>A2X</v>
      </c>
      <c r="D5" s="73" t="str">
        <f>IFERROR(__xludf.DUMMYFUNCTION("""COMPUTED_VALUE"""),"Seat adjuster, driver 8-way power")</f>
        <v>Seat adjuster, driver 8-way power</v>
      </c>
      <c r="E5" s="73"/>
      <c r="F5" s="73"/>
      <c r="G5" s="73"/>
      <c r="H5" s="73"/>
      <c r="I5" s="73"/>
      <c r="J5" s="73"/>
      <c r="K5" s="73"/>
      <c r="L5" s="73"/>
      <c r="M5" s="73"/>
      <c r="N5" s="73"/>
      <c r="O5" s="73"/>
      <c r="P5" s="73"/>
      <c r="Q5" s="73"/>
      <c r="R5" s="73"/>
      <c r="S5" s="73"/>
      <c r="T5" s="73"/>
      <c r="U5" s="73"/>
      <c r="V5" s="73"/>
      <c r="W5" s="73"/>
      <c r="X5" s="73"/>
      <c r="Y5" s="73"/>
      <c r="Z5" s="73"/>
    </row>
    <row r="6">
      <c r="A6" s="74" t="s">
        <v>967</v>
      </c>
      <c r="B6" s="77" t="s">
        <v>2005</v>
      </c>
      <c r="C6" s="73" t="str">
        <f>IFERROR(__xludf.DUMMYFUNCTION("""COMPUTED_VALUE"""),"A7K")</f>
        <v>A7K</v>
      </c>
      <c r="D6" s="73" t="str">
        <f>IFERROR(__xludf.DUMMYFUNCTION("""COMPUTED_VALUE"""),"Seat adjuster, passenger 8-way power")</f>
        <v>Seat adjuster, passenger 8-way power</v>
      </c>
      <c r="E6" s="73"/>
      <c r="F6" s="73"/>
      <c r="G6" s="73"/>
      <c r="H6" s="73"/>
      <c r="I6" s="73"/>
      <c r="J6" s="73"/>
      <c r="K6" s="73"/>
      <c r="L6" s="73"/>
      <c r="M6" s="73"/>
      <c r="N6" s="73"/>
      <c r="O6" s="73"/>
      <c r="P6" s="73"/>
      <c r="Q6" s="73"/>
      <c r="R6" s="73"/>
      <c r="S6" s="73"/>
      <c r="T6" s="73"/>
      <c r="U6" s="73"/>
      <c r="V6" s="73"/>
      <c r="W6" s="73"/>
      <c r="X6" s="73"/>
      <c r="Y6" s="73"/>
      <c r="Z6" s="73"/>
    </row>
    <row r="7">
      <c r="A7" s="74" t="s">
        <v>5</v>
      </c>
      <c r="B7" s="77" t="s">
        <v>2006</v>
      </c>
      <c r="C7" s="73" t="str">
        <f>IFERROR(__xludf.DUMMYFUNCTION("""COMPUTED_VALUE"""),"AHE")</f>
        <v>AHE</v>
      </c>
      <c r="D7" s="73" t="str">
        <f>IFERROR(__xludf.DUMMYFUNCTION("""COMPUTED_VALUE"""),"Seat adjuster, driver power bolster")</f>
        <v>Seat adjuster, driver power bolster</v>
      </c>
      <c r="E7" s="73"/>
      <c r="F7" s="73"/>
      <c r="G7" s="73"/>
      <c r="H7" s="73"/>
      <c r="I7" s="73"/>
      <c r="J7" s="73"/>
      <c r="K7" s="73"/>
      <c r="L7" s="73"/>
      <c r="M7" s="73"/>
      <c r="N7" s="73"/>
      <c r="O7" s="73"/>
      <c r="P7" s="73"/>
      <c r="Q7" s="73"/>
      <c r="R7" s="73"/>
      <c r="S7" s="73"/>
      <c r="T7" s="73"/>
      <c r="U7" s="73"/>
      <c r="V7" s="73"/>
      <c r="W7" s="73"/>
      <c r="X7" s="73"/>
      <c r="Y7" s="73"/>
      <c r="Z7" s="73"/>
    </row>
    <row r="8">
      <c r="A8" s="74" t="s">
        <v>972</v>
      </c>
      <c r="B8" s="77" t="s">
        <v>2007</v>
      </c>
      <c r="C8" s="73" t="str">
        <f>IFERROR(__xludf.DUMMYFUNCTION("""COMPUTED_VALUE"""),"AHH")</f>
        <v>AHH</v>
      </c>
      <c r="D8" s="73" t="str">
        <f>IFERROR(__xludf.DUMMYFUNCTION("""COMPUTED_VALUE"""),"Seat adjuster, passenger power bolster")</f>
        <v>Seat adjuster, passenger power bolster</v>
      </c>
      <c r="E8" s="73"/>
      <c r="F8" s="73"/>
      <c r="G8" s="73"/>
      <c r="H8" s="73"/>
      <c r="I8" s="73"/>
      <c r="J8" s="73"/>
      <c r="K8" s="73"/>
      <c r="L8" s="73"/>
      <c r="M8" s="73"/>
      <c r="N8" s="73"/>
      <c r="O8" s="73"/>
      <c r="P8" s="73"/>
      <c r="Q8" s="73"/>
      <c r="R8" s="73"/>
      <c r="S8" s="73"/>
      <c r="T8" s="73"/>
      <c r="U8" s="73"/>
      <c r="V8" s="73"/>
      <c r="W8" s="73"/>
      <c r="X8" s="73"/>
      <c r="Y8" s="73"/>
      <c r="Z8" s="73"/>
    </row>
    <row r="9">
      <c r="A9" s="74" t="s">
        <v>974</v>
      </c>
      <c r="B9" s="77" t="s">
        <v>2008</v>
      </c>
      <c r="C9" s="73" t="str">
        <f>IFERROR(__xludf.DUMMYFUNCTION("""COMPUTED_VALUE"""),"AJ7")</f>
        <v>AJ7</v>
      </c>
      <c r="D9" s="73" t="str">
        <f>IFERROR(__xludf.DUMMYFUNCTION("""COMPUTED_VALUE"""),"Airbags, frontal and side-impact, driver and passenger")</f>
        <v>Airbags, frontal and side-impact, driver and passenger</v>
      </c>
      <c r="E9" s="73"/>
      <c r="F9" s="73"/>
      <c r="G9" s="73"/>
      <c r="H9" s="73"/>
      <c r="I9" s="73"/>
      <c r="J9" s="73"/>
      <c r="K9" s="73"/>
      <c r="L9" s="73"/>
      <c r="M9" s="73"/>
      <c r="N9" s="73"/>
      <c r="O9" s="73"/>
      <c r="P9" s="73"/>
      <c r="Q9" s="73"/>
      <c r="R9" s="73"/>
      <c r="S9" s="73"/>
      <c r="T9" s="73"/>
      <c r="U9" s="73"/>
      <c r="V9" s="73"/>
      <c r="W9" s="73"/>
      <c r="X9" s="73"/>
      <c r="Y9" s="73"/>
      <c r="Z9" s="73"/>
    </row>
    <row r="10">
      <c r="A10" s="74" t="s">
        <v>84</v>
      </c>
      <c r="B10" s="77" t="s">
        <v>2009</v>
      </c>
      <c r="C10" s="73" t="str">
        <f>IFERROR(__xludf.DUMMYFUNCTION("""COMPUTED_VALUE"""),"AL9")</f>
        <v>AL9</v>
      </c>
      <c r="D10" s="73" t="str">
        <f>IFERROR(__xludf.DUMMYFUNCTION("""COMPUTED_VALUE"""),"Seat adjuster, power driver lumbar control")</f>
        <v>Seat adjuster, power driver lumbar control</v>
      </c>
      <c r="E10" s="73"/>
      <c r="F10" s="73"/>
      <c r="G10" s="73"/>
      <c r="H10" s="73"/>
      <c r="I10" s="73"/>
      <c r="J10" s="73"/>
      <c r="K10" s="73"/>
      <c r="L10" s="73"/>
      <c r="M10" s="73"/>
      <c r="N10" s="73"/>
      <c r="O10" s="73"/>
      <c r="P10" s="73"/>
      <c r="Q10" s="73"/>
      <c r="R10" s="73"/>
      <c r="S10" s="73"/>
      <c r="T10" s="73"/>
      <c r="U10" s="73"/>
      <c r="V10" s="73"/>
      <c r="W10" s="73"/>
      <c r="X10" s="73"/>
      <c r="Y10" s="73"/>
      <c r="Z10" s="73"/>
    </row>
    <row r="11">
      <c r="A11" s="74" t="s">
        <v>101</v>
      </c>
      <c r="B11" s="77" t="s">
        <v>2010</v>
      </c>
      <c r="C11" s="73" t="str">
        <f>IFERROR(__xludf.DUMMYFUNCTION("""COMPUTED_VALUE"""),"AP9")</f>
        <v>AP9</v>
      </c>
      <c r="D11" s="73" t="str">
        <f>IFERROR(__xludf.DUMMYFUNCTION("""COMPUTED_VALUE"""),"Cargo nets")</f>
        <v>Cargo nets</v>
      </c>
      <c r="E11" s="73"/>
      <c r="F11" s="73"/>
      <c r="G11" s="73"/>
      <c r="H11" s="73"/>
      <c r="I11" s="73"/>
      <c r="J11" s="73"/>
      <c r="K11" s="73"/>
      <c r="L11" s="73"/>
      <c r="M11" s="73"/>
      <c r="N11" s="73"/>
      <c r="O11" s="73"/>
      <c r="P11" s="73"/>
      <c r="Q11" s="73"/>
      <c r="R11" s="73"/>
      <c r="S11" s="73"/>
      <c r="T11" s="73"/>
      <c r="U11" s="73"/>
      <c r="V11" s="73"/>
      <c r="W11" s="73"/>
      <c r="X11" s="73"/>
      <c r="Y11" s="73"/>
      <c r="Z11" s="73"/>
    </row>
    <row r="12">
      <c r="A12" s="74" t="s">
        <v>999</v>
      </c>
      <c r="B12" s="77" t="s">
        <v>2011</v>
      </c>
      <c r="C12" s="73" t="str">
        <f>IFERROR(__xludf.DUMMYFUNCTION("""COMPUTED_VALUE"""),"AQA")</f>
        <v>AQA</v>
      </c>
      <c r="D12" s="73" t="str">
        <f>IFERROR(__xludf.DUMMYFUNCTION("""COMPUTED_VALUE"""),"Memory Driver and Passenger Convenience Package")</f>
        <v>Memory Driver and Passenger Convenience Package</v>
      </c>
      <c r="E12" s="73"/>
      <c r="F12" s="73"/>
      <c r="G12" s="73"/>
      <c r="H12" s="73"/>
      <c r="I12" s="73"/>
      <c r="J12" s="73"/>
      <c r="K12" s="73"/>
      <c r="L12" s="73"/>
      <c r="M12" s="73"/>
      <c r="N12" s="73"/>
      <c r="O12" s="73"/>
      <c r="P12" s="73"/>
      <c r="Q12" s="73"/>
      <c r="R12" s="73"/>
      <c r="S12" s="73"/>
      <c r="T12" s="73"/>
      <c r="U12" s="73"/>
      <c r="V12" s="73"/>
      <c r="W12" s="73"/>
      <c r="X12" s="73"/>
      <c r="Y12" s="73"/>
      <c r="Z12" s="73"/>
    </row>
    <row r="13">
      <c r="A13" s="74" t="s">
        <v>1001</v>
      </c>
      <c r="B13" s="77" t="s">
        <v>2012</v>
      </c>
      <c r="C13" s="73" t="str">
        <f>IFERROR(__xludf.DUMMYFUNCTION("""COMPUTED_VALUE"""),"AT9")</f>
        <v>AT9</v>
      </c>
      <c r="D13" s="73" t="str">
        <f>IFERROR(__xludf.DUMMYFUNCTION("""COMPUTED_VALUE"""),"Seat adjuster, power passenger lumbar control")</f>
        <v>Seat adjuster, power passenger lumbar control</v>
      </c>
      <c r="E13" s="73"/>
      <c r="F13" s="73"/>
      <c r="G13" s="73"/>
      <c r="H13" s="73"/>
      <c r="I13" s="73"/>
      <c r="J13" s="73"/>
      <c r="K13" s="73"/>
      <c r="L13" s="73"/>
      <c r="M13" s="73"/>
      <c r="N13" s="73"/>
      <c r="O13" s="73"/>
      <c r="P13" s="73"/>
      <c r="Q13" s="73"/>
      <c r="R13" s="73"/>
      <c r="S13" s="73"/>
      <c r="T13" s="73"/>
      <c r="U13" s="73"/>
      <c r="V13" s="73"/>
      <c r="W13" s="73"/>
      <c r="X13" s="73"/>
      <c r="Y13" s="73"/>
      <c r="Z13" s="73"/>
    </row>
    <row r="14">
      <c r="A14" s="74" t="s">
        <v>1003</v>
      </c>
      <c r="B14" s="77" t="s">
        <v>2013</v>
      </c>
      <c r="C14" s="73" t="str">
        <f>IFERROR(__xludf.DUMMYFUNCTION("""COMPUTED_VALUE"""),"B4Z")</f>
        <v>B4Z</v>
      </c>
      <c r="D14" s="73" t="str">
        <f>IFERROR(__xludf.DUMMYFUNCTION("""COMPUTED_VALUE"""),"Performance Traction Management")</f>
        <v>Performance Traction Management</v>
      </c>
      <c r="E14" s="73"/>
      <c r="F14" s="73"/>
      <c r="G14" s="73"/>
      <c r="H14" s="73"/>
      <c r="I14" s="73"/>
      <c r="J14" s="73"/>
      <c r="K14" s="73"/>
      <c r="L14" s="73"/>
      <c r="M14" s="73"/>
      <c r="N14" s="73"/>
      <c r="O14" s="73"/>
      <c r="P14" s="73"/>
      <c r="Q14" s="73"/>
      <c r="R14" s="73"/>
      <c r="S14" s="73"/>
      <c r="T14" s="73"/>
      <c r="U14" s="73"/>
      <c r="V14" s="73"/>
      <c r="W14" s="73"/>
      <c r="X14" s="73"/>
      <c r="Y14" s="73"/>
      <c r="Z14" s="73"/>
    </row>
    <row r="15">
      <c r="A15" s="74" t="s">
        <v>726</v>
      </c>
      <c r="B15" s="77" t="s">
        <v>2014</v>
      </c>
      <c r="C15" s="73" t="str">
        <f>IFERROR(__xludf.DUMMYFUNCTION("""COMPUTED_VALUE"""),"B6P")</f>
        <v>B6P</v>
      </c>
      <c r="D15" s="73" t="str">
        <f>IFERROR(__xludf.DUMMYFUNCTION("""COMPUTED_VALUE"""),"Coupe Engine Appearance Package, includes carbon fiber trim and (SL9) engine specification plaque, LPO")</f>
        <v>Coupe Engine Appearance Package, includes carbon fiber trim and (SL9) engine specification plaque, LPO</v>
      </c>
      <c r="E15" s="73"/>
      <c r="F15" s="73"/>
      <c r="G15" s="73"/>
      <c r="H15" s="73"/>
      <c r="I15" s="73"/>
      <c r="J15" s="73"/>
      <c r="K15" s="73"/>
      <c r="L15" s="73"/>
      <c r="M15" s="73"/>
      <c r="N15" s="73"/>
      <c r="O15" s="73"/>
      <c r="P15" s="73"/>
      <c r="Q15" s="73"/>
      <c r="R15" s="73"/>
      <c r="S15" s="73"/>
      <c r="T15" s="73"/>
      <c r="U15" s="73"/>
      <c r="V15" s="73"/>
      <c r="W15" s="73"/>
      <c r="X15" s="73"/>
      <c r="Y15" s="73"/>
      <c r="Z15" s="73"/>
    </row>
    <row r="16">
      <c r="A16" s="74" t="s">
        <v>753</v>
      </c>
      <c r="B16" s="77" t="s">
        <v>2015</v>
      </c>
      <c r="C16" s="73" t="str">
        <f>IFERROR(__xludf.DUMMYFUNCTION("""COMPUTED_VALUE"""),"C2Z")</f>
        <v>C2Z</v>
      </c>
      <c r="D16" s="73" t="str">
        <f>IFERROR(__xludf.DUMMYFUNCTION("""COMPUTED_VALUE"""),"Roof panel, visible carbon fiber with body-color surround")</f>
        <v>Roof panel, visible carbon fiber with body-color surround</v>
      </c>
      <c r="E16" s="73"/>
      <c r="F16" s="73"/>
      <c r="G16" s="73"/>
      <c r="H16" s="73"/>
      <c r="I16" s="73"/>
      <c r="J16" s="73"/>
      <c r="K16" s="73"/>
      <c r="L16" s="73"/>
      <c r="M16" s="73"/>
      <c r="N16" s="73"/>
      <c r="O16" s="73"/>
      <c r="P16" s="73"/>
      <c r="Q16" s="73"/>
      <c r="R16" s="73"/>
      <c r="S16" s="73"/>
      <c r="T16" s="73"/>
      <c r="U16" s="73"/>
      <c r="V16" s="73"/>
      <c r="W16" s="73"/>
      <c r="X16" s="73"/>
      <c r="Y16" s="73"/>
      <c r="Z16" s="73"/>
    </row>
    <row r="17">
      <c r="A17" s="74" t="s">
        <v>1007</v>
      </c>
      <c r="B17" s="77" t="s">
        <v>2016</v>
      </c>
      <c r="C17" s="73" t="str">
        <f>IFERROR(__xludf.DUMMYFUNCTION("""COMPUTED_VALUE"""),"CFV")</f>
        <v>CFV</v>
      </c>
      <c r="D17" s="73" t="str">
        <f>IFERROR(__xludf.DUMMYFUNCTION("""COMPUTED_VALUE"""),"Ground effects, visible carbon fiber")</f>
        <v>Ground effects, visible carbon fiber</v>
      </c>
      <c r="E17" s="73"/>
      <c r="F17" s="73"/>
      <c r="G17" s="73"/>
      <c r="H17" s="73"/>
      <c r="I17" s="73"/>
      <c r="J17" s="73"/>
      <c r="K17" s="73"/>
      <c r="L17" s="73"/>
      <c r="M17" s="73"/>
      <c r="N17" s="73"/>
      <c r="O17" s="73"/>
      <c r="P17" s="73"/>
      <c r="Q17" s="73"/>
      <c r="R17" s="73"/>
      <c r="S17" s="73"/>
      <c r="T17" s="73"/>
      <c r="U17" s="73"/>
      <c r="V17" s="73"/>
      <c r="W17" s="73"/>
      <c r="X17" s="73"/>
      <c r="Y17" s="73"/>
      <c r="Z17" s="73"/>
    </row>
    <row r="18">
      <c r="A18" s="74" t="s">
        <v>1009</v>
      </c>
      <c r="B18" s="77" t="s">
        <v>2017</v>
      </c>
      <c r="C18" s="73" t="str">
        <f>IFERROR(__xludf.DUMMYFUNCTION("""COMPUTED_VALUE"""),"CFX")</f>
        <v>CFX</v>
      </c>
      <c r="D18" s="73" t="str">
        <f>IFERROR(__xludf.DUMMYFUNCTION("""COMPUTED_VALUE"""),"Plaque, personalized with Corvette Museum logo")</f>
        <v>Plaque, personalized with Corvette Museum logo</v>
      </c>
      <c r="E18" s="73"/>
      <c r="F18" s="73"/>
      <c r="G18" s="73"/>
      <c r="H18" s="73"/>
      <c r="I18" s="73"/>
      <c r="J18" s="73"/>
      <c r="K18" s="73"/>
      <c r="L18" s="73"/>
      <c r="M18" s="73"/>
      <c r="N18" s="73"/>
      <c r="O18" s="73"/>
      <c r="P18" s="73"/>
      <c r="Q18" s="73"/>
      <c r="R18" s="73"/>
      <c r="S18" s="73"/>
      <c r="T18" s="73"/>
      <c r="U18" s="73"/>
      <c r="V18" s="73"/>
      <c r="W18" s="73"/>
      <c r="X18" s="73"/>
      <c r="Y18" s="73"/>
      <c r="Z18" s="73"/>
    </row>
    <row r="19">
      <c r="A19" s="74" t="s">
        <v>1011</v>
      </c>
      <c r="B19" s="77" t="s">
        <v>2018</v>
      </c>
      <c r="C19" s="73" t="str">
        <f>IFERROR(__xludf.DUMMYFUNCTION("""COMPUTED_VALUE"""),"CJ2")</f>
        <v>CJ2</v>
      </c>
      <c r="D19" s="73" t="str">
        <f>IFERROR(__xludf.DUMMYFUNCTION("""COMPUTED_VALUE"""),"Air conditioning, dual-zone automatic climate control")</f>
        <v>Air conditioning, dual-zone automatic climate control</v>
      </c>
      <c r="E19" s="73"/>
      <c r="F19" s="73"/>
      <c r="G19" s="73"/>
      <c r="H19" s="73"/>
      <c r="I19" s="73"/>
      <c r="J19" s="73"/>
      <c r="K19" s="73"/>
      <c r="L19" s="73"/>
      <c r="M19" s="73"/>
      <c r="N19" s="73"/>
      <c r="O19" s="73"/>
      <c r="P19" s="73"/>
      <c r="Q19" s="73"/>
      <c r="R19" s="73"/>
      <c r="S19" s="73"/>
      <c r="T19" s="73"/>
      <c r="U19" s="73"/>
      <c r="V19" s="73"/>
      <c r="W19" s="73"/>
      <c r="X19" s="73"/>
      <c r="Y19" s="73"/>
      <c r="Z19" s="73"/>
    </row>
    <row r="20">
      <c r="A20" s="74" t="s">
        <v>1013</v>
      </c>
      <c r="B20" s="77" t="s">
        <v>2019</v>
      </c>
      <c r="C20" s="73" t="str">
        <f>IFERROR(__xludf.DUMMYFUNCTION("""COMPUTED_VALUE"""),"D3V")</f>
        <v>D3V</v>
      </c>
      <c r="D20" s="73" t="str">
        <f>IFERROR(__xludf.DUMMYFUNCTION("""COMPUTED_VALUE"""),"Engine lighting")</f>
        <v>Engine lighting</v>
      </c>
      <c r="E20" s="73"/>
      <c r="F20" s="73"/>
      <c r="G20" s="73"/>
      <c r="H20" s="73"/>
      <c r="I20" s="73"/>
      <c r="J20" s="73"/>
      <c r="K20" s="73"/>
      <c r="L20" s="73"/>
      <c r="M20" s="73"/>
      <c r="N20" s="73"/>
      <c r="O20" s="73"/>
      <c r="P20" s="73"/>
      <c r="Q20" s="73"/>
      <c r="R20" s="73"/>
      <c r="S20" s="73"/>
      <c r="T20" s="73"/>
      <c r="U20" s="73"/>
      <c r="V20" s="73"/>
      <c r="W20" s="73"/>
      <c r="X20" s="73"/>
      <c r="Y20" s="73"/>
      <c r="Z20" s="73"/>
    </row>
    <row r="21">
      <c r="A21" s="74" t="s">
        <v>1015</v>
      </c>
      <c r="B21" s="77" t="s">
        <v>2020</v>
      </c>
      <c r="C21" s="73" t="str">
        <f>IFERROR(__xludf.DUMMYFUNCTION("""COMPUTED_VALUE"""),"DRG")</f>
        <v>DRG</v>
      </c>
      <c r="D21" s="73" t="str">
        <f>IFERROR(__xludf.DUMMYFUNCTION("""COMPUTED_VALUE"""),"Mirrors, outside, Carbon Flash Metallic-painted")</f>
        <v>Mirrors, outside, Carbon Flash Metallic-painted</v>
      </c>
      <c r="E21" s="73"/>
      <c r="F21" s="73"/>
      <c r="G21" s="73"/>
      <c r="H21" s="73"/>
      <c r="I21" s="73"/>
      <c r="J21" s="73"/>
      <c r="K21" s="73"/>
      <c r="L21" s="73"/>
      <c r="M21" s="73"/>
      <c r="N21" s="73"/>
      <c r="O21" s="73"/>
      <c r="P21" s="73"/>
      <c r="Q21" s="73"/>
      <c r="R21" s="73"/>
      <c r="S21" s="73"/>
      <c r="T21" s="73"/>
      <c r="U21" s="73"/>
      <c r="V21" s="73"/>
      <c r="W21" s="73"/>
      <c r="X21" s="73"/>
      <c r="Y21" s="73"/>
      <c r="Z21" s="73"/>
    </row>
    <row r="22">
      <c r="A22" s="74" t="s">
        <v>721</v>
      </c>
      <c r="B22" s="77" t="s">
        <v>2021</v>
      </c>
      <c r="C22" s="73" t="str">
        <f>IFERROR(__xludf.DUMMYFUNCTION("""COMPUTED_VALUE"""),"DRZ")</f>
        <v>DRZ</v>
      </c>
      <c r="D22" s="73" t="str">
        <f>IFERROR(__xludf.DUMMYFUNCTION("""COMPUTED_VALUE"""),"Rear Camera Mirror")</f>
        <v>Rear Camera Mirror</v>
      </c>
      <c r="E22" s="73"/>
      <c r="F22" s="73"/>
      <c r="G22" s="73"/>
      <c r="H22" s="73"/>
      <c r="I22" s="73"/>
      <c r="J22" s="73"/>
      <c r="K22" s="73"/>
      <c r="L22" s="73"/>
      <c r="M22" s="73"/>
      <c r="N22" s="73"/>
      <c r="O22" s="73"/>
      <c r="P22" s="73"/>
      <c r="Q22" s="73"/>
      <c r="R22" s="73"/>
      <c r="S22" s="73"/>
      <c r="T22" s="73"/>
      <c r="U22" s="73"/>
      <c r="V22" s="73"/>
      <c r="W22" s="73"/>
      <c r="X22" s="73"/>
      <c r="Y22" s="73"/>
      <c r="Z22" s="73"/>
    </row>
    <row r="23">
      <c r="A23" s="74" t="s">
        <v>1018</v>
      </c>
      <c r="B23" s="77" t="s">
        <v>2022</v>
      </c>
      <c r="C23" s="73" t="str">
        <f>IFERROR(__xludf.DUMMYFUNCTION("""COMPUTED_VALUE"""),"DWK")</f>
        <v>DWK</v>
      </c>
      <c r="D23" s="73" t="str">
        <f>IFERROR(__xludf.DUMMYFUNCTION("""COMPUTED_VALUE"""),"Mirrors, outside heated, power-adjustable")</f>
        <v>Mirrors, outside heated, power-adjustable</v>
      </c>
      <c r="E23" s="73"/>
      <c r="F23" s="73"/>
      <c r="G23" s="73"/>
      <c r="H23" s="73"/>
      <c r="I23" s="73"/>
      <c r="J23" s="73"/>
      <c r="K23" s="73"/>
      <c r="L23" s="73"/>
      <c r="M23" s="73"/>
      <c r="N23" s="73"/>
      <c r="O23" s="73"/>
      <c r="P23" s="73"/>
      <c r="Q23" s="73"/>
      <c r="R23" s="73"/>
      <c r="S23" s="73"/>
      <c r="T23" s="73"/>
      <c r="U23" s="73"/>
      <c r="V23" s="73"/>
      <c r="W23" s="73"/>
      <c r="X23" s="73"/>
      <c r="Y23" s="73"/>
      <c r="Z23" s="73"/>
    </row>
    <row r="24">
      <c r="A24" s="74" t="s">
        <v>1020</v>
      </c>
      <c r="B24" s="77" t="s">
        <v>2023</v>
      </c>
      <c r="C24" s="73" t="str">
        <f>IFERROR(__xludf.DUMMYFUNCTION("""COMPUTED_VALUE"""),"DY0")</f>
        <v>DY0</v>
      </c>
      <c r="D24" s="73" t="str">
        <f>IFERROR(__xludf.DUMMYFUNCTION("""COMPUTED_VALUE"""),"NEW!  Display hood, Carbon Fiber")</f>
        <v>NEW!  Display hood, Carbon Fiber</v>
      </c>
      <c r="E24" s="73"/>
      <c r="F24" s="73"/>
      <c r="G24" s="73"/>
      <c r="H24" s="73"/>
      <c r="I24" s="73"/>
      <c r="J24" s="73"/>
      <c r="K24" s="73"/>
      <c r="L24" s="73"/>
      <c r="M24" s="73"/>
      <c r="N24" s="73"/>
      <c r="O24" s="73"/>
      <c r="P24" s="73"/>
      <c r="Q24" s="73"/>
      <c r="R24" s="73"/>
      <c r="S24" s="73"/>
      <c r="T24" s="73"/>
      <c r="U24" s="73"/>
      <c r="V24" s="73"/>
      <c r="W24" s="73"/>
      <c r="X24" s="73"/>
      <c r="Y24" s="73"/>
      <c r="Z24" s="73"/>
    </row>
    <row r="25">
      <c r="A25" s="74" t="s">
        <v>822</v>
      </c>
      <c r="B25" s="77" t="s">
        <v>2024</v>
      </c>
      <c r="C25" s="73" t="str">
        <f>IFERROR(__xludf.DUMMYFUNCTION("""COMPUTED_VALUE"""),"DYX")</f>
        <v>DYX</v>
      </c>
      <c r="D25" s="73" t="str">
        <f>IFERROR(__xludf.DUMMYFUNCTION("""COMPUTED_VALUE"""),"Mirrors, outside heated, power-adjustable")</f>
        <v>Mirrors, outside heated, power-adjustable</v>
      </c>
      <c r="E25" s="73"/>
      <c r="F25" s="73"/>
      <c r="G25" s="73"/>
      <c r="H25" s="73"/>
      <c r="I25" s="73"/>
      <c r="J25" s="73"/>
      <c r="K25" s="73"/>
      <c r="L25" s="73"/>
      <c r="M25" s="73"/>
      <c r="N25" s="73"/>
      <c r="O25" s="73"/>
      <c r="P25" s="73"/>
      <c r="Q25" s="73"/>
      <c r="R25" s="73"/>
      <c r="S25" s="73"/>
      <c r="T25" s="73"/>
      <c r="U25" s="73"/>
      <c r="V25" s="73"/>
      <c r="W25" s="73"/>
      <c r="X25" s="73"/>
      <c r="Y25" s="73"/>
      <c r="Z25" s="73"/>
    </row>
    <row r="26">
      <c r="A26" s="74" t="s">
        <v>1023</v>
      </c>
      <c r="B26" s="77" t="s">
        <v>2025</v>
      </c>
      <c r="C26" s="73" t="str">
        <f>IFERROR(__xludf.DUMMYFUNCTION("""COMPUTED_VALUE"""),"FE8")</f>
        <v>FE8</v>
      </c>
      <c r="D26" s="73" t="str">
        <f>IFERROR(__xludf.DUMMYFUNCTION("""COMPUTED_VALUE"""),"Suspension, performance with Magnetic Selective Ride Control")</f>
        <v>Suspension, performance with Magnetic Selective Ride Control</v>
      </c>
      <c r="E26" s="73"/>
      <c r="F26" s="73"/>
      <c r="G26" s="73"/>
      <c r="H26" s="73"/>
      <c r="I26" s="73"/>
      <c r="J26" s="73"/>
      <c r="K26" s="73"/>
      <c r="L26" s="73"/>
      <c r="M26" s="73"/>
      <c r="N26" s="73"/>
      <c r="O26" s="73"/>
      <c r="P26" s="73"/>
      <c r="Q26" s="73"/>
      <c r="R26" s="73"/>
      <c r="S26" s="73"/>
      <c r="T26" s="73"/>
      <c r="U26" s="73"/>
      <c r="V26" s="73"/>
      <c r="W26" s="73"/>
      <c r="X26" s="73"/>
      <c r="Y26" s="73"/>
      <c r="Z26" s="73"/>
    </row>
    <row r="27">
      <c r="A27" s="74" t="s">
        <v>123</v>
      </c>
      <c r="B27" s="77" t="s">
        <v>2026</v>
      </c>
      <c r="C27" s="73" t="str">
        <f>IFERROR(__xludf.DUMMYFUNCTION("""COMPUTED_VALUE"""),"FE9")</f>
        <v>FE9</v>
      </c>
      <c r="D27" s="73" t="str">
        <f>IFERROR(__xludf.DUMMYFUNCTION("""COMPUTED_VALUE"""),"Emissions, Federal requirements")</f>
        <v>Emissions, Federal requirements</v>
      </c>
      <c r="E27" s="73"/>
      <c r="F27" s="73"/>
      <c r="G27" s="73"/>
      <c r="H27" s="73"/>
      <c r="I27" s="73"/>
      <c r="J27" s="73"/>
      <c r="K27" s="73"/>
      <c r="L27" s="73"/>
      <c r="M27" s="73"/>
      <c r="N27" s="73"/>
      <c r="O27" s="73"/>
      <c r="P27" s="73"/>
      <c r="Q27" s="73"/>
      <c r="R27" s="73"/>
      <c r="S27" s="73"/>
      <c r="T27" s="73"/>
      <c r="U27" s="73"/>
      <c r="V27" s="73"/>
      <c r="W27" s="73"/>
      <c r="X27" s="73"/>
      <c r="Y27" s="73"/>
      <c r="Z27" s="73"/>
    </row>
    <row r="28">
      <c r="A28" s="74" t="s">
        <v>9</v>
      </c>
      <c r="B28" s="77" t="s">
        <v>2027</v>
      </c>
      <c r="C28" s="73" t="str">
        <f>IFERROR(__xludf.DUMMYFUNCTION("""COMPUTED_VALUE"""),"FEJ")</f>
        <v>FEJ</v>
      </c>
      <c r="D28" s="73" t="str">
        <f>IFERROR(__xludf.DUMMYFUNCTION("""COMPUTED_VALUE"""),"Suspension, ZTK with Magnetic Selective Ride Control")</f>
        <v>Suspension, ZTK with Magnetic Selective Ride Control</v>
      </c>
      <c r="E28" s="73"/>
      <c r="F28" s="73"/>
      <c r="G28" s="73"/>
      <c r="H28" s="73"/>
      <c r="I28" s="73"/>
      <c r="J28" s="73"/>
      <c r="K28" s="73"/>
      <c r="L28" s="73"/>
      <c r="M28" s="73"/>
      <c r="N28" s="73"/>
      <c r="O28" s="73"/>
      <c r="P28" s="73"/>
      <c r="Q28" s="73"/>
      <c r="R28" s="73"/>
      <c r="S28" s="73"/>
      <c r="T28" s="73"/>
      <c r="U28" s="73"/>
      <c r="V28" s="73"/>
      <c r="W28" s="73"/>
      <c r="X28" s="73"/>
      <c r="Y28" s="73"/>
      <c r="Z28" s="73"/>
    </row>
    <row r="29">
      <c r="A29" s="74" t="s">
        <v>149</v>
      </c>
      <c r="B29" s="77" t="s">
        <v>2028</v>
      </c>
      <c r="C29" s="73" t="str">
        <f>IFERROR(__xludf.DUMMYFUNCTION("""COMPUTED_VALUE"""),"G0K")</f>
        <v>G0K</v>
      </c>
      <c r="D29" s="73" t="str">
        <f>IFERROR(__xludf.DUMMYFUNCTION("""COMPUTED_VALUE"""),"Rear axle, 5.56 ratio")</f>
        <v>Rear axle, 5.56 ratio</v>
      </c>
      <c r="E29" s="73"/>
      <c r="F29" s="73"/>
      <c r="G29" s="73"/>
      <c r="H29" s="73"/>
      <c r="I29" s="73"/>
      <c r="J29" s="73"/>
      <c r="K29" s="73"/>
      <c r="L29" s="73"/>
      <c r="M29" s="73"/>
      <c r="N29" s="73"/>
      <c r="O29" s="73"/>
      <c r="P29" s="73"/>
      <c r="Q29" s="73"/>
      <c r="R29" s="73"/>
      <c r="S29" s="73"/>
      <c r="T29" s="73"/>
      <c r="U29" s="73"/>
      <c r="V29" s="73"/>
      <c r="W29" s="73"/>
      <c r="X29" s="73"/>
      <c r="Y29" s="73"/>
      <c r="Z29" s="73"/>
    </row>
    <row r="30">
      <c r="A30" s="74" t="s">
        <v>154</v>
      </c>
      <c r="B30" s="77" t="s">
        <v>2029</v>
      </c>
      <c r="C30" s="73" t="str">
        <f>IFERROR(__xludf.DUMMYFUNCTION("""COMPUTED_VALUE"""),"IVE")</f>
        <v>IVE</v>
      </c>
      <c r="D30" s="73" t="str">
        <f>IFERROR(__xludf.DUMMYFUNCTION("""COMPUTED_VALUE"""),"NEW!  Infotainment system with Google Built-In")</f>
        <v>NEW!  Infotainment system with Google Built-In</v>
      </c>
      <c r="E30" s="73"/>
      <c r="F30" s="73"/>
      <c r="G30" s="73"/>
      <c r="H30" s="73"/>
      <c r="I30" s="73"/>
      <c r="J30" s="73"/>
      <c r="K30" s="73"/>
      <c r="L30" s="73"/>
      <c r="M30" s="73"/>
      <c r="N30" s="73"/>
      <c r="O30" s="73"/>
      <c r="P30" s="73"/>
      <c r="Q30" s="73"/>
      <c r="R30" s="73"/>
      <c r="S30" s="73"/>
      <c r="T30" s="73"/>
      <c r="U30" s="73"/>
      <c r="V30" s="73"/>
      <c r="W30" s="73"/>
      <c r="X30" s="73"/>
      <c r="Y30" s="73"/>
      <c r="Z30" s="73"/>
    </row>
    <row r="31">
      <c r="A31" s="74" t="s">
        <v>158</v>
      </c>
      <c r="B31" s="77" t="s">
        <v>2030</v>
      </c>
      <c r="C31" s="73" t="str">
        <f>IFERROR(__xludf.DUMMYFUNCTION("""COMPUTED_VALUE"""),"IWE")</f>
        <v>IWE</v>
      </c>
      <c r="D31" s="73" t="str">
        <f>IFERROR(__xludf.DUMMYFUNCTION("""COMPUTED_VALUE"""),"Sueded Microfiber-Wrapped Upper Interior Trim Package")</f>
        <v>Sueded Microfiber-Wrapped Upper Interior Trim Package</v>
      </c>
      <c r="E31" s="73"/>
      <c r="F31" s="73"/>
      <c r="G31" s="73"/>
      <c r="H31" s="73"/>
      <c r="I31" s="73"/>
      <c r="J31" s="73"/>
      <c r="K31" s="73"/>
      <c r="L31" s="73"/>
      <c r="M31" s="73"/>
      <c r="N31" s="73"/>
      <c r="O31" s="73"/>
      <c r="P31" s="73"/>
      <c r="Q31" s="73"/>
      <c r="R31" s="73"/>
      <c r="S31" s="73"/>
      <c r="T31" s="73"/>
      <c r="U31" s="73"/>
      <c r="V31" s="73"/>
      <c r="W31" s="73"/>
      <c r="X31" s="73"/>
      <c r="Y31" s="73"/>
      <c r="Z31" s="73"/>
    </row>
    <row r="32">
      <c r="A32" s="74" t="s">
        <v>167</v>
      </c>
      <c r="B32" s="77" t="s">
        <v>2031</v>
      </c>
      <c r="C32" s="73" t="str">
        <f>IFERROR(__xludf.DUMMYFUNCTION("""COMPUTED_VALUE"""),"J58")</f>
        <v>J58</v>
      </c>
      <c r="D32" s="73" t="str">
        <f>IFERROR(__xludf.DUMMYFUNCTION("""COMPUTED_VALUE"""),"Brakes, 4-wheel antilock, 4-wheel disc")</f>
        <v>Brakes, 4-wheel antilock, 4-wheel disc</v>
      </c>
      <c r="E32" s="73"/>
      <c r="F32" s="73"/>
      <c r="G32" s="73"/>
      <c r="H32" s="73"/>
      <c r="I32" s="73"/>
      <c r="J32" s="73"/>
      <c r="K32" s="73"/>
      <c r="L32" s="73"/>
      <c r="M32" s="73"/>
      <c r="N32" s="73"/>
      <c r="O32" s="73"/>
      <c r="P32" s="73"/>
      <c r="Q32" s="73"/>
      <c r="R32" s="73"/>
      <c r="S32" s="73"/>
      <c r="T32" s="73"/>
      <c r="U32" s="73"/>
      <c r="V32" s="73"/>
      <c r="W32" s="73"/>
      <c r="X32" s="73"/>
      <c r="Y32" s="73"/>
      <c r="Z32" s="73"/>
    </row>
    <row r="33">
      <c r="A33" s="74" t="s">
        <v>1442</v>
      </c>
      <c r="B33" s="77" t="s">
        <v>2032</v>
      </c>
      <c r="C33" s="73" t="str">
        <f>IFERROR(__xludf.DUMMYFUNCTION("""COMPUTED_VALUE"""),"J59")</f>
        <v>J59</v>
      </c>
      <c r="D33" s="73" t="str">
        <f>IFERROR(__xludf.DUMMYFUNCTION("""COMPUTED_VALUE"""),"NEW!  Brakes, 4-wheel antilock, 4-wheel disc, carbon ceramic, 10-piston front, 6-piston rear")</f>
        <v>NEW!  Brakes, 4-wheel antilock, 4-wheel disc, carbon ceramic, 10-piston front, 6-piston rear</v>
      </c>
      <c r="E33" s="73"/>
      <c r="F33" s="73"/>
      <c r="G33" s="73"/>
      <c r="H33" s="73"/>
      <c r="I33" s="73"/>
      <c r="J33" s="73"/>
      <c r="K33" s="73"/>
      <c r="L33" s="73"/>
      <c r="M33" s="73"/>
      <c r="N33" s="73"/>
      <c r="O33" s="73"/>
      <c r="P33" s="73"/>
      <c r="Q33" s="73"/>
      <c r="R33" s="73"/>
      <c r="S33" s="73"/>
      <c r="T33" s="73"/>
      <c r="U33" s="73"/>
      <c r="V33" s="73"/>
      <c r="W33" s="73"/>
      <c r="X33" s="73"/>
      <c r="Y33" s="73"/>
      <c r="Z33" s="73"/>
    </row>
    <row r="34">
      <c r="A34" s="74" t="s">
        <v>1323</v>
      </c>
      <c r="B34" s="77" t="s">
        <v>2033</v>
      </c>
      <c r="C34" s="73" t="str">
        <f>IFERROR(__xludf.DUMMYFUNCTION("""COMPUTED_VALUE"""),"K7A")</f>
        <v>K7A</v>
      </c>
      <c r="D34" s="73" t="str">
        <f>IFERROR(__xludf.DUMMYFUNCTION("""COMPUTED_VALUE"""),"NEW!  Wireless Phone Charging")</f>
        <v>NEW!  Wireless Phone Charging</v>
      </c>
      <c r="E34" s="73"/>
      <c r="F34" s="73"/>
      <c r="G34" s="73"/>
      <c r="H34" s="73"/>
      <c r="I34" s="73"/>
      <c r="J34" s="73"/>
      <c r="K34" s="73"/>
      <c r="L34" s="73"/>
      <c r="M34" s="73"/>
      <c r="N34" s="73"/>
      <c r="O34" s="73"/>
      <c r="P34" s="73"/>
      <c r="Q34" s="73"/>
      <c r="R34" s="73"/>
      <c r="S34" s="73"/>
      <c r="T34" s="73"/>
      <c r="U34" s="73"/>
      <c r="V34" s="73"/>
      <c r="W34" s="73"/>
      <c r="X34" s="73"/>
      <c r="Y34" s="73"/>
      <c r="Z34" s="73"/>
    </row>
    <row r="35">
      <c r="A35" s="74" t="s">
        <v>1036</v>
      </c>
      <c r="B35" s="77" t="s">
        <v>2034</v>
      </c>
      <c r="C35" s="73" t="str">
        <f>IFERROR(__xludf.DUMMYFUNCTION("""COMPUTED_VALUE"""),"K7B")</f>
        <v>K7B</v>
      </c>
      <c r="D35" s="73" t="str">
        <f>IFERROR(__xludf.DUMMYFUNCTION("""COMPUTED_VALUE"""),"NEW!  Wireless Phone Charging")</f>
        <v>NEW!  Wireless Phone Charging</v>
      </c>
      <c r="E35" s="73"/>
      <c r="F35" s="73"/>
      <c r="G35" s="73"/>
      <c r="H35" s="73"/>
      <c r="I35" s="73"/>
      <c r="J35" s="73"/>
      <c r="K35" s="73"/>
      <c r="L35" s="73"/>
      <c r="M35" s="73"/>
      <c r="N35" s="73"/>
      <c r="O35" s="73"/>
      <c r="P35" s="73"/>
      <c r="Q35" s="73"/>
      <c r="R35" s="73"/>
      <c r="S35" s="73"/>
      <c r="T35" s="73"/>
      <c r="U35" s="73"/>
      <c r="V35" s="73"/>
      <c r="W35" s="73"/>
      <c r="X35" s="73"/>
      <c r="Y35" s="73"/>
      <c r="Z35" s="73"/>
    </row>
    <row r="36">
      <c r="A36" s="74" t="s">
        <v>1038</v>
      </c>
      <c r="B36" s="77" t="s">
        <v>2035</v>
      </c>
      <c r="C36" s="73" t="str">
        <f>IFERROR(__xludf.DUMMYFUNCTION("""COMPUTED_VALUE"""),"KI3")</f>
        <v>KI3</v>
      </c>
      <c r="D36" s="73" t="str">
        <f>IFERROR(__xludf.DUMMYFUNCTION("""COMPUTED_VALUE"""),"Steering wheel, heated")</f>
        <v>Steering wheel, heated</v>
      </c>
      <c r="E36" s="73"/>
      <c r="F36" s="73"/>
      <c r="G36" s="73"/>
      <c r="H36" s="73"/>
      <c r="I36" s="73"/>
      <c r="J36" s="73"/>
      <c r="K36" s="73"/>
      <c r="L36" s="73"/>
      <c r="M36" s="73"/>
      <c r="N36" s="73"/>
      <c r="O36" s="73"/>
      <c r="P36" s="73"/>
      <c r="Q36" s="73"/>
      <c r="R36" s="73"/>
      <c r="S36" s="73"/>
      <c r="T36" s="73"/>
      <c r="U36" s="73"/>
      <c r="V36" s="73"/>
      <c r="W36" s="73"/>
      <c r="X36" s="73"/>
      <c r="Y36" s="73"/>
      <c r="Z36" s="73"/>
    </row>
    <row r="37">
      <c r="A37" s="74" t="s">
        <v>946</v>
      </c>
      <c r="B37" s="77" t="s">
        <v>2036</v>
      </c>
      <c r="C37" s="73" t="str">
        <f>IFERROR(__xludf.DUMMYFUNCTION("""COMPUTED_VALUE"""),"KQV")</f>
        <v>KQV</v>
      </c>
      <c r="D37" s="73" t="str">
        <f>IFERROR(__xludf.DUMMYFUNCTION("""COMPUTED_VALUE"""),"Seats, heated and vented driver and passenger")</f>
        <v>Seats, heated and vented driver and passenger</v>
      </c>
      <c r="E37" s="73"/>
      <c r="F37" s="73"/>
      <c r="G37" s="73"/>
      <c r="H37" s="73"/>
      <c r="I37" s="73"/>
      <c r="J37" s="73"/>
      <c r="K37" s="73"/>
      <c r="L37" s="73"/>
      <c r="M37" s="73"/>
      <c r="N37" s="73"/>
      <c r="O37" s="73"/>
      <c r="P37" s="73"/>
      <c r="Q37" s="73"/>
      <c r="R37" s="73"/>
      <c r="S37" s="73"/>
      <c r="T37" s="73"/>
      <c r="U37" s="73"/>
      <c r="V37" s="73"/>
      <c r="W37" s="73"/>
      <c r="X37" s="73"/>
      <c r="Y37" s="73"/>
      <c r="Z37" s="73"/>
    </row>
    <row r="38">
      <c r="A38" s="74" t="s">
        <v>173</v>
      </c>
      <c r="B38" s="77" t="s">
        <v>2037</v>
      </c>
      <c r="C38" s="73" t="str">
        <f>IFERROR(__xludf.DUMMYFUNCTION("""COMPUTED_VALUE"""),"LT7")</f>
        <v>LT7</v>
      </c>
      <c r="D38" s="73" t="str">
        <f>IFERROR(__xludf.DUMMYFUNCTION("""COMPUTED_VALUE"""),"Engine, 5.5L V8 Twin Turbo")</f>
        <v>Engine, 5.5L V8 Twin Turbo</v>
      </c>
      <c r="E38" s="73"/>
      <c r="F38" s="73"/>
      <c r="G38" s="73"/>
      <c r="H38" s="73"/>
      <c r="I38" s="73"/>
      <c r="J38" s="73"/>
      <c r="K38" s="73"/>
      <c r="L38" s="73"/>
      <c r="M38" s="73"/>
      <c r="N38" s="73"/>
      <c r="O38" s="73"/>
      <c r="P38" s="73"/>
      <c r="Q38" s="73"/>
      <c r="R38" s="73"/>
      <c r="S38" s="73"/>
      <c r="T38" s="73"/>
      <c r="U38" s="73"/>
      <c r="V38" s="73"/>
      <c r="W38" s="73"/>
      <c r="X38" s="73"/>
      <c r="Y38" s="73"/>
      <c r="Z38" s="73"/>
    </row>
    <row r="39">
      <c r="A39" s="74" t="s">
        <v>181</v>
      </c>
      <c r="B39" s="77" t="s">
        <v>2038</v>
      </c>
      <c r="C39" s="73" t="str">
        <f>IFERROR(__xludf.DUMMYFUNCTION("""COMPUTED_VALUE"""),"M1K")</f>
        <v>M1K</v>
      </c>
      <c r="D39" s="73" t="str">
        <f>IFERROR(__xludf.DUMMYFUNCTION("""COMPUTED_VALUE"""),"Transmission, 8-speed dual clutch")</f>
        <v>Transmission, 8-speed dual clutch</v>
      </c>
      <c r="E39" s="73"/>
      <c r="F39" s="73"/>
      <c r="G39" s="73"/>
      <c r="H39" s="73"/>
      <c r="I39" s="73"/>
      <c r="J39" s="73"/>
      <c r="K39" s="73"/>
      <c r="L39" s="73"/>
      <c r="M39" s="73"/>
      <c r="N39" s="73"/>
      <c r="O39" s="73"/>
      <c r="P39" s="73"/>
      <c r="Q39" s="73"/>
      <c r="R39" s="73"/>
      <c r="S39" s="73"/>
      <c r="T39" s="73"/>
      <c r="U39" s="73"/>
      <c r="V39" s="73"/>
      <c r="W39" s="73"/>
      <c r="X39" s="73"/>
      <c r="Y39" s="73"/>
      <c r="Z39" s="73"/>
    </row>
    <row r="40">
      <c r="A40" s="74" t="s">
        <v>185</v>
      </c>
      <c r="B40" s="77" t="s">
        <v>2039</v>
      </c>
      <c r="C40" s="73" t="str">
        <f>IFERROR(__xludf.DUMMYFUNCTION("""COMPUTED_VALUE"""),"N38")</f>
        <v>N38</v>
      </c>
      <c r="D40" s="73" t="str">
        <f>IFERROR(__xludf.DUMMYFUNCTION("""COMPUTED_VALUE"""),"Steering column, power tilt and telescopic")</f>
        <v>Steering column, power tilt and telescopic</v>
      </c>
      <c r="E40" s="73"/>
      <c r="F40" s="73"/>
      <c r="G40" s="73"/>
      <c r="H40" s="73"/>
      <c r="I40" s="73"/>
      <c r="J40" s="73"/>
      <c r="K40" s="73"/>
      <c r="L40" s="73"/>
      <c r="M40" s="73"/>
      <c r="N40" s="73"/>
      <c r="O40" s="73"/>
      <c r="P40" s="73"/>
      <c r="Q40" s="73"/>
      <c r="R40" s="73"/>
      <c r="S40" s="73"/>
      <c r="T40" s="73"/>
      <c r="U40" s="73"/>
      <c r="V40" s="73"/>
      <c r="W40" s="73"/>
      <c r="X40" s="73"/>
      <c r="Y40" s="73"/>
      <c r="Z40" s="73"/>
    </row>
    <row r="41">
      <c r="A41" s="74" t="s">
        <v>188</v>
      </c>
      <c r="B41" s="77" t="s">
        <v>2040</v>
      </c>
      <c r="C41" s="73" t="str">
        <f>IFERROR(__xludf.DUMMYFUNCTION("""COMPUTED_VALUE"""),"N3W")</f>
        <v>N3W</v>
      </c>
      <c r="D41" s="73" t="str">
        <f>IFERROR(__xludf.DUMMYFUNCTION("""COMPUTED_VALUE"""),"Steering wheel, carbon fiber and leather-wrapped")</f>
        <v>Steering wheel, carbon fiber and leather-wrapped</v>
      </c>
      <c r="E41" s="73"/>
      <c r="F41" s="73"/>
      <c r="G41" s="73"/>
      <c r="H41" s="73"/>
      <c r="I41" s="73"/>
      <c r="J41" s="73"/>
      <c r="K41" s="73"/>
      <c r="L41" s="73"/>
      <c r="M41" s="73"/>
      <c r="N41" s="73"/>
      <c r="O41" s="73"/>
      <c r="P41" s="73"/>
      <c r="Q41" s="73"/>
      <c r="R41" s="73"/>
      <c r="S41" s="73"/>
      <c r="T41" s="73"/>
      <c r="U41" s="73"/>
      <c r="V41" s="73"/>
      <c r="W41" s="73"/>
      <c r="X41" s="73"/>
      <c r="Y41" s="73"/>
      <c r="Z41" s="73"/>
    </row>
    <row r="42">
      <c r="A42" s="74" t="s">
        <v>191</v>
      </c>
      <c r="B42" s="77" t="s">
        <v>2041</v>
      </c>
      <c r="C42" s="73" t="str">
        <f>IFERROR(__xludf.DUMMYFUNCTION("""COMPUTED_VALUE"""),"NB8")</f>
        <v>NB8</v>
      </c>
      <c r="D42" s="73" t="str">
        <f>IFERROR(__xludf.DUMMYFUNCTION("""COMPUTED_VALUE"""),"Emissions override, California ")</f>
        <v>Emissions override, California </v>
      </c>
      <c r="E42" s="73"/>
      <c r="F42" s="73"/>
      <c r="G42" s="73"/>
      <c r="H42" s="73"/>
      <c r="I42" s="73"/>
      <c r="J42" s="73"/>
      <c r="K42" s="73"/>
      <c r="L42" s="73"/>
      <c r="M42" s="73"/>
      <c r="N42" s="73"/>
      <c r="O42" s="73"/>
      <c r="P42" s="73"/>
      <c r="Q42" s="73"/>
      <c r="R42" s="73"/>
      <c r="S42" s="73"/>
      <c r="T42" s="73"/>
      <c r="U42" s="73"/>
      <c r="V42" s="73"/>
      <c r="W42" s="73"/>
      <c r="X42" s="73"/>
      <c r="Y42" s="73"/>
      <c r="Z42" s="73"/>
    </row>
    <row r="43">
      <c r="A43" s="74" t="s">
        <v>194</v>
      </c>
      <c r="B43" s="77" t="s">
        <v>2042</v>
      </c>
      <c r="C43" s="73" t="str">
        <f>IFERROR(__xludf.DUMMYFUNCTION("""COMPUTED_VALUE"""),"NB9")</f>
        <v>NB9</v>
      </c>
      <c r="D43" s="73" t="str">
        <f>IFERROR(__xludf.DUMMYFUNCTION("""COMPUTED_VALUE"""),"Emissions override, state-specific")</f>
        <v>Emissions override, state-specific</v>
      </c>
      <c r="E43" s="73"/>
      <c r="F43" s="73"/>
      <c r="G43" s="73"/>
      <c r="H43" s="73"/>
      <c r="I43" s="73"/>
      <c r="J43" s="73"/>
      <c r="K43" s="73"/>
      <c r="L43" s="73"/>
      <c r="M43" s="73"/>
      <c r="N43" s="73"/>
      <c r="O43" s="73"/>
      <c r="P43" s="73"/>
      <c r="Q43" s="73"/>
      <c r="R43" s="73"/>
      <c r="S43" s="73"/>
      <c r="T43" s="73"/>
      <c r="U43" s="73"/>
      <c r="V43" s="73"/>
      <c r="W43" s="73"/>
      <c r="X43" s="73"/>
      <c r="Y43" s="73"/>
      <c r="Z43" s="73"/>
    </row>
    <row r="44">
      <c r="A44" s="74" t="s">
        <v>1050</v>
      </c>
      <c r="B44" s="77" t="s">
        <v>2043</v>
      </c>
      <c r="C44" s="73" t="str">
        <f>IFERROR(__xludf.DUMMYFUNCTION("""COMPUTED_VALUE"""),"NC7")</f>
        <v>NC7</v>
      </c>
      <c r="D44" s="73" t="str">
        <f>IFERROR(__xludf.DUMMYFUNCTION("""COMPUTED_VALUE"""),"Emissions override, Federal")</f>
        <v>Emissions override, Federal</v>
      </c>
      <c r="E44" s="73"/>
      <c r="F44" s="73"/>
      <c r="G44" s="73"/>
      <c r="H44" s="73"/>
      <c r="I44" s="73"/>
      <c r="J44" s="73"/>
      <c r="K44" s="73"/>
      <c r="L44" s="73"/>
      <c r="M44" s="73"/>
      <c r="N44" s="73"/>
      <c r="O44" s="73"/>
      <c r="P44" s="73"/>
      <c r="Q44" s="73"/>
      <c r="R44" s="73"/>
      <c r="S44" s="73"/>
      <c r="T44" s="73"/>
      <c r="U44" s="73"/>
      <c r="V44" s="73"/>
      <c r="W44" s="73"/>
      <c r="X44" s="73"/>
      <c r="Y44" s="73"/>
      <c r="Z44" s="73"/>
    </row>
    <row r="45">
      <c r="A45" s="74" t="s">
        <v>1052</v>
      </c>
      <c r="B45" s="77" t="s">
        <v>2044</v>
      </c>
      <c r="C45" s="73" t="str">
        <f>IFERROR(__xludf.DUMMYFUNCTION("""COMPUTED_VALUE"""),"NE1")</f>
        <v>NE1</v>
      </c>
      <c r="D45" s="73" t="str">
        <f>IFERROR(__xludf.DUMMYFUNCTION("""COMPUTED_VALUE"""),"Emissions")</f>
        <v>Emissions</v>
      </c>
      <c r="E45" s="73"/>
      <c r="F45" s="73"/>
      <c r="G45" s="73"/>
      <c r="H45" s="73"/>
      <c r="I45" s="73"/>
      <c r="J45" s="73"/>
      <c r="K45" s="73"/>
      <c r="L45" s="73"/>
      <c r="M45" s="73"/>
      <c r="N45" s="73"/>
      <c r="O45" s="73"/>
      <c r="P45" s="73"/>
      <c r="Q45" s="73"/>
      <c r="R45" s="73"/>
      <c r="S45" s="73"/>
      <c r="T45" s="73"/>
      <c r="U45" s="73"/>
      <c r="V45" s="73"/>
      <c r="W45" s="73"/>
      <c r="X45" s="73"/>
      <c r="Y45" s="73"/>
      <c r="Z45" s="73"/>
    </row>
    <row r="46">
      <c r="A46" s="74" t="s">
        <v>196</v>
      </c>
      <c r="B46" s="77" t="s">
        <v>2045</v>
      </c>
      <c r="C46" s="73" t="str">
        <f>IFERROR(__xludf.DUMMYFUNCTION("""COMPUTED_VALUE"""),"NK4")</f>
        <v>NK4</v>
      </c>
      <c r="D46" s="73" t="str">
        <f>IFERROR(__xludf.DUMMYFUNCTION("""COMPUTED_VALUE"""),"Steering wheel, leather-wrapped")</f>
        <v>Steering wheel, leather-wrapped</v>
      </c>
      <c r="E46" s="73"/>
      <c r="F46" s="73"/>
      <c r="G46" s="73"/>
      <c r="H46" s="73"/>
      <c r="I46" s="73"/>
      <c r="J46" s="73"/>
      <c r="K46" s="73"/>
      <c r="L46" s="73"/>
      <c r="M46" s="73"/>
      <c r="N46" s="73"/>
      <c r="O46" s="73"/>
      <c r="P46" s="73"/>
      <c r="Q46" s="73"/>
      <c r="R46" s="73"/>
      <c r="S46" s="73"/>
      <c r="T46" s="73"/>
      <c r="U46" s="73"/>
      <c r="V46" s="73"/>
      <c r="W46" s="73"/>
      <c r="X46" s="73"/>
      <c r="Y46" s="73"/>
      <c r="Z46" s="73"/>
    </row>
    <row r="47">
      <c r="A47" s="74" t="s">
        <v>198</v>
      </c>
      <c r="B47" s="77" t="s">
        <v>2046</v>
      </c>
      <c r="C47" s="73" t="str">
        <f>IFERROR(__xludf.DUMMYFUNCTION("""COMPUTED_VALUE"""),"NPP")</f>
        <v>NPP</v>
      </c>
      <c r="D47" s="73" t="str">
        <f>IFERROR(__xludf.DUMMYFUNCTION("""COMPUTED_VALUE"""),"Exhaust, performance")</f>
        <v>Exhaust, performance</v>
      </c>
      <c r="E47" s="73"/>
      <c r="F47" s="73"/>
      <c r="G47" s="73"/>
      <c r="H47" s="73"/>
      <c r="I47" s="73"/>
      <c r="J47" s="73"/>
      <c r="K47" s="73"/>
      <c r="L47" s="73"/>
      <c r="M47" s="73"/>
      <c r="N47" s="73"/>
      <c r="O47" s="73"/>
      <c r="P47" s="73"/>
      <c r="Q47" s="73"/>
      <c r="R47" s="73"/>
      <c r="S47" s="73"/>
      <c r="T47" s="73"/>
      <c r="U47" s="73"/>
      <c r="V47" s="73"/>
      <c r="W47" s="73"/>
      <c r="X47" s="73"/>
      <c r="Y47" s="73"/>
      <c r="Z47" s="73"/>
    </row>
    <row r="48">
      <c r="A48" s="74" t="s">
        <v>200</v>
      </c>
      <c r="B48" s="77" t="s">
        <v>2047</v>
      </c>
      <c r="C48" s="73" t="str">
        <f>IFERROR(__xludf.DUMMYFUNCTION("""COMPUTED_VALUE"""),"P0H")</f>
        <v>P0H</v>
      </c>
      <c r="D48" s="73" t="str">
        <f>IFERROR(__xludf.DUMMYFUNCTION("""COMPUTED_VALUE"""),"12 Months OnStar Connect Plus")</f>
        <v>12 Months OnStar Connect Plus</v>
      </c>
      <c r="E48" s="73"/>
      <c r="F48" s="73"/>
      <c r="G48" s="73"/>
      <c r="H48" s="73"/>
      <c r="I48" s="73"/>
      <c r="J48" s="73"/>
      <c r="K48" s="73"/>
      <c r="L48" s="73"/>
      <c r="M48" s="73"/>
      <c r="N48" s="73"/>
      <c r="O48" s="73"/>
      <c r="P48" s="73"/>
      <c r="Q48" s="73"/>
      <c r="R48" s="73"/>
      <c r="S48" s="73"/>
      <c r="T48" s="73"/>
      <c r="U48" s="73"/>
      <c r="V48" s="73"/>
      <c r="W48" s="73"/>
      <c r="X48" s="73"/>
      <c r="Y48" s="73"/>
      <c r="Z48" s="73"/>
    </row>
    <row r="49">
      <c r="A49" s="74" t="s">
        <v>202</v>
      </c>
      <c r="B49" s="77" t="s">
        <v>2048</v>
      </c>
      <c r="C49" s="73" t="str">
        <f>IFERROR(__xludf.DUMMYFUNCTION("""COMPUTED_VALUE"""),"P0I")</f>
        <v>P0I</v>
      </c>
      <c r="D49" s="73" t="str">
        <f>IFERROR(__xludf.DUMMYFUNCTION("""COMPUTED_VALUE"""),"24 Months OnStar Connect Plus")</f>
        <v>24 Months OnStar Connect Plus</v>
      </c>
      <c r="E49" s="73"/>
      <c r="F49" s="73"/>
      <c r="G49" s="73"/>
      <c r="H49" s="73"/>
      <c r="I49" s="73"/>
      <c r="J49" s="73"/>
      <c r="K49" s="73"/>
      <c r="L49" s="73"/>
      <c r="M49" s="73"/>
      <c r="N49" s="73"/>
      <c r="O49" s="73"/>
      <c r="P49" s="73"/>
      <c r="Q49" s="73"/>
      <c r="R49" s="73"/>
      <c r="S49" s="73"/>
      <c r="T49" s="73"/>
      <c r="U49" s="73"/>
      <c r="V49" s="73"/>
      <c r="W49" s="73"/>
      <c r="X49" s="73"/>
      <c r="Y49" s="73"/>
      <c r="Z49" s="73"/>
    </row>
    <row r="50">
      <c r="A50" s="74" t="s">
        <v>204</v>
      </c>
      <c r="B50" s="77" t="s">
        <v>2049</v>
      </c>
      <c r="C50" s="73" t="str">
        <f>IFERROR(__xludf.DUMMYFUNCTION("""COMPUTED_VALUE"""),"P0J")</f>
        <v>P0J</v>
      </c>
      <c r="D50" s="73" t="str">
        <f>IFERROR(__xludf.DUMMYFUNCTION("""COMPUTED_VALUE"""),"24 Months OnStar Protect")</f>
        <v>24 Months OnStar Protect</v>
      </c>
      <c r="E50" s="73"/>
      <c r="F50" s="73"/>
      <c r="G50" s="73"/>
      <c r="H50" s="73"/>
      <c r="I50" s="73"/>
      <c r="J50" s="73"/>
      <c r="K50" s="73"/>
      <c r="L50" s="73"/>
      <c r="M50" s="73"/>
      <c r="N50" s="73"/>
      <c r="O50" s="73"/>
      <c r="P50" s="73"/>
      <c r="Q50" s="73"/>
      <c r="R50" s="73"/>
      <c r="S50" s="73"/>
      <c r="T50" s="73"/>
      <c r="U50" s="73"/>
      <c r="V50" s="73"/>
      <c r="W50" s="73"/>
      <c r="X50" s="73"/>
      <c r="Y50" s="73"/>
      <c r="Z50" s="73"/>
    </row>
    <row r="51">
      <c r="A51" s="74" t="s">
        <v>206</v>
      </c>
      <c r="B51" s="77" t="s">
        <v>2050</v>
      </c>
      <c r="C51" s="73" t="str">
        <f>IFERROR(__xludf.DUMMYFUNCTION("""COMPUTED_VALUE"""),"P0K")</f>
        <v>P0K</v>
      </c>
      <c r="D51" s="73" t="str">
        <f>IFERROR(__xludf.DUMMYFUNCTION("""COMPUTED_VALUE"""),"36 Months OnStar Protect")</f>
        <v>36 Months OnStar Protect</v>
      </c>
      <c r="E51" s="73"/>
      <c r="F51" s="73"/>
      <c r="G51" s="73"/>
      <c r="H51" s="73"/>
      <c r="I51" s="73"/>
      <c r="J51" s="73"/>
      <c r="K51" s="73"/>
      <c r="L51" s="73"/>
      <c r="M51" s="73"/>
      <c r="N51" s="73"/>
      <c r="O51" s="73"/>
      <c r="P51" s="73"/>
      <c r="Q51" s="73"/>
      <c r="R51" s="73"/>
      <c r="S51" s="73"/>
      <c r="T51" s="73"/>
      <c r="U51" s="73"/>
      <c r="V51" s="73"/>
      <c r="W51" s="73"/>
      <c r="X51" s="73"/>
      <c r="Y51" s="73"/>
      <c r="Z51" s="73"/>
    </row>
    <row r="52">
      <c r="A52" s="74" t="s">
        <v>209</v>
      </c>
      <c r="B52" s="77" t="s">
        <v>2051</v>
      </c>
      <c r="C52" s="73" t="str">
        <f>IFERROR(__xludf.DUMMYFUNCTION("""COMPUTED_VALUE"""),"P0L")</f>
        <v>P0L</v>
      </c>
      <c r="D52" s="73" t="str">
        <f>IFERROR(__xludf.DUMMYFUNCTION("""COMPUTED_VALUE"""),"48 Months OnStar Protect")</f>
        <v>48 Months OnStar Protect</v>
      </c>
      <c r="E52" s="73"/>
      <c r="F52" s="73"/>
      <c r="G52" s="73"/>
      <c r="H52" s="73"/>
      <c r="I52" s="73"/>
      <c r="J52" s="73"/>
      <c r="K52" s="73"/>
      <c r="L52" s="73"/>
      <c r="M52" s="73"/>
      <c r="N52" s="73"/>
      <c r="O52" s="73"/>
      <c r="P52" s="73"/>
      <c r="Q52" s="73"/>
      <c r="R52" s="73"/>
      <c r="S52" s="73"/>
      <c r="T52" s="73"/>
      <c r="U52" s="73"/>
      <c r="V52" s="73"/>
      <c r="W52" s="73"/>
      <c r="X52" s="73"/>
      <c r="Y52" s="73"/>
      <c r="Z52" s="73"/>
    </row>
    <row r="53">
      <c r="A53" s="74" t="s">
        <v>1061</v>
      </c>
      <c r="B53" s="77" t="s">
        <v>2052</v>
      </c>
      <c r="C53" s="73" t="str">
        <f>IFERROR(__xludf.DUMMYFUNCTION("""COMPUTED_VALUE"""),"P0Q")</f>
        <v>P0Q</v>
      </c>
      <c r="D53" s="73" t="str">
        <f>IFERROR(__xludf.DUMMYFUNCTION("""COMPUTED_VALUE"""),"60 Months OnStar Protect")</f>
        <v>60 Months OnStar Protect</v>
      </c>
      <c r="E53" s="73"/>
      <c r="F53" s="73"/>
      <c r="G53" s="73"/>
      <c r="H53" s="73"/>
      <c r="I53" s="73"/>
      <c r="J53" s="73"/>
      <c r="K53" s="73"/>
      <c r="L53" s="73"/>
      <c r="M53" s="73"/>
      <c r="N53" s="73"/>
      <c r="O53" s="73"/>
      <c r="P53" s="73"/>
      <c r="Q53" s="73"/>
      <c r="R53" s="73"/>
      <c r="S53" s="73"/>
      <c r="T53" s="73"/>
      <c r="U53" s="73"/>
      <c r="V53" s="73"/>
      <c r="W53" s="73"/>
      <c r="X53" s="73"/>
      <c r="Y53" s="73"/>
      <c r="Z53" s="73"/>
    </row>
    <row r="54">
      <c r="A54" s="74" t="s">
        <v>1517</v>
      </c>
      <c r="B54" s="77" t="s">
        <v>2053</v>
      </c>
      <c r="C54" s="73" t="str">
        <f>IFERROR(__xludf.DUMMYFUNCTION("""COMPUTED_VALUE"""),"P0U")</f>
        <v>P0U</v>
      </c>
      <c r="D54" s="73" t="str">
        <f>IFERROR(__xludf.DUMMYFUNCTION("""COMPUTED_VALUE"""),"12 Months OnStar Protect")</f>
        <v>12 Months OnStar Protect</v>
      </c>
      <c r="E54" s="73"/>
      <c r="F54" s="73"/>
      <c r="G54" s="73"/>
      <c r="H54" s="73"/>
      <c r="I54" s="73"/>
      <c r="J54" s="73"/>
      <c r="K54" s="73"/>
      <c r="L54" s="73"/>
      <c r="M54" s="73"/>
      <c r="N54" s="73"/>
      <c r="O54" s="73"/>
      <c r="P54" s="73"/>
      <c r="Q54" s="73"/>
      <c r="R54" s="73"/>
      <c r="S54" s="73"/>
      <c r="T54" s="73"/>
      <c r="U54" s="73"/>
      <c r="V54" s="73"/>
      <c r="W54" s="73"/>
      <c r="X54" s="73"/>
      <c r="Y54" s="73"/>
      <c r="Z54" s="73"/>
    </row>
    <row r="55">
      <c r="A55" s="74" t="s">
        <v>1063</v>
      </c>
      <c r="B55" s="77" t="s">
        <v>2054</v>
      </c>
      <c r="C55" s="73" t="str">
        <f>IFERROR(__xludf.DUMMYFUNCTION("""COMPUTED_VALUE"""),"P0V")</f>
        <v>P0V</v>
      </c>
      <c r="D55" s="73" t="str">
        <f>IFERROR(__xludf.DUMMYFUNCTION("""COMPUTED_VALUE"""),"12 Months OnStar Telematics")</f>
        <v>12 Months OnStar Telematics</v>
      </c>
      <c r="E55" s="73"/>
      <c r="F55" s="73"/>
      <c r="G55" s="73"/>
      <c r="H55" s="73"/>
      <c r="I55" s="73"/>
      <c r="J55" s="73"/>
      <c r="K55" s="73"/>
      <c r="L55" s="73"/>
      <c r="M55" s="73"/>
      <c r="N55" s="73"/>
      <c r="O55" s="73"/>
      <c r="P55" s="73"/>
      <c r="Q55" s="73"/>
      <c r="R55" s="73"/>
      <c r="S55" s="73"/>
      <c r="T55" s="73"/>
      <c r="U55" s="73"/>
      <c r="V55" s="73"/>
      <c r="W55" s="73"/>
      <c r="X55" s="73"/>
      <c r="Y55" s="73"/>
      <c r="Z55" s="73"/>
    </row>
    <row r="56">
      <c r="A56" s="74" t="s">
        <v>10</v>
      </c>
      <c r="B56" s="77" t="s">
        <v>2055</v>
      </c>
      <c r="C56" s="73" t="str">
        <f>IFERROR(__xludf.DUMMYFUNCTION("""COMPUTED_VALUE"""),"P0W")</f>
        <v>P0W</v>
      </c>
      <c r="D56" s="73" t="str">
        <f>IFERROR(__xludf.DUMMYFUNCTION("""COMPUTED_VALUE"""),"24 Months OnStar Telematics ")</f>
        <v>24 Months OnStar Telematics </v>
      </c>
      <c r="E56" s="73"/>
      <c r="F56" s="73"/>
      <c r="G56" s="73"/>
      <c r="H56" s="73"/>
      <c r="I56" s="73"/>
      <c r="J56" s="73"/>
      <c r="K56" s="73"/>
      <c r="L56" s="73"/>
      <c r="M56" s="73"/>
      <c r="N56" s="73"/>
      <c r="O56" s="73"/>
      <c r="P56" s="73"/>
      <c r="Q56" s="73"/>
      <c r="R56" s="73"/>
      <c r="S56" s="73"/>
      <c r="T56" s="73"/>
      <c r="U56" s="73"/>
      <c r="V56" s="73"/>
      <c r="W56" s="73"/>
      <c r="X56" s="73"/>
      <c r="Y56" s="73"/>
      <c r="Z56" s="73"/>
    </row>
    <row r="57">
      <c r="A57" s="74" t="s">
        <v>220</v>
      </c>
      <c r="B57" s="77" t="s">
        <v>2056</v>
      </c>
      <c r="C57" s="73" t="str">
        <f>IFERROR(__xludf.DUMMYFUNCTION("""COMPUTED_VALUE"""),"P0X")</f>
        <v>P0X</v>
      </c>
      <c r="D57" s="73" t="str">
        <f>IFERROR(__xludf.DUMMYFUNCTION("""COMPUTED_VALUE"""),"36 Months OnStar Telematics")</f>
        <v>36 Months OnStar Telematics</v>
      </c>
      <c r="E57" s="73"/>
      <c r="F57" s="73"/>
      <c r="G57" s="73"/>
      <c r="H57" s="73"/>
      <c r="I57" s="73"/>
      <c r="J57" s="73"/>
      <c r="K57" s="73"/>
      <c r="L57" s="73"/>
      <c r="M57" s="73"/>
      <c r="N57" s="73"/>
      <c r="O57" s="73"/>
      <c r="P57" s="73"/>
      <c r="Q57" s="73"/>
      <c r="R57" s="73"/>
      <c r="S57" s="73"/>
      <c r="T57" s="73"/>
      <c r="U57" s="73"/>
      <c r="V57" s="73"/>
      <c r="W57" s="73"/>
      <c r="X57" s="73"/>
      <c r="Y57" s="73"/>
      <c r="Z57" s="73"/>
    </row>
    <row r="58">
      <c r="A58" s="74" t="s">
        <v>228</v>
      </c>
      <c r="B58" s="77" t="s">
        <v>2057</v>
      </c>
      <c r="C58" s="73" t="str">
        <f>IFERROR(__xludf.DUMMYFUNCTION("""COMPUTED_VALUE"""),"P0Y")</f>
        <v>P0Y</v>
      </c>
      <c r="D58" s="73" t="str">
        <f>IFERROR(__xludf.DUMMYFUNCTION("""COMPUTED_VALUE"""),"48 Months OnStar Telematics")</f>
        <v>48 Months OnStar Telematics</v>
      </c>
      <c r="E58" s="73"/>
      <c r="F58" s="73"/>
      <c r="G58" s="73"/>
      <c r="H58" s="73"/>
      <c r="I58" s="73"/>
      <c r="J58" s="73"/>
      <c r="K58" s="73"/>
      <c r="L58" s="73"/>
      <c r="M58" s="73"/>
      <c r="N58" s="73"/>
      <c r="O58" s="73"/>
      <c r="P58" s="73"/>
      <c r="Q58" s="73"/>
      <c r="R58" s="73"/>
      <c r="S58" s="73"/>
      <c r="T58" s="73"/>
      <c r="U58" s="73"/>
      <c r="V58" s="73"/>
      <c r="W58" s="73"/>
      <c r="X58" s="73"/>
      <c r="Y58" s="73"/>
      <c r="Z58" s="73"/>
    </row>
    <row r="59">
      <c r="A59" s="74" t="s">
        <v>11</v>
      </c>
      <c r="B59" s="77" t="s">
        <v>2058</v>
      </c>
      <c r="C59" s="73" t="str">
        <f>IFERROR(__xludf.DUMMYFUNCTION("""COMPUTED_VALUE"""),"P0Z")</f>
        <v>P0Z</v>
      </c>
      <c r="D59" s="73" t="str">
        <f>IFERROR(__xludf.DUMMYFUNCTION("""COMPUTED_VALUE"""),"60 Months OnStar Telematics")</f>
        <v>60 Months OnStar Telematics</v>
      </c>
      <c r="E59" s="73"/>
      <c r="F59" s="73"/>
      <c r="G59" s="73"/>
      <c r="H59" s="73"/>
      <c r="I59" s="73"/>
      <c r="J59" s="73"/>
      <c r="K59" s="73"/>
      <c r="L59" s="73"/>
      <c r="M59" s="73"/>
      <c r="N59" s="73"/>
      <c r="O59" s="73"/>
      <c r="P59" s="73"/>
      <c r="Q59" s="73"/>
      <c r="R59" s="73"/>
      <c r="S59" s="73"/>
      <c r="T59" s="73"/>
      <c r="U59" s="73"/>
      <c r="V59" s="73"/>
      <c r="W59" s="73"/>
      <c r="X59" s="73"/>
      <c r="Y59" s="73"/>
      <c r="Z59" s="73"/>
    </row>
    <row r="60">
      <c r="A60" s="74" t="s">
        <v>231</v>
      </c>
      <c r="B60" s="77" t="s">
        <v>2059</v>
      </c>
      <c r="C60" s="73" t="str">
        <f>IFERROR(__xludf.DUMMYFUNCTION("""COMPUTED_VALUE"""),"PPW")</f>
        <v>PPW</v>
      </c>
      <c r="D60" s="73" t="str">
        <f>IFERROR(__xludf.DUMMYFUNCTION("""COMPUTED_VALUE"""),"Wireless Apple CarPlay/Wireless Android Auto")</f>
        <v>Wireless Apple CarPlay/Wireless Android Auto</v>
      </c>
      <c r="E60" s="73"/>
      <c r="F60" s="73"/>
      <c r="G60" s="73"/>
      <c r="H60" s="73"/>
      <c r="I60" s="73"/>
      <c r="J60" s="73"/>
      <c r="K60" s="73"/>
      <c r="L60" s="73"/>
      <c r="M60" s="73"/>
      <c r="N60" s="73"/>
      <c r="O60" s="73"/>
      <c r="P60" s="73"/>
      <c r="Q60" s="73"/>
      <c r="R60" s="73"/>
      <c r="S60" s="73"/>
      <c r="T60" s="73"/>
      <c r="U60" s="73"/>
      <c r="V60" s="73"/>
      <c r="W60" s="73"/>
      <c r="X60" s="73"/>
      <c r="Y60" s="73"/>
      <c r="Z60" s="73"/>
    </row>
    <row r="61">
      <c r="A61" s="74" t="s">
        <v>235</v>
      </c>
      <c r="B61" s="77" t="s">
        <v>2060</v>
      </c>
      <c r="C61" s="73" t="str">
        <f>IFERROR(__xludf.DUMMYFUNCTION("""COMPUTED_VALUE"""),"PQG")</f>
        <v>PQG</v>
      </c>
      <c r="D61" s="73" t="str">
        <f>IFERROR(__xludf.DUMMYFUNCTION("""COMPUTED_VALUE"""),"36 Months OnStar Connect Plus")</f>
        <v>36 Months OnStar Connect Plus</v>
      </c>
      <c r="E61" s="73"/>
      <c r="F61" s="73"/>
      <c r="G61" s="73"/>
      <c r="H61" s="73"/>
      <c r="I61" s="73"/>
      <c r="J61" s="73"/>
      <c r="K61" s="73"/>
      <c r="L61" s="73"/>
      <c r="M61" s="73"/>
      <c r="N61" s="73"/>
      <c r="O61" s="73"/>
      <c r="P61" s="73"/>
      <c r="Q61" s="73"/>
      <c r="R61" s="73"/>
      <c r="S61" s="73"/>
      <c r="T61" s="73"/>
      <c r="U61" s="73"/>
      <c r="V61" s="73"/>
      <c r="W61" s="73"/>
      <c r="X61" s="73"/>
      <c r="Y61" s="73"/>
      <c r="Z61" s="73"/>
    </row>
    <row r="62">
      <c r="A62" s="74" t="s">
        <v>953</v>
      </c>
      <c r="B62" s="77" t="s">
        <v>2061</v>
      </c>
      <c r="C62" s="73" t="str">
        <f>IFERROR(__xludf.DUMMYFUNCTION("""COMPUTED_VALUE"""),"PQH")</f>
        <v>PQH</v>
      </c>
      <c r="D62" s="73" t="str">
        <f>IFERROR(__xludf.DUMMYFUNCTION("""COMPUTED_VALUE"""),"48 Months OnStar Connect Plus")</f>
        <v>48 Months OnStar Connect Plus</v>
      </c>
      <c r="E62" s="73"/>
      <c r="F62" s="73"/>
      <c r="G62" s="73"/>
      <c r="H62" s="73"/>
      <c r="I62" s="73"/>
      <c r="J62" s="73"/>
      <c r="K62" s="73"/>
      <c r="L62" s="73"/>
      <c r="M62" s="73"/>
      <c r="N62" s="73"/>
      <c r="O62" s="73"/>
      <c r="P62" s="73"/>
      <c r="Q62" s="73"/>
      <c r="R62" s="73"/>
      <c r="S62" s="73"/>
      <c r="T62" s="73"/>
      <c r="U62" s="73"/>
      <c r="V62" s="73"/>
      <c r="W62" s="73"/>
      <c r="X62" s="73"/>
      <c r="Y62" s="73"/>
      <c r="Z62" s="73"/>
    </row>
    <row r="63">
      <c r="A63" s="74" t="s">
        <v>12</v>
      </c>
      <c r="B63" s="77" t="s">
        <v>2062</v>
      </c>
      <c r="C63" s="73" t="str">
        <f>IFERROR(__xludf.DUMMYFUNCTION("""COMPUTED_VALUE"""),"PQI")</f>
        <v>PQI</v>
      </c>
      <c r="D63" s="73" t="str">
        <f>IFERROR(__xludf.DUMMYFUNCTION("""COMPUTED_VALUE"""),"60 Months OnStar Connect Plus")</f>
        <v>60 Months OnStar Connect Plus</v>
      </c>
      <c r="E63" s="73"/>
      <c r="F63" s="73"/>
      <c r="G63" s="73"/>
      <c r="H63" s="73"/>
      <c r="I63" s="73"/>
      <c r="J63" s="73"/>
      <c r="K63" s="73"/>
      <c r="L63" s="73"/>
      <c r="M63" s="73"/>
      <c r="N63" s="73"/>
      <c r="O63" s="73"/>
      <c r="P63" s="73"/>
      <c r="Q63" s="73"/>
      <c r="R63" s="73"/>
      <c r="S63" s="73"/>
      <c r="T63" s="73"/>
      <c r="U63" s="73"/>
      <c r="V63" s="73"/>
      <c r="W63" s="73"/>
      <c r="X63" s="73"/>
      <c r="Y63" s="73"/>
      <c r="Z63" s="73"/>
    </row>
    <row r="64">
      <c r="A64" s="74" t="s">
        <v>2063</v>
      </c>
      <c r="B64" s="77" t="s">
        <v>2064</v>
      </c>
      <c r="C64" s="73" t="str">
        <f>IFERROR(__xludf.DUMMYFUNCTION("""COMPUTED_VALUE"""),"PRB")</f>
        <v>PRB</v>
      </c>
      <c r="D64" s="73" t="str">
        <f>IFERROR(__xludf.DUMMYFUNCTION("""COMPUTED_VALUE"""),"3 Years OnStar One")</f>
        <v>3 Years OnStar One</v>
      </c>
      <c r="E64" s="73"/>
      <c r="F64" s="73"/>
      <c r="G64" s="73"/>
      <c r="H64" s="73"/>
      <c r="I64" s="73"/>
      <c r="J64" s="73"/>
      <c r="K64" s="73"/>
      <c r="L64" s="73"/>
      <c r="M64" s="73"/>
      <c r="N64" s="73"/>
      <c r="O64" s="73"/>
      <c r="P64" s="73"/>
      <c r="Q64" s="73"/>
      <c r="R64" s="73"/>
      <c r="S64" s="73"/>
      <c r="T64" s="73"/>
      <c r="U64" s="73"/>
      <c r="V64" s="73"/>
      <c r="W64" s="73"/>
      <c r="X64" s="73"/>
      <c r="Y64" s="73"/>
      <c r="Z64" s="73"/>
    </row>
    <row r="65">
      <c r="A65" s="74" t="s">
        <v>1081</v>
      </c>
      <c r="B65" s="77" t="s">
        <v>2065</v>
      </c>
      <c r="C65" s="73" t="str">
        <f>IFERROR(__xludf.DUMMYFUNCTION("""COMPUTED_VALUE"""),"R6P")</f>
        <v>R6P</v>
      </c>
      <c r="D65" s="73" t="str">
        <f>IFERROR(__xludf.DUMMYFUNCTION("""COMPUTED_VALUE"""),"3 Years SiriusXM")</f>
        <v>3 Years SiriusXM</v>
      </c>
      <c r="E65" s="73"/>
      <c r="F65" s="73"/>
      <c r="G65" s="73"/>
      <c r="H65" s="73"/>
      <c r="I65" s="73"/>
      <c r="J65" s="73"/>
      <c r="K65" s="73"/>
      <c r="L65" s="73"/>
      <c r="M65" s="73"/>
      <c r="N65" s="73"/>
      <c r="O65" s="73"/>
      <c r="P65" s="73"/>
      <c r="Q65" s="73"/>
      <c r="R65" s="73"/>
      <c r="S65" s="73"/>
      <c r="T65" s="73"/>
      <c r="U65" s="73"/>
      <c r="V65" s="73"/>
      <c r="W65" s="73"/>
      <c r="X65" s="73"/>
      <c r="Y65" s="73"/>
      <c r="Z65" s="73"/>
    </row>
    <row r="66">
      <c r="A66" s="74" t="s">
        <v>2066</v>
      </c>
      <c r="B66" s="77" t="s">
        <v>2067</v>
      </c>
      <c r="C66" s="73" t="str">
        <f>IFERROR(__xludf.DUMMYFUNCTION("""COMPUTED_VALUE"""),"R6X")</f>
        <v>R6X</v>
      </c>
      <c r="D66" s="73" t="str">
        <f>IFERROR(__xludf.DUMMYFUNCTION("""COMPUTED_VALUE"""),"Custom Interior Trim and Seat Combination")</f>
        <v>Custom Interior Trim and Seat Combination</v>
      </c>
      <c r="E66" s="73"/>
      <c r="F66" s="73"/>
      <c r="G66" s="73"/>
      <c r="H66" s="73"/>
      <c r="I66" s="73"/>
      <c r="J66" s="73"/>
      <c r="K66" s="73"/>
      <c r="L66" s="73"/>
      <c r="M66" s="73"/>
      <c r="N66" s="73"/>
      <c r="O66" s="73"/>
      <c r="P66" s="73"/>
      <c r="Q66" s="73"/>
      <c r="R66" s="73"/>
      <c r="S66" s="73"/>
      <c r="T66" s="73"/>
      <c r="U66" s="73"/>
      <c r="V66" s="73"/>
      <c r="W66" s="73"/>
      <c r="X66" s="73"/>
      <c r="Y66" s="73"/>
      <c r="Z66" s="73"/>
    </row>
    <row r="67">
      <c r="A67" s="74" t="s">
        <v>1839</v>
      </c>
      <c r="B67" s="77" t="s">
        <v>2068</v>
      </c>
      <c r="C67" s="73" t="str">
        <f>IFERROR(__xludf.DUMMYFUNCTION("""COMPUTED_VALUE"""),"R8G")</f>
        <v>R8G</v>
      </c>
      <c r="D67" s="73" t="str">
        <f>IFERROR(__xludf.DUMMYFUNCTION("""COMPUTED_VALUE"""),"12 Months OnStar One Fleet")</f>
        <v>12 Months OnStar One Fleet</v>
      </c>
      <c r="E67" s="73"/>
      <c r="F67" s="73"/>
      <c r="G67" s="73"/>
      <c r="H67" s="73"/>
      <c r="I67" s="73"/>
      <c r="J67" s="73"/>
      <c r="K67" s="73"/>
      <c r="L67" s="73"/>
      <c r="M67" s="73"/>
      <c r="N67" s="73"/>
      <c r="O67" s="73"/>
      <c r="P67" s="73"/>
      <c r="Q67" s="73"/>
      <c r="R67" s="73"/>
      <c r="S67" s="73"/>
      <c r="T67" s="73"/>
      <c r="U67" s="73"/>
      <c r="V67" s="73"/>
      <c r="W67" s="73"/>
      <c r="X67" s="73"/>
      <c r="Y67" s="73"/>
      <c r="Z67" s="73"/>
    </row>
    <row r="68">
      <c r="A68" s="74" t="s">
        <v>1089</v>
      </c>
      <c r="B68" s="77" t="s">
        <v>2069</v>
      </c>
      <c r="C68" s="73" t="str">
        <f>IFERROR(__xludf.DUMMYFUNCTION("""COMPUTED_VALUE"""),"R8P")</f>
        <v>R8P</v>
      </c>
      <c r="D68" s="73" t="str">
        <f>IFERROR(__xludf.DUMMYFUNCTION("""COMPUTED_VALUE"""),"36 Months OnStar One Fleet")</f>
        <v>36 Months OnStar One Fleet</v>
      </c>
      <c r="E68" s="73"/>
      <c r="F68" s="73"/>
      <c r="G68" s="73"/>
      <c r="H68" s="73"/>
      <c r="I68" s="73"/>
      <c r="J68" s="73"/>
      <c r="K68" s="73"/>
      <c r="L68" s="73"/>
      <c r="M68" s="73"/>
      <c r="N68" s="73"/>
      <c r="O68" s="73"/>
      <c r="P68" s="73"/>
      <c r="Q68" s="73"/>
      <c r="R68" s="73"/>
      <c r="S68" s="73"/>
      <c r="T68" s="73"/>
      <c r="U68" s="73"/>
      <c r="V68" s="73"/>
      <c r="W68" s="73"/>
      <c r="X68" s="73"/>
      <c r="Y68" s="73"/>
      <c r="Z68" s="73"/>
    </row>
    <row r="69">
      <c r="A69" s="74" t="s">
        <v>1091</v>
      </c>
      <c r="B69" s="77" t="s">
        <v>2070</v>
      </c>
      <c r="C69" s="73" t="str">
        <f>IFERROR(__xludf.DUMMYFUNCTION("""COMPUTED_VALUE"""),"R8W")</f>
        <v>R8W</v>
      </c>
      <c r="D69" s="73" t="str">
        <f>IFERROR(__xludf.DUMMYFUNCTION("""COMPUTED_VALUE"""),"60 Months OnStar One Fleet")</f>
        <v>60 Months OnStar One Fleet</v>
      </c>
      <c r="E69" s="73"/>
      <c r="F69" s="73"/>
      <c r="G69" s="73"/>
      <c r="H69" s="73"/>
      <c r="I69" s="73"/>
      <c r="J69" s="73"/>
      <c r="K69" s="73"/>
      <c r="L69" s="73"/>
      <c r="M69" s="73"/>
      <c r="N69" s="73"/>
      <c r="O69" s="73"/>
      <c r="P69" s="73"/>
      <c r="Q69" s="73"/>
      <c r="R69" s="73"/>
      <c r="S69" s="73"/>
      <c r="T69" s="73"/>
      <c r="U69" s="73"/>
      <c r="V69" s="73"/>
      <c r="W69" s="73"/>
      <c r="X69" s="73"/>
      <c r="Y69" s="73"/>
      <c r="Z69" s="73"/>
    </row>
    <row r="70">
      <c r="A70" s="74" t="s">
        <v>2071</v>
      </c>
      <c r="B70" s="77" t="s">
        <v>2072</v>
      </c>
      <c r="C70" s="73" t="str">
        <f>IFERROR(__xludf.DUMMYFUNCTION("""COMPUTED_VALUE"""),"R8Z")</f>
        <v>R8Z</v>
      </c>
      <c r="D70" s="73" t="str">
        <f>IFERROR(__xludf.DUMMYFUNCTION("""COMPUTED_VALUE"""),"48 Months OnStar One Fleet")</f>
        <v>48 Months OnStar One Fleet</v>
      </c>
      <c r="E70" s="73"/>
      <c r="F70" s="73"/>
      <c r="G70" s="73"/>
      <c r="H70" s="73"/>
      <c r="I70" s="73"/>
      <c r="J70" s="73"/>
      <c r="K70" s="73"/>
      <c r="L70" s="73"/>
      <c r="M70" s="73"/>
      <c r="N70" s="73"/>
      <c r="O70" s="73"/>
      <c r="P70" s="73"/>
      <c r="Q70" s="73"/>
      <c r="R70" s="73"/>
      <c r="S70" s="73"/>
      <c r="T70" s="73"/>
      <c r="U70" s="73"/>
      <c r="V70" s="73"/>
      <c r="W70" s="73"/>
      <c r="X70" s="73"/>
      <c r="Y70" s="73"/>
      <c r="Z70" s="73"/>
    </row>
    <row r="71">
      <c r="A71" s="74" t="s">
        <v>2073</v>
      </c>
      <c r="B71" s="77" t="s">
        <v>2074</v>
      </c>
      <c r="C71" s="73" t="str">
        <f>IFERROR(__xludf.DUMMYFUNCTION("""COMPUTED_VALUE"""),"R9L")</f>
        <v>R9L</v>
      </c>
      <c r="D71" s="73" t="str">
        <f>IFERROR(__xludf.DUMMYFUNCTION("""COMPUTED_VALUE"""),"Removes OnStar Basics (OnStar Fleet Basics for Fleet)")</f>
        <v>Removes OnStar Basics (OnStar Fleet Basics for Fleet)</v>
      </c>
      <c r="E71" s="73"/>
      <c r="F71" s="73"/>
      <c r="G71" s="73"/>
      <c r="H71" s="73"/>
      <c r="I71" s="73"/>
      <c r="J71" s="73"/>
      <c r="K71" s="73"/>
      <c r="L71" s="73"/>
      <c r="M71" s="73"/>
      <c r="N71" s="73"/>
      <c r="O71" s="73"/>
      <c r="P71" s="73"/>
      <c r="Q71" s="73"/>
      <c r="R71" s="73"/>
      <c r="S71" s="73"/>
      <c r="T71" s="73"/>
      <c r="U71" s="73"/>
      <c r="V71" s="73"/>
      <c r="W71" s="73"/>
      <c r="X71" s="73"/>
      <c r="Y71" s="73"/>
      <c r="Z71" s="73"/>
    </row>
    <row r="72">
      <c r="A72" s="74" t="s">
        <v>1314</v>
      </c>
      <c r="B72" s="77" t="s">
        <v>2075</v>
      </c>
      <c r="C72" s="73" t="str">
        <f>IFERROR(__xludf.DUMMYFUNCTION("""COMPUTED_VALUE"""),"R9V")</f>
        <v>R9V</v>
      </c>
      <c r="D72" s="73" t="str">
        <f>IFERROR(__xludf.DUMMYFUNCTION("""COMPUTED_VALUE"""),"Mobile Service Plus")</f>
        <v>Mobile Service Plus</v>
      </c>
      <c r="E72" s="73"/>
      <c r="F72" s="73"/>
      <c r="G72" s="73"/>
      <c r="H72" s="73"/>
      <c r="I72" s="73"/>
      <c r="J72" s="73"/>
      <c r="K72" s="73"/>
      <c r="L72" s="73"/>
      <c r="M72" s="73"/>
      <c r="N72" s="73"/>
      <c r="O72" s="73"/>
      <c r="P72" s="73"/>
      <c r="Q72" s="73"/>
      <c r="R72" s="73"/>
      <c r="S72" s="73"/>
      <c r="T72" s="73"/>
      <c r="U72" s="73"/>
      <c r="V72" s="73"/>
      <c r="W72" s="73"/>
      <c r="X72" s="73"/>
      <c r="Y72" s="73"/>
      <c r="Z72" s="73"/>
    </row>
    <row r="73">
      <c r="A73" s="74" t="s">
        <v>1317</v>
      </c>
      <c r="B73" s="77" t="s">
        <v>2076</v>
      </c>
      <c r="C73" s="73" t="str">
        <f>IFERROR(__xludf.DUMMYFUNCTION("""COMPUTED_VALUE"""),"R9W")</f>
        <v>R9W</v>
      </c>
      <c r="D73" s="73" t="str">
        <f>IFERROR(__xludf.DUMMYFUNCTION("""COMPUTED_VALUE"""),"Deleted Mobile Service Plus")</f>
        <v>Deleted Mobile Service Plus</v>
      </c>
      <c r="E73" s="73"/>
      <c r="F73" s="73"/>
      <c r="G73" s="73"/>
      <c r="H73" s="73"/>
      <c r="I73" s="73"/>
      <c r="J73" s="73"/>
      <c r="K73" s="73"/>
      <c r="L73" s="73"/>
      <c r="M73" s="73"/>
      <c r="N73" s="73"/>
      <c r="O73" s="73"/>
      <c r="P73" s="73"/>
      <c r="Q73" s="73"/>
      <c r="R73" s="73"/>
      <c r="S73" s="73"/>
      <c r="T73" s="73"/>
      <c r="U73" s="73"/>
      <c r="V73" s="73"/>
      <c r="W73" s="73"/>
      <c r="X73" s="73"/>
      <c r="Y73" s="73"/>
      <c r="Z73" s="73"/>
    </row>
    <row r="74">
      <c r="A74" s="74" t="s">
        <v>13</v>
      </c>
      <c r="B74" s="77" t="s">
        <v>2077</v>
      </c>
      <c r="C74" s="73" t="str">
        <f>IFERROR(__xludf.DUMMYFUNCTION("""COMPUTED_VALUE"""),"R9Y")</f>
        <v>R9Y</v>
      </c>
      <c r="D74" s="73" t="str">
        <f>IFERROR(__xludf.DUMMYFUNCTION("""COMPUTED_VALUE"""),"Mobile Service Plus")</f>
        <v>Mobile Service Plus</v>
      </c>
      <c r="E74" s="73"/>
      <c r="F74" s="73"/>
      <c r="G74" s="73"/>
      <c r="H74" s="73"/>
      <c r="I74" s="73"/>
      <c r="J74" s="73"/>
      <c r="K74" s="73"/>
      <c r="L74" s="73"/>
      <c r="M74" s="73"/>
      <c r="N74" s="73"/>
      <c r="O74" s="73"/>
      <c r="P74" s="73"/>
      <c r="Q74" s="73"/>
      <c r="R74" s="73"/>
      <c r="S74" s="73"/>
      <c r="T74" s="73"/>
      <c r="U74" s="73"/>
      <c r="V74" s="73"/>
      <c r="W74" s="73"/>
      <c r="X74" s="73"/>
      <c r="Y74" s="73"/>
      <c r="Z74" s="73"/>
    </row>
    <row r="75">
      <c r="A75" s="74" t="s">
        <v>278</v>
      </c>
      <c r="B75" s="77" t="s">
        <v>2078</v>
      </c>
      <c r="C75" s="73" t="str">
        <f>IFERROR(__xludf.DUMMYFUNCTION("""COMPUTED_VALUE"""),"RFH")</f>
        <v>RFH</v>
      </c>
      <c r="D75" s="73" t="str">
        <f>IFERROR(__xludf.DUMMYFUNCTION("""COMPUTED_VALUE"""),"24 Months OnStar One Fleet")</f>
        <v>24 Months OnStar One Fleet</v>
      </c>
      <c r="E75" s="73"/>
      <c r="F75" s="73"/>
      <c r="G75" s="73"/>
      <c r="H75" s="73"/>
      <c r="I75" s="73"/>
      <c r="J75" s="73"/>
      <c r="K75" s="73"/>
      <c r="L75" s="73"/>
      <c r="M75" s="73"/>
      <c r="N75" s="73"/>
      <c r="O75" s="73"/>
      <c r="P75" s="73"/>
      <c r="Q75" s="73"/>
      <c r="R75" s="73"/>
      <c r="S75" s="73"/>
      <c r="T75" s="73"/>
      <c r="U75" s="73"/>
      <c r="V75" s="73"/>
      <c r="W75" s="73"/>
      <c r="X75" s="73"/>
      <c r="Y75" s="73"/>
      <c r="Z75" s="73"/>
    </row>
    <row r="76">
      <c r="A76" s="74" t="s">
        <v>1320</v>
      </c>
      <c r="B76" s="77" t="s">
        <v>2079</v>
      </c>
      <c r="C76" s="73" t="str">
        <f>IFERROR(__xludf.DUMMYFUNCTION("""COMPUTED_VALUE"""),"SL9")</f>
        <v>SL9</v>
      </c>
      <c r="D76" s="73" t="str">
        <f>IFERROR(__xludf.DUMMYFUNCTION("""COMPUTED_VALUE"""),"LPO, Engine specification plaque")</f>
        <v>LPO, Engine specification plaque</v>
      </c>
      <c r="E76" s="73"/>
      <c r="F76" s="73"/>
      <c r="G76" s="73"/>
      <c r="H76" s="73"/>
      <c r="I76" s="73"/>
      <c r="J76" s="73"/>
      <c r="K76" s="73"/>
      <c r="L76" s="73"/>
      <c r="M76" s="73"/>
      <c r="N76" s="73"/>
      <c r="O76" s="73"/>
      <c r="P76" s="73"/>
      <c r="Q76" s="73"/>
      <c r="R76" s="73"/>
      <c r="S76" s="73"/>
      <c r="T76" s="73"/>
      <c r="U76" s="73"/>
      <c r="V76" s="73"/>
      <c r="W76" s="73"/>
      <c r="X76" s="73"/>
      <c r="Y76" s="73"/>
      <c r="Z76" s="73"/>
    </row>
    <row r="77">
      <c r="A77" s="74" t="s">
        <v>280</v>
      </c>
      <c r="B77" s="77" t="s">
        <v>2080</v>
      </c>
      <c r="C77" s="73" t="str">
        <f>IFERROR(__xludf.DUMMYFUNCTION("""COMPUTED_VALUE"""),"T4L")</f>
        <v>T4L</v>
      </c>
      <c r="D77" s="73" t="str">
        <f>IFERROR(__xludf.DUMMYFUNCTION("""COMPUTED_VALUE"""),"Headlamps, LED")</f>
        <v>Headlamps, LED</v>
      </c>
      <c r="E77" s="73"/>
      <c r="F77" s="73"/>
      <c r="G77" s="73"/>
      <c r="H77" s="73"/>
      <c r="I77" s="73"/>
      <c r="J77" s="73"/>
      <c r="K77" s="73"/>
      <c r="L77" s="73"/>
      <c r="M77" s="73"/>
      <c r="N77" s="73"/>
      <c r="O77" s="73"/>
      <c r="P77" s="73"/>
      <c r="Q77" s="73"/>
      <c r="R77" s="73"/>
      <c r="S77" s="73"/>
      <c r="T77" s="73"/>
      <c r="U77" s="73"/>
      <c r="V77" s="73"/>
      <c r="W77" s="73"/>
      <c r="X77" s="73"/>
      <c r="Y77" s="73"/>
      <c r="Z77" s="73"/>
    </row>
    <row r="78">
      <c r="A78" s="74" t="s">
        <v>1449</v>
      </c>
      <c r="B78" s="77" t="s">
        <v>2081</v>
      </c>
      <c r="C78" s="73" t="str">
        <f>IFERROR(__xludf.DUMMYFUNCTION("""COMPUTED_VALUE"""),"TDM")</f>
        <v>TDM</v>
      </c>
      <c r="D78" s="73" t="str">
        <f>IFERROR(__xludf.DUMMYFUNCTION("""COMPUTED_VALUE"""),"Teen Driver")</f>
        <v>Teen Driver</v>
      </c>
      <c r="E78" s="73"/>
      <c r="F78" s="73"/>
      <c r="G78" s="73"/>
      <c r="H78" s="73"/>
      <c r="I78" s="73"/>
      <c r="J78" s="73"/>
      <c r="K78" s="73"/>
      <c r="L78" s="73"/>
      <c r="M78" s="73"/>
      <c r="N78" s="73"/>
      <c r="O78" s="73"/>
      <c r="P78" s="73"/>
      <c r="Q78" s="73"/>
      <c r="R78" s="73"/>
      <c r="S78" s="73"/>
      <c r="T78" s="73"/>
      <c r="U78" s="73"/>
      <c r="V78" s="73"/>
      <c r="W78" s="73"/>
      <c r="X78" s="73"/>
      <c r="Y78" s="73"/>
      <c r="Z78" s="73"/>
    </row>
    <row r="79">
      <c r="A79" s="74" t="s">
        <v>1101</v>
      </c>
      <c r="B79" s="77" t="s">
        <v>2082</v>
      </c>
      <c r="C79" s="73" t="str">
        <f>IFERROR(__xludf.DUMMYFUNCTION("""COMPUTED_VALUE"""),"TQ5")</f>
        <v>TQ5</v>
      </c>
      <c r="D79" s="73" t="str">
        <f>IFERROR(__xludf.DUMMYFUNCTION("""COMPUTED_VALUE"""),"IntelliBeam")</f>
        <v>IntelliBeam</v>
      </c>
      <c r="E79" s="73"/>
      <c r="F79" s="73"/>
      <c r="G79" s="73"/>
      <c r="H79" s="73"/>
      <c r="I79" s="73"/>
      <c r="J79" s="73"/>
      <c r="K79" s="73"/>
      <c r="L79" s="73"/>
      <c r="M79" s="73"/>
      <c r="N79" s="73"/>
      <c r="O79" s="73"/>
      <c r="P79" s="73"/>
      <c r="Q79" s="73"/>
      <c r="R79" s="73"/>
      <c r="S79" s="73"/>
      <c r="T79" s="73"/>
      <c r="U79" s="73"/>
      <c r="V79" s="73"/>
      <c r="W79" s="73"/>
      <c r="X79" s="73"/>
      <c r="Y79" s="73"/>
      <c r="Z79" s="73"/>
    </row>
    <row r="80">
      <c r="A80" s="74" t="s">
        <v>1103</v>
      </c>
      <c r="B80" s="77" t="s">
        <v>2083</v>
      </c>
      <c r="C80" s="73" t="str">
        <f>IFERROR(__xludf.DUMMYFUNCTION("""COMPUTED_VALUE"""),"TR7")</f>
        <v>TR7</v>
      </c>
      <c r="D80" s="73" t="str">
        <f>IFERROR(__xludf.DUMMYFUNCTION("""COMPUTED_VALUE"""),"Headlamp control, automatic leveling system")</f>
        <v>Headlamp control, automatic leveling system</v>
      </c>
      <c r="E80" s="73"/>
      <c r="F80" s="73"/>
      <c r="G80" s="73"/>
      <c r="H80" s="73"/>
      <c r="I80" s="73"/>
      <c r="J80" s="73"/>
      <c r="K80" s="73"/>
      <c r="L80" s="73"/>
      <c r="M80" s="73"/>
      <c r="N80" s="73"/>
      <c r="O80" s="73"/>
      <c r="P80" s="73"/>
      <c r="Q80" s="73"/>
      <c r="R80" s="73"/>
      <c r="S80" s="73"/>
      <c r="T80" s="73"/>
      <c r="U80" s="73"/>
      <c r="V80" s="73"/>
      <c r="W80" s="73"/>
      <c r="X80" s="73"/>
      <c r="Y80" s="73"/>
      <c r="Z80" s="73"/>
    </row>
    <row r="81">
      <c r="A81" s="74" t="s">
        <v>1105</v>
      </c>
      <c r="B81" s="77" t="s">
        <v>2084</v>
      </c>
      <c r="C81" s="73" t="str">
        <f>IFERROR(__xludf.DUMMYFUNCTION("""COMPUTED_VALUE"""),"U2K")</f>
        <v>U2K</v>
      </c>
      <c r="D81" s="73" t="str">
        <f>IFERROR(__xludf.DUMMYFUNCTION("""COMPUTED_VALUE"""),"SiriusXM with 360L")</f>
        <v>SiriusXM with 360L</v>
      </c>
      <c r="E81" s="73"/>
      <c r="F81" s="73"/>
      <c r="G81" s="73"/>
      <c r="H81" s="73"/>
      <c r="I81" s="73"/>
      <c r="J81" s="73"/>
      <c r="K81" s="73"/>
      <c r="L81" s="73"/>
      <c r="M81" s="73"/>
      <c r="N81" s="73"/>
      <c r="O81" s="73"/>
      <c r="P81" s="73"/>
      <c r="Q81" s="73"/>
      <c r="R81" s="73"/>
      <c r="S81" s="73"/>
      <c r="T81" s="73"/>
      <c r="U81" s="73"/>
      <c r="V81" s="73"/>
      <c r="W81" s="73"/>
      <c r="X81" s="73"/>
      <c r="Y81" s="73"/>
      <c r="Z81" s="73"/>
    </row>
    <row r="82">
      <c r="A82" s="74" t="s">
        <v>1107</v>
      </c>
      <c r="B82" s="77" t="s">
        <v>2085</v>
      </c>
      <c r="C82" s="73" t="str">
        <f>IFERROR(__xludf.DUMMYFUNCTION("""COMPUTED_VALUE"""),"U5G")</f>
        <v>U5G</v>
      </c>
      <c r="D82" s="73" t="str">
        <f>IFERROR(__xludf.DUMMYFUNCTION("""COMPUTED_VALUE"""),"NEW!  5G vehicle connectivity")</f>
        <v>NEW!  5G vehicle connectivity</v>
      </c>
      <c r="E82" s="73"/>
      <c r="F82" s="73"/>
      <c r="G82" s="73"/>
      <c r="H82" s="73"/>
      <c r="I82" s="73"/>
      <c r="J82" s="73"/>
      <c r="K82" s="73"/>
      <c r="L82" s="73"/>
      <c r="M82" s="73"/>
      <c r="N82" s="73"/>
      <c r="O82" s="73"/>
      <c r="P82" s="73"/>
      <c r="Q82" s="73"/>
      <c r="R82" s="73"/>
      <c r="S82" s="73"/>
      <c r="T82" s="73"/>
      <c r="U82" s="73"/>
      <c r="V82" s="73"/>
      <c r="W82" s="73"/>
      <c r="X82" s="73"/>
      <c r="Y82" s="73"/>
      <c r="Z82" s="73"/>
    </row>
    <row r="83">
      <c r="A83" s="74" t="s">
        <v>2086</v>
      </c>
      <c r="B83" s="77" t="s">
        <v>2087</v>
      </c>
      <c r="C83" s="73" t="str">
        <f>IFERROR(__xludf.DUMMYFUNCTION("""COMPUTED_VALUE"""),"U80")</f>
        <v>U80</v>
      </c>
      <c r="D83" s="73" t="str">
        <f>IFERROR(__xludf.DUMMYFUNCTION("""COMPUTED_VALUE"""),"Compass, digital")</f>
        <v>Compass, digital</v>
      </c>
      <c r="E83" s="73"/>
      <c r="F83" s="73"/>
      <c r="G83" s="73"/>
      <c r="H83" s="73"/>
      <c r="I83" s="73"/>
      <c r="J83" s="73"/>
      <c r="K83" s="73"/>
      <c r="L83" s="73"/>
      <c r="M83" s="73"/>
      <c r="N83" s="73"/>
      <c r="O83" s="73"/>
      <c r="P83" s="73"/>
      <c r="Q83" s="73"/>
      <c r="R83" s="73"/>
      <c r="S83" s="73"/>
      <c r="T83" s="73"/>
      <c r="U83" s="73"/>
      <c r="V83" s="73"/>
      <c r="W83" s="73"/>
      <c r="X83" s="73"/>
      <c r="Y83" s="73"/>
      <c r="Z83" s="73"/>
    </row>
    <row r="84">
      <c r="A84" s="74" t="s">
        <v>2088</v>
      </c>
      <c r="B84" s="77" t="s">
        <v>2089</v>
      </c>
      <c r="C84" s="73" t="str">
        <f>IFERROR(__xludf.DUMMYFUNCTION("""COMPUTED_VALUE"""),"UD7")</f>
        <v>UD7</v>
      </c>
      <c r="D84" s="73" t="str">
        <f>IFERROR(__xludf.DUMMYFUNCTION("""COMPUTED_VALUE"""),"Rear Park Assist")</f>
        <v>Rear Park Assist</v>
      </c>
      <c r="E84" s="73"/>
      <c r="F84" s="73"/>
      <c r="G84" s="73"/>
      <c r="H84" s="73"/>
      <c r="I84" s="73"/>
      <c r="J84" s="73"/>
      <c r="K84" s="73"/>
      <c r="L84" s="73"/>
      <c r="M84" s="73"/>
      <c r="N84" s="73"/>
      <c r="O84" s="73"/>
      <c r="P84" s="73"/>
      <c r="Q84" s="73"/>
      <c r="R84" s="73"/>
      <c r="S84" s="73"/>
      <c r="T84" s="73"/>
      <c r="U84" s="73"/>
      <c r="V84" s="73"/>
      <c r="W84" s="73"/>
      <c r="X84" s="73"/>
      <c r="Y84" s="73"/>
      <c r="Z84" s="73"/>
    </row>
    <row r="85">
      <c r="A85" s="74" t="s">
        <v>728</v>
      </c>
      <c r="B85" s="77" t="s">
        <v>2090</v>
      </c>
      <c r="C85" s="73" t="str">
        <f>IFERROR(__xludf.DUMMYFUNCTION("""COMPUTED_VALUE"""),"UE1")</f>
        <v>UE1</v>
      </c>
      <c r="D85" s="73" t="str">
        <f>IFERROR(__xludf.DUMMYFUNCTION("""COMPUTED_VALUE"""),"OnStar services capable")</f>
        <v>OnStar services capable</v>
      </c>
      <c r="E85" s="73"/>
      <c r="F85" s="73"/>
      <c r="G85" s="73"/>
      <c r="H85" s="73"/>
      <c r="I85" s="73"/>
      <c r="J85" s="73"/>
      <c r="K85" s="73"/>
      <c r="L85" s="73"/>
      <c r="M85" s="73"/>
      <c r="N85" s="73"/>
      <c r="O85" s="73"/>
      <c r="P85" s="73"/>
      <c r="Q85" s="73"/>
      <c r="R85" s="73"/>
      <c r="S85" s="73"/>
      <c r="T85" s="73"/>
      <c r="U85" s="73"/>
      <c r="V85" s="73"/>
      <c r="W85" s="73"/>
      <c r="X85" s="73"/>
      <c r="Y85" s="73"/>
      <c r="Z85" s="73"/>
    </row>
    <row r="86">
      <c r="A86" s="74" t="s">
        <v>1479</v>
      </c>
      <c r="B86" s="77" t="s">
        <v>2091</v>
      </c>
      <c r="C86" s="73" t="str">
        <f>IFERROR(__xludf.DUMMYFUNCTION("""COMPUTED_VALUE"""),"UEU")</f>
        <v>UEU</v>
      </c>
      <c r="D86" s="73" t="str">
        <f>IFERROR(__xludf.DUMMYFUNCTION("""COMPUTED_VALUE"""),"Forward Collision Alert")</f>
        <v>Forward Collision Alert</v>
      </c>
      <c r="E86" s="73"/>
      <c r="F86" s="73"/>
      <c r="G86" s="73"/>
      <c r="H86" s="73"/>
      <c r="I86" s="73"/>
      <c r="J86" s="73"/>
      <c r="K86" s="73"/>
      <c r="L86" s="73"/>
      <c r="M86" s="73"/>
      <c r="N86" s="73"/>
      <c r="O86" s="73"/>
      <c r="P86" s="73"/>
      <c r="Q86" s="73"/>
      <c r="R86" s="73"/>
      <c r="S86" s="73"/>
      <c r="T86" s="73"/>
      <c r="U86" s="73"/>
      <c r="V86" s="73"/>
      <c r="W86" s="73"/>
      <c r="X86" s="73"/>
      <c r="Y86" s="73"/>
      <c r="Z86" s="73"/>
    </row>
    <row r="87">
      <c r="A87" s="74" t="s">
        <v>1114</v>
      </c>
      <c r="B87" s="77" t="s">
        <v>2092</v>
      </c>
      <c r="C87" s="73" t="str">
        <f>IFERROR(__xludf.DUMMYFUNCTION("""COMPUTED_VALUE"""),"UFG")</f>
        <v>UFG</v>
      </c>
      <c r="D87" s="73" t="str">
        <f>IFERROR(__xludf.DUMMYFUNCTION("""COMPUTED_VALUE"""),"Rear Cross Traffic Alert")</f>
        <v>Rear Cross Traffic Alert</v>
      </c>
      <c r="E87" s="73"/>
      <c r="F87" s="73"/>
      <c r="G87" s="73"/>
      <c r="H87" s="73"/>
      <c r="I87" s="73"/>
      <c r="J87" s="73"/>
      <c r="K87" s="73"/>
      <c r="L87" s="73"/>
      <c r="M87" s="73"/>
      <c r="N87" s="73"/>
      <c r="O87" s="73"/>
      <c r="P87" s="73"/>
      <c r="Q87" s="73"/>
      <c r="R87" s="73"/>
      <c r="S87" s="73"/>
      <c r="T87" s="73"/>
      <c r="U87" s="73"/>
      <c r="V87" s="73"/>
      <c r="W87" s="73"/>
      <c r="X87" s="73"/>
      <c r="Y87" s="73"/>
      <c r="Z87" s="73"/>
    </row>
    <row r="88">
      <c r="A88" s="74" t="s">
        <v>1635</v>
      </c>
      <c r="B88" s="77" t="s">
        <v>2093</v>
      </c>
      <c r="C88" s="73" t="str">
        <f>IFERROR(__xludf.DUMMYFUNCTION("""COMPUTED_VALUE"""),"UFT")</f>
        <v>UFT</v>
      </c>
      <c r="D88" s="73" t="str">
        <f>IFERROR(__xludf.DUMMYFUNCTION("""COMPUTED_VALUE"""),"Side Blind Zone Alert")</f>
        <v>Side Blind Zone Alert</v>
      </c>
      <c r="E88" s="73"/>
      <c r="F88" s="73"/>
      <c r="G88" s="73"/>
      <c r="H88" s="73"/>
      <c r="I88" s="73"/>
      <c r="J88" s="73"/>
      <c r="K88" s="73"/>
      <c r="L88" s="73"/>
      <c r="M88" s="73"/>
      <c r="N88" s="73"/>
      <c r="O88" s="73"/>
      <c r="P88" s="73"/>
      <c r="Q88" s="73"/>
      <c r="R88" s="73"/>
      <c r="S88" s="73"/>
      <c r="T88" s="73"/>
      <c r="U88" s="73"/>
      <c r="V88" s="73"/>
      <c r="W88" s="73"/>
      <c r="X88" s="73"/>
      <c r="Y88" s="73"/>
      <c r="Z88" s="73"/>
    </row>
    <row r="89">
      <c r="A89" s="74" t="s">
        <v>1116</v>
      </c>
      <c r="B89" s="77" t="s">
        <v>2094</v>
      </c>
      <c r="C89" s="73" t="str">
        <f>IFERROR(__xludf.DUMMYFUNCTION("""COMPUTED_VALUE"""),"UG1")</f>
        <v>UG1</v>
      </c>
      <c r="D89" s="73" t="str">
        <f>IFERROR(__xludf.DUMMYFUNCTION("""COMPUTED_VALUE"""),"Universal Home Remote")</f>
        <v>Universal Home Remote</v>
      </c>
      <c r="E89" s="73"/>
      <c r="F89" s="73"/>
      <c r="G89" s="73"/>
      <c r="H89" s="73"/>
      <c r="I89" s="73"/>
      <c r="J89" s="73"/>
      <c r="K89" s="73"/>
      <c r="L89" s="73"/>
      <c r="M89" s="73"/>
      <c r="N89" s="73"/>
      <c r="O89" s="73"/>
      <c r="P89" s="73"/>
      <c r="Q89" s="73"/>
      <c r="R89" s="73"/>
      <c r="S89" s="73"/>
      <c r="T89" s="73"/>
      <c r="U89" s="73"/>
      <c r="V89" s="73"/>
      <c r="W89" s="73"/>
      <c r="X89" s="73"/>
      <c r="Y89" s="73"/>
      <c r="Z89" s="73"/>
    </row>
    <row r="90">
      <c r="A90" s="74" t="s">
        <v>1118</v>
      </c>
      <c r="B90" s="77" t="s">
        <v>2095</v>
      </c>
      <c r="C90" s="73" t="str">
        <f>IFERROR(__xludf.DUMMYFUNCTION("""COMPUTED_VALUE"""),"UHX")</f>
        <v>UHX</v>
      </c>
      <c r="D90" s="73" t="str">
        <f>IFERROR(__xludf.DUMMYFUNCTION("""COMPUTED_VALUE"""),"Lane Keep Assist with Lane Departure Warning")</f>
        <v>Lane Keep Assist with Lane Departure Warning</v>
      </c>
      <c r="E90" s="73"/>
      <c r="F90" s="73"/>
      <c r="G90" s="73"/>
      <c r="H90" s="73"/>
      <c r="I90" s="73"/>
      <c r="J90" s="73"/>
      <c r="K90" s="73"/>
      <c r="L90" s="73"/>
      <c r="M90" s="73"/>
      <c r="N90" s="73"/>
      <c r="O90" s="73"/>
      <c r="P90" s="73"/>
      <c r="Q90" s="73"/>
      <c r="R90" s="73"/>
      <c r="S90" s="73"/>
      <c r="T90" s="73"/>
      <c r="U90" s="73"/>
      <c r="V90" s="73"/>
      <c r="W90" s="73"/>
      <c r="X90" s="73"/>
      <c r="Y90" s="73"/>
      <c r="Z90" s="73"/>
    </row>
    <row r="91">
      <c r="A91" s="74" t="s">
        <v>1120</v>
      </c>
      <c r="B91" s="77" t="s">
        <v>2096</v>
      </c>
      <c r="C91" s="73" t="str">
        <f>IFERROR(__xludf.DUMMYFUNCTION("""COMPUTED_VALUE"""),"UHY")</f>
        <v>UHY</v>
      </c>
      <c r="D91" s="73" t="str">
        <f>IFERROR(__xludf.DUMMYFUNCTION("""COMPUTED_VALUE"""),"Automatic Emergency Braking")</f>
        <v>Automatic Emergency Braking</v>
      </c>
      <c r="E91" s="73"/>
      <c r="F91" s="73"/>
      <c r="G91" s="73"/>
      <c r="H91" s="73"/>
      <c r="I91" s="73"/>
      <c r="J91" s="73"/>
      <c r="K91" s="73"/>
      <c r="L91" s="73"/>
      <c r="M91" s="73"/>
      <c r="N91" s="73"/>
      <c r="O91" s="73"/>
      <c r="P91" s="73"/>
      <c r="Q91" s="73"/>
      <c r="R91" s="73"/>
      <c r="S91" s="73"/>
      <c r="T91" s="73"/>
      <c r="U91" s="73"/>
      <c r="V91" s="73"/>
      <c r="W91" s="73"/>
      <c r="X91" s="73"/>
      <c r="Y91" s="73"/>
      <c r="Z91" s="73"/>
    </row>
    <row r="92">
      <c r="A92" s="74" t="s">
        <v>1122</v>
      </c>
      <c r="B92" s="77" t="s">
        <v>2097</v>
      </c>
      <c r="C92" s="73" t="str">
        <f>IFERROR(__xludf.DUMMYFUNCTION("""COMPUTED_VALUE"""),"UKT")</f>
        <v>UKT</v>
      </c>
      <c r="D92" s="73" t="str">
        <f>IFERROR(__xludf.DUMMYFUNCTION("""COMPUTED_VALUE"""),"Front Pedestrian and Bicyclist Braking")</f>
        <v>Front Pedestrian and Bicyclist Braking</v>
      </c>
      <c r="E92" s="73"/>
      <c r="F92" s="73"/>
      <c r="G92" s="73"/>
      <c r="H92" s="73"/>
      <c r="I92" s="73"/>
      <c r="J92" s="73"/>
      <c r="K92" s="73"/>
      <c r="L92" s="73"/>
      <c r="M92" s="73"/>
      <c r="N92" s="73"/>
      <c r="O92" s="73"/>
      <c r="P92" s="73"/>
      <c r="Q92" s="73"/>
      <c r="R92" s="73"/>
      <c r="S92" s="73"/>
      <c r="T92" s="73"/>
      <c r="U92" s="73"/>
      <c r="V92" s="73"/>
      <c r="W92" s="73"/>
      <c r="X92" s="73"/>
      <c r="Y92" s="73"/>
      <c r="Z92" s="73"/>
    </row>
    <row r="93">
      <c r="A93" s="74" t="s">
        <v>6</v>
      </c>
      <c r="B93" s="77" t="s">
        <v>2098</v>
      </c>
      <c r="C93" s="73" t="str">
        <f>IFERROR(__xludf.DUMMYFUNCTION("""COMPUTED_VALUE"""),"UQH")</f>
        <v>UQH</v>
      </c>
      <c r="D93" s="73" t="str">
        <f>IFERROR(__xludf.DUMMYFUNCTION("""COMPUTED_VALUE"""),"Audio system feature, Bose Performance Series Sound System")</f>
        <v>Audio system feature, Bose Performance Series Sound System</v>
      </c>
      <c r="E93" s="73"/>
      <c r="F93" s="73"/>
      <c r="G93" s="73"/>
      <c r="H93" s="73"/>
      <c r="I93" s="73"/>
      <c r="J93" s="73"/>
      <c r="K93" s="73"/>
      <c r="L93" s="73"/>
      <c r="M93" s="73"/>
      <c r="N93" s="73"/>
      <c r="O93" s="73"/>
      <c r="P93" s="73"/>
      <c r="Q93" s="73"/>
      <c r="R93" s="73"/>
      <c r="S93" s="73"/>
      <c r="T93" s="73"/>
      <c r="U93" s="73"/>
      <c r="V93" s="73"/>
      <c r="W93" s="73"/>
      <c r="X93" s="73"/>
      <c r="Y93" s="73"/>
      <c r="Z93" s="73"/>
    </row>
    <row r="94">
      <c r="A94" s="74" t="s">
        <v>1125</v>
      </c>
      <c r="B94" s="77" t="s">
        <v>2099</v>
      </c>
      <c r="C94" s="73" t="str">
        <f>IFERROR(__xludf.DUMMYFUNCTION("""COMPUTED_VALUE"""),"UQS")</f>
        <v>UQS</v>
      </c>
      <c r="D94" s="73" t="str">
        <f>IFERROR(__xludf.DUMMYFUNCTION("""COMPUTED_VALUE"""),"Audio system feature, Bose Premium 10-speaker system")</f>
        <v>Audio system feature, Bose Premium 10-speaker system</v>
      </c>
      <c r="E94" s="73"/>
      <c r="F94" s="73"/>
      <c r="G94" s="73"/>
      <c r="H94" s="73"/>
      <c r="I94" s="73"/>
      <c r="J94" s="73"/>
      <c r="K94" s="73"/>
      <c r="L94" s="73"/>
      <c r="M94" s="73"/>
      <c r="N94" s="73"/>
      <c r="O94" s="73"/>
      <c r="P94" s="73"/>
      <c r="Q94" s="73"/>
      <c r="R94" s="73"/>
      <c r="S94" s="73"/>
      <c r="T94" s="73"/>
      <c r="U94" s="73"/>
      <c r="V94" s="73"/>
      <c r="W94" s="73"/>
      <c r="X94" s="73"/>
      <c r="Y94" s="73"/>
      <c r="Z94" s="73"/>
    </row>
    <row r="95">
      <c r="A95" s="74" t="s">
        <v>286</v>
      </c>
      <c r="B95" s="77" t="s">
        <v>2100</v>
      </c>
      <c r="C95" s="73" t="str">
        <f>IFERROR(__xludf.DUMMYFUNCTION("""COMPUTED_VALUE"""),"UQT")</f>
        <v>UQT</v>
      </c>
      <c r="D95" s="73" t="str">
        <f>IFERROR(__xludf.DUMMYFUNCTION("""COMPUTED_VALUE"""),"Performance data and video recorder")</f>
        <v>Performance data and video recorder</v>
      </c>
      <c r="E95" s="73"/>
      <c r="F95" s="73"/>
      <c r="G95" s="73"/>
      <c r="H95" s="73"/>
      <c r="I95" s="73"/>
      <c r="J95" s="73"/>
      <c r="K95" s="73"/>
      <c r="L95" s="73"/>
      <c r="M95" s="73"/>
      <c r="N95" s="73"/>
      <c r="O95" s="73"/>
      <c r="P95" s="73"/>
      <c r="Q95" s="73"/>
      <c r="R95" s="73"/>
      <c r="S95" s="73"/>
      <c r="T95" s="73"/>
      <c r="U95" s="73"/>
      <c r="V95" s="73"/>
      <c r="W95" s="73"/>
      <c r="X95" s="73"/>
      <c r="Y95" s="73"/>
      <c r="Z95" s="73"/>
    </row>
    <row r="96">
      <c r="A96" s="74" t="s">
        <v>1128</v>
      </c>
      <c r="B96" s="77" t="s">
        <v>2101</v>
      </c>
      <c r="C96" s="73" t="str">
        <f>IFERROR(__xludf.DUMMYFUNCTION("""COMPUTED_VALUE"""),"UTJ")</f>
        <v>UTJ</v>
      </c>
      <c r="D96" s="73" t="str">
        <f>IFERROR(__xludf.DUMMYFUNCTION("""COMPUTED_VALUE"""),"Theft-deterrent system")</f>
        <v>Theft-deterrent system</v>
      </c>
      <c r="E96" s="73"/>
      <c r="F96" s="73"/>
      <c r="G96" s="73"/>
      <c r="H96" s="73"/>
      <c r="I96" s="73"/>
      <c r="J96" s="73"/>
      <c r="K96" s="73"/>
      <c r="L96" s="73"/>
      <c r="M96" s="73"/>
      <c r="N96" s="73"/>
      <c r="O96" s="73"/>
      <c r="P96" s="73"/>
      <c r="Q96" s="73"/>
      <c r="R96" s="73"/>
      <c r="S96" s="73"/>
      <c r="T96" s="73"/>
      <c r="U96" s="73"/>
      <c r="V96" s="73"/>
      <c r="W96" s="73"/>
      <c r="X96" s="73"/>
      <c r="Y96" s="73"/>
      <c r="Z96" s="73"/>
    </row>
    <row r="97">
      <c r="A97" s="74" t="s">
        <v>1130</v>
      </c>
      <c r="B97" s="77" t="s">
        <v>2102</v>
      </c>
      <c r="C97" s="73" t="str">
        <f>IFERROR(__xludf.DUMMYFUNCTION("""COMPUTED_VALUE"""),"UTU")</f>
        <v>UTU</v>
      </c>
      <c r="D97" s="73" t="str">
        <f>IFERROR(__xludf.DUMMYFUNCTION("""COMPUTED_VALUE"""),"Theft deterrent sensor, vehicle inclination")</f>
        <v>Theft deterrent sensor, vehicle inclination</v>
      </c>
      <c r="E97" s="73"/>
      <c r="F97" s="73"/>
      <c r="G97" s="73"/>
      <c r="H97" s="73"/>
      <c r="I97" s="73"/>
      <c r="J97" s="73"/>
      <c r="K97" s="73"/>
      <c r="L97" s="73"/>
      <c r="M97" s="73"/>
      <c r="N97" s="73"/>
      <c r="O97" s="73"/>
      <c r="P97" s="73"/>
      <c r="Q97" s="73"/>
      <c r="R97" s="73"/>
      <c r="S97" s="73"/>
      <c r="T97" s="73"/>
      <c r="U97" s="73"/>
      <c r="V97" s="73"/>
      <c r="W97" s="73"/>
      <c r="X97" s="73"/>
      <c r="Y97" s="73"/>
      <c r="Z97" s="73"/>
    </row>
    <row r="98">
      <c r="A98" s="74" t="s">
        <v>1132</v>
      </c>
      <c r="B98" s="77" t="s">
        <v>2103</v>
      </c>
      <c r="C98" s="73" t="str">
        <f>IFERROR(__xludf.DUMMYFUNCTION("""COMPUTED_VALUE"""),"UTV")</f>
        <v>UTV</v>
      </c>
      <c r="D98" s="73" t="str">
        <f>IFERROR(__xludf.DUMMYFUNCTION("""COMPUTED_VALUE"""),"Theft deterrent sensor, vehicle interior movement")</f>
        <v>Theft deterrent sensor, vehicle interior movement</v>
      </c>
      <c r="E98" s="73"/>
      <c r="F98" s="73"/>
      <c r="G98" s="73"/>
      <c r="H98" s="73"/>
      <c r="I98" s="73"/>
      <c r="J98" s="73"/>
      <c r="K98" s="73"/>
      <c r="L98" s="73"/>
      <c r="M98" s="73"/>
      <c r="N98" s="73"/>
      <c r="O98" s="73"/>
      <c r="P98" s="73"/>
      <c r="Q98" s="73"/>
      <c r="R98" s="73"/>
      <c r="S98" s="73"/>
      <c r="T98" s="73"/>
      <c r="U98" s="73"/>
      <c r="V98" s="73"/>
      <c r="W98" s="73"/>
      <c r="X98" s="73"/>
      <c r="Y98" s="73"/>
      <c r="Z98" s="73"/>
    </row>
    <row r="99">
      <c r="A99" s="74" t="s">
        <v>1134</v>
      </c>
      <c r="B99" s="77" t="s">
        <v>2104</v>
      </c>
      <c r="C99" s="73" t="str">
        <f>IFERROR(__xludf.DUMMYFUNCTION("""COMPUTED_VALUE"""),"UV6")</f>
        <v>UV6</v>
      </c>
      <c r="D99" s="73" t="str">
        <f>IFERROR(__xludf.DUMMYFUNCTION("""COMPUTED_VALUE"""),"Head-Up Display")</f>
        <v>Head-Up Display</v>
      </c>
      <c r="E99" s="73"/>
      <c r="F99" s="73"/>
      <c r="G99" s="73"/>
      <c r="H99" s="73"/>
      <c r="I99" s="73"/>
      <c r="J99" s="73"/>
      <c r="K99" s="73"/>
      <c r="L99" s="73"/>
      <c r="M99" s="73"/>
      <c r="N99" s="73"/>
      <c r="O99" s="73"/>
      <c r="P99" s="73"/>
      <c r="Q99" s="73"/>
      <c r="R99" s="73"/>
      <c r="S99" s="73"/>
      <c r="T99" s="73"/>
      <c r="U99" s="73"/>
      <c r="V99" s="73"/>
      <c r="W99" s="73"/>
      <c r="X99" s="73"/>
      <c r="Y99" s="73"/>
      <c r="Z99" s="73"/>
    </row>
    <row r="100">
      <c r="A100" s="74" t="s">
        <v>1136</v>
      </c>
      <c r="B100" s="77" t="s">
        <v>2105</v>
      </c>
      <c r="C100" s="73" t="str">
        <f>IFERROR(__xludf.DUMMYFUNCTION("""COMPUTED_VALUE"""),"UVA")</f>
        <v>UVA</v>
      </c>
      <c r="D100" s="73" t="str">
        <f>IFERROR(__xludf.DUMMYFUNCTION("""COMPUTED_VALUE"""),"HD Front and Rear Vision Cameras")</f>
        <v>HD Front and Rear Vision Cameras</v>
      </c>
      <c r="E100" s="73"/>
      <c r="F100" s="73"/>
      <c r="G100" s="73"/>
      <c r="H100" s="73"/>
      <c r="I100" s="73"/>
      <c r="J100" s="73"/>
      <c r="K100" s="73"/>
      <c r="L100" s="73"/>
      <c r="M100" s="73"/>
      <c r="N100" s="73"/>
      <c r="O100" s="73"/>
      <c r="P100" s="73"/>
      <c r="Q100" s="73"/>
      <c r="R100" s="73"/>
      <c r="S100" s="73"/>
      <c r="T100" s="73"/>
      <c r="U100" s="73"/>
      <c r="V100" s="73"/>
      <c r="W100" s="73"/>
      <c r="X100" s="73"/>
      <c r="Y100" s="73"/>
      <c r="Z100" s="73"/>
    </row>
    <row r="101">
      <c r="A101" s="74" t="s">
        <v>1138</v>
      </c>
      <c r="B101" s="77" t="s">
        <v>2106</v>
      </c>
      <c r="C101" s="73" t="str">
        <f>IFERROR(__xludf.DUMMYFUNCTION("""COMPUTED_VALUE"""),"UVB")</f>
        <v>UVB</v>
      </c>
      <c r="D101" s="73" t="str">
        <f>IFERROR(__xludf.DUMMYFUNCTION("""COMPUTED_VALUE"""),"HD Rear Vision Camera")</f>
        <v>HD Rear Vision Camera</v>
      </c>
      <c r="E101" s="73"/>
      <c r="F101" s="73"/>
      <c r="G101" s="73"/>
      <c r="H101" s="73"/>
      <c r="I101" s="73"/>
      <c r="J101" s="73"/>
      <c r="K101" s="73"/>
      <c r="L101" s="73"/>
      <c r="M101" s="73"/>
      <c r="N101" s="73"/>
      <c r="O101" s="73"/>
      <c r="P101" s="73"/>
      <c r="Q101" s="73"/>
      <c r="R101" s="73"/>
      <c r="S101" s="73"/>
      <c r="T101" s="73"/>
      <c r="U101" s="73"/>
      <c r="V101" s="73"/>
      <c r="W101" s="73"/>
      <c r="X101" s="73"/>
      <c r="Y101" s="73"/>
      <c r="Z101" s="73"/>
    </row>
    <row r="102">
      <c r="A102" s="74" t="s">
        <v>1140</v>
      </c>
      <c r="B102" s="77" t="s">
        <v>2107</v>
      </c>
      <c r="C102" s="73" t="str">
        <f>IFERROR(__xludf.DUMMYFUNCTION("""COMPUTED_VALUE"""),"VHM")</f>
        <v>VHM</v>
      </c>
      <c r="D102" s="73" t="str">
        <f>IFERROR(__xludf.DUMMYFUNCTION("""COMPUTED_VALUE"""),"Vehicle health management")</f>
        <v>Vehicle health management</v>
      </c>
      <c r="E102" s="73"/>
      <c r="F102" s="73"/>
      <c r="G102" s="73"/>
      <c r="H102" s="73"/>
      <c r="I102" s="73"/>
      <c r="J102" s="73"/>
      <c r="K102" s="73"/>
      <c r="L102" s="73"/>
      <c r="M102" s="73"/>
      <c r="N102" s="73"/>
      <c r="O102" s="73"/>
      <c r="P102" s="73"/>
      <c r="Q102" s="73"/>
      <c r="R102" s="73"/>
      <c r="S102" s="73"/>
      <c r="T102" s="73"/>
      <c r="U102" s="73"/>
      <c r="V102" s="73"/>
      <c r="W102" s="73"/>
      <c r="X102" s="73"/>
      <c r="Y102" s="73"/>
      <c r="Z102" s="73"/>
    </row>
    <row r="103">
      <c r="A103" s="74" t="s">
        <v>1142</v>
      </c>
      <c r="B103" s="77" t="s">
        <v>2108</v>
      </c>
      <c r="C103" s="73" t="str">
        <f>IFERROR(__xludf.DUMMYFUNCTION("""COMPUTED_VALUE"""),"VV4")</f>
        <v>VV4</v>
      </c>
      <c r="D103" s="73" t="str">
        <f>IFERROR(__xludf.DUMMYFUNCTION("""COMPUTED_VALUE"""),"Wi-Fi Hotspot capable")</f>
        <v>Wi-Fi Hotspot capable</v>
      </c>
      <c r="E103" s="73"/>
      <c r="F103" s="73"/>
      <c r="G103" s="73"/>
      <c r="H103" s="73"/>
      <c r="I103" s="73"/>
      <c r="J103" s="73"/>
      <c r="K103" s="73"/>
      <c r="L103" s="73"/>
      <c r="M103" s="73"/>
      <c r="N103" s="73"/>
      <c r="O103" s="73"/>
      <c r="P103" s="73"/>
      <c r="Q103" s="73"/>
      <c r="R103" s="73"/>
      <c r="S103" s="73"/>
      <c r="T103" s="73"/>
      <c r="U103" s="73"/>
      <c r="V103" s="73"/>
      <c r="W103" s="73"/>
      <c r="X103" s="73"/>
      <c r="Y103" s="73"/>
      <c r="Z103" s="73"/>
    </row>
    <row r="104">
      <c r="A104" s="74" t="s">
        <v>1144</v>
      </c>
      <c r="B104" s="77" t="s">
        <v>2109</v>
      </c>
      <c r="C104" s="73" t="str">
        <f>IFERROR(__xludf.DUMMYFUNCTION("""COMPUTED_VALUE"""),"XFR")</f>
        <v>XFR</v>
      </c>
      <c r="D104" s="73" t="str">
        <f>IFERROR(__xludf.DUMMYFUNCTION("""COMPUTED_VALUE"""),"Tires, 275/30ZR20 front and 345/25ZR21 rear, blackwall, high performance")</f>
        <v>Tires, 275/30ZR20 front and 345/25ZR21 rear, blackwall, high performance</v>
      </c>
      <c r="E104" s="73"/>
      <c r="F104" s="73"/>
      <c r="G104" s="73"/>
      <c r="H104" s="73"/>
      <c r="I104" s="73"/>
      <c r="J104" s="73"/>
      <c r="K104" s="73"/>
      <c r="L104" s="73"/>
      <c r="M104" s="73"/>
      <c r="N104" s="73"/>
      <c r="O104" s="73"/>
      <c r="P104" s="73"/>
      <c r="Q104" s="73"/>
      <c r="R104" s="73"/>
      <c r="S104" s="73"/>
      <c r="T104" s="73"/>
      <c r="U104" s="73"/>
      <c r="V104" s="73"/>
      <c r="W104" s="73"/>
      <c r="X104" s="73"/>
      <c r="Y104" s="73"/>
      <c r="Z104" s="73"/>
    </row>
    <row r="105">
      <c r="A105" s="74" t="s">
        <v>1146</v>
      </c>
      <c r="B105" s="77" t="s">
        <v>2110</v>
      </c>
      <c r="C105" s="73" t="str">
        <f>IFERROR(__xludf.DUMMYFUNCTION("""COMPUTED_VALUE"""),"XFS")</f>
        <v>XFS</v>
      </c>
      <c r="D105" s="73" t="str">
        <f>IFERROR(__xludf.DUMMYFUNCTION("""COMPUTED_VALUE"""),"Tires, 275/30ZR20 front and 345/25ZR21 rear, blackwall, Michelin Pilot Sport Cup 2 R ultra performance")</f>
        <v>Tires, 275/30ZR20 front and 345/25ZR21 rear, blackwall, Michelin Pilot Sport Cup 2 R ultra performance</v>
      </c>
      <c r="E105" s="73"/>
      <c r="F105" s="73"/>
      <c r="G105" s="73"/>
      <c r="H105" s="73"/>
      <c r="I105" s="73"/>
      <c r="J105" s="73"/>
      <c r="K105" s="73"/>
      <c r="L105" s="73"/>
      <c r="M105" s="73"/>
      <c r="N105" s="73"/>
      <c r="O105" s="73"/>
      <c r="P105" s="73"/>
      <c r="Q105" s="73"/>
      <c r="R105" s="73"/>
      <c r="S105" s="73"/>
      <c r="T105" s="73"/>
      <c r="U105" s="73"/>
      <c r="V105" s="73"/>
      <c r="W105" s="73"/>
      <c r="X105" s="73"/>
      <c r="Y105" s="73"/>
      <c r="Z105" s="73"/>
    </row>
    <row r="106">
      <c r="A106" s="74" t="s">
        <v>1148</v>
      </c>
      <c r="B106" s="77" t="s">
        <v>2111</v>
      </c>
      <c r="C106" s="73" t="str">
        <f>IFERROR(__xludf.DUMMYFUNCTION("""COMPUTED_VALUE"""),"YF5")</f>
        <v>YF5</v>
      </c>
      <c r="D106" s="73" t="str">
        <f>IFERROR(__xludf.DUMMYFUNCTION("""COMPUTED_VALUE"""),"Emissions, California state requirements")</f>
        <v>Emissions, California state requirements</v>
      </c>
      <c r="E106" s="73"/>
      <c r="F106" s="73"/>
      <c r="G106" s="73"/>
      <c r="H106" s="73"/>
      <c r="I106" s="73"/>
      <c r="J106" s="73"/>
      <c r="K106" s="73"/>
      <c r="L106" s="73"/>
      <c r="M106" s="73"/>
      <c r="N106" s="73"/>
      <c r="O106" s="73"/>
      <c r="P106" s="73"/>
      <c r="Q106" s="73"/>
      <c r="R106" s="73"/>
      <c r="S106" s="73"/>
      <c r="T106" s="73"/>
      <c r="U106" s="73"/>
      <c r="V106" s="73"/>
      <c r="W106" s="73"/>
      <c r="X106" s="73"/>
      <c r="Y106" s="73"/>
      <c r="Z106" s="73"/>
    </row>
    <row r="107">
      <c r="A107" s="74" t="s">
        <v>1150</v>
      </c>
      <c r="B107" s="77" t="s">
        <v>2112</v>
      </c>
      <c r="C107" s="73" t="str">
        <f>IFERROR(__xludf.DUMMYFUNCTION("""COMPUTED_VALUE"""),"ZZ3")</f>
        <v>ZZ3</v>
      </c>
      <c r="D107" s="73" t="str">
        <f>IFERROR(__xludf.DUMMYFUNCTION("""COMPUTED_VALUE"""),"Convertible Engine Appearance Package")</f>
        <v>Convertible Engine Appearance Package</v>
      </c>
      <c r="E107" s="73"/>
      <c r="F107" s="73"/>
      <c r="G107" s="73"/>
      <c r="H107" s="73"/>
      <c r="I107" s="73"/>
      <c r="J107" s="73"/>
      <c r="K107" s="73"/>
      <c r="L107" s="73"/>
      <c r="M107" s="73"/>
      <c r="N107" s="73"/>
      <c r="O107" s="73"/>
      <c r="P107" s="73"/>
      <c r="Q107" s="73"/>
      <c r="R107" s="73"/>
      <c r="S107" s="73"/>
      <c r="T107" s="73"/>
      <c r="U107" s="73"/>
      <c r="V107" s="73"/>
      <c r="W107" s="73"/>
      <c r="X107" s="73"/>
      <c r="Y107" s="73"/>
      <c r="Z107" s="73"/>
    </row>
    <row r="108">
      <c r="A108" s="74" t="s">
        <v>302</v>
      </c>
      <c r="B108" s="77" t="s">
        <v>2113</v>
      </c>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c r="A109" s="74" t="s">
        <v>7</v>
      </c>
      <c r="B109" s="77" t="s">
        <v>2114</v>
      </c>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c r="A110" s="74" t="s">
        <v>307</v>
      </c>
      <c r="B110" s="77" t="s">
        <v>2115</v>
      </c>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c r="A111" s="74" t="s">
        <v>1158</v>
      </c>
      <c r="B111" s="77" t="s">
        <v>2116</v>
      </c>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c r="A112" s="74" t="s">
        <v>1160</v>
      </c>
      <c r="B112" s="77" t="s">
        <v>2117</v>
      </c>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c r="A113" s="74" t="s">
        <v>1162</v>
      </c>
      <c r="B113" s="77" t="s">
        <v>2118</v>
      </c>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c r="A114" s="74" t="s">
        <v>1164</v>
      </c>
      <c r="B114" s="77" t="s">
        <v>2119</v>
      </c>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c r="A115" s="74" t="s">
        <v>1166</v>
      </c>
      <c r="B115" s="77" t="s">
        <v>2120</v>
      </c>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c r="A116" s="74" t="s">
        <v>1177</v>
      </c>
      <c r="B116" s="77" t="s">
        <v>2121</v>
      </c>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c r="A117" s="74" t="s">
        <v>1179</v>
      </c>
      <c r="B117" s="77" t="s">
        <v>2122</v>
      </c>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c r="A118" s="74" t="s">
        <v>327</v>
      </c>
      <c r="B118" s="77" t="s">
        <v>2123</v>
      </c>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c r="A119" s="74" t="s">
        <v>331</v>
      </c>
      <c r="B119" s="77" t="s">
        <v>2124</v>
      </c>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c r="A120" s="74" t="s">
        <v>24</v>
      </c>
      <c r="B120" s="77" t="s">
        <v>2125</v>
      </c>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c r="A121" s="74" t="s">
        <v>1183</v>
      </c>
      <c r="B121" s="77" t="s">
        <v>2126</v>
      </c>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c r="A122" s="74" t="s">
        <v>1185</v>
      </c>
      <c r="B122" s="77" t="s">
        <v>2127</v>
      </c>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c r="A123" s="74" t="s">
        <v>1187</v>
      </c>
      <c r="B123" s="77" t="s">
        <v>2128</v>
      </c>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c r="A124" s="74" t="s">
        <v>1189</v>
      </c>
      <c r="B124" s="77" t="s">
        <v>2129</v>
      </c>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c r="A125" s="74" t="s">
        <v>1191</v>
      </c>
      <c r="B125" s="77" t="s">
        <v>2130</v>
      </c>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c r="A126" s="74" t="s">
        <v>1193</v>
      </c>
      <c r="B126" s="77" t="s">
        <v>2131</v>
      </c>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c r="A127" s="74" t="s">
        <v>1195</v>
      </c>
      <c r="B127" s="77" t="s">
        <v>2132</v>
      </c>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c r="A128" s="74" t="s">
        <v>1197</v>
      </c>
      <c r="B128" s="77" t="s">
        <v>2133</v>
      </c>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c r="A129" s="74" t="s">
        <v>1199</v>
      </c>
      <c r="B129" s="77" t="s">
        <v>2134</v>
      </c>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c r="A130" s="74" t="s">
        <v>334</v>
      </c>
      <c r="B130" s="77" t="s">
        <v>2135</v>
      </c>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c r="A131" s="74" t="s">
        <v>337</v>
      </c>
      <c r="B131" s="77" t="s">
        <v>2136</v>
      </c>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c r="A132" s="74" t="s">
        <v>340</v>
      </c>
      <c r="B132" s="77" t="s">
        <v>2137</v>
      </c>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c r="A133" s="74" t="s">
        <v>346</v>
      </c>
      <c r="B133" s="77" t="s">
        <v>2138</v>
      </c>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c r="A134" s="74" t="s">
        <v>348</v>
      </c>
      <c r="B134" s="77" t="s">
        <v>2139</v>
      </c>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c r="A135" s="74" t="s">
        <v>350</v>
      </c>
      <c r="B135" s="77" t="s">
        <v>2140</v>
      </c>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c r="A136" s="74" t="s">
        <v>359</v>
      </c>
      <c r="B136" s="77" t="s">
        <v>2141</v>
      </c>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c r="A137" s="74" t="s">
        <v>365</v>
      </c>
      <c r="B137" s="77" t="s">
        <v>2142</v>
      </c>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c r="A138" s="74" t="s">
        <v>367</v>
      </c>
      <c r="B138" s="77" t="s">
        <v>2143</v>
      </c>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c r="A139" s="74" t="s">
        <v>370</v>
      </c>
      <c r="B139" s="77" t="s">
        <v>2144</v>
      </c>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c r="A140" s="74" t="s">
        <v>8</v>
      </c>
      <c r="B140" s="77" t="s">
        <v>2145</v>
      </c>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c r="A141" s="74" t="s">
        <v>375</v>
      </c>
      <c r="B141" s="77" t="s">
        <v>2146</v>
      </c>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c r="A142" s="74" t="s">
        <v>379</v>
      </c>
      <c r="B142" s="77" t="s">
        <v>2147</v>
      </c>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c r="A143" s="74" t="s">
        <v>381</v>
      </c>
      <c r="B143" s="77" t="s">
        <v>2148</v>
      </c>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c r="A144" s="74" t="s">
        <v>383</v>
      </c>
      <c r="B144" s="77" t="s">
        <v>2149</v>
      </c>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c r="A145" s="74" t="s">
        <v>1334</v>
      </c>
      <c r="B145" s="77" t="s">
        <v>2150</v>
      </c>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c r="A146" s="74" t="s">
        <v>394</v>
      </c>
      <c r="B146" s="77" t="s">
        <v>2151</v>
      </c>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c r="A147" s="74" t="s">
        <v>397</v>
      </c>
      <c r="B147" s="77" t="s">
        <v>2152</v>
      </c>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c r="A148" s="74" t="s">
        <v>400</v>
      </c>
      <c r="B148" s="77" t="s">
        <v>2153</v>
      </c>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c r="A149" s="74" t="s">
        <v>403</v>
      </c>
      <c r="B149" s="77" t="s">
        <v>2154</v>
      </c>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c r="A150" s="74" t="s">
        <v>1452</v>
      </c>
      <c r="B150" s="77" t="s">
        <v>2155</v>
      </c>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c r="A151" s="74" t="s">
        <v>16</v>
      </c>
      <c r="B151" s="77" t="s">
        <v>2156</v>
      </c>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c r="A152" s="74" t="s">
        <v>1455</v>
      </c>
      <c r="B152" s="77" t="s">
        <v>2157</v>
      </c>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c r="A153" s="74" t="s">
        <v>1457</v>
      </c>
      <c r="B153" s="77" t="s">
        <v>2158</v>
      </c>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c r="A154" s="74" t="s">
        <v>15</v>
      </c>
      <c r="B154" s="77" t="s">
        <v>2159</v>
      </c>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c r="A155" s="74" t="s">
        <v>410</v>
      </c>
      <c r="B155" s="77" t="s">
        <v>2160</v>
      </c>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c r="A156" s="74" t="s">
        <v>1459</v>
      </c>
      <c r="B156" s="77" t="s">
        <v>2161</v>
      </c>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c r="A157" s="74" t="s">
        <v>416</v>
      </c>
      <c r="B157" s="77" t="s">
        <v>2162</v>
      </c>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c r="A158" s="74" t="s">
        <v>418</v>
      </c>
      <c r="B158" s="77" t="s">
        <v>2163</v>
      </c>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c r="A159" s="74" t="s">
        <v>420</v>
      </c>
      <c r="B159" s="77" t="s">
        <v>2164</v>
      </c>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c r="A160" s="74" t="s">
        <v>1355</v>
      </c>
      <c r="B160" s="77" t="s">
        <v>2165</v>
      </c>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c r="A161" s="74" t="s">
        <v>1236</v>
      </c>
      <c r="B161" s="77" t="s">
        <v>2166</v>
      </c>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c r="A162" s="74" t="s">
        <v>1238</v>
      </c>
      <c r="B162" s="77" t="s">
        <v>2167</v>
      </c>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c r="A163" s="74" t="s">
        <v>1462</v>
      </c>
      <c r="B163" s="77" t="s">
        <v>2168</v>
      </c>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c r="A164" s="74" t="s">
        <v>1240</v>
      </c>
      <c r="B164" s="77" t="s">
        <v>2169</v>
      </c>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c r="A165" s="74" t="s">
        <v>1242</v>
      </c>
      <c r="B165" s="77" t="s">
        <v>2170</v>
      </c>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c r="A166" s="74" t="s">
        <v>767</v>
      </c>
      <c r="B166" s="77" t="s">
        <v>2171</v>
      </c>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c r="A167" s="74" t="s">
        <v>1246</v>
      </c>
      <c r="B167" s="77" t="s">
        <v>2172</v>
      </c>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c r="A168" s="74" t="s">
        <v>1248</v>
      </c>
      <c r="B168" s="77" t="s">
        <v>2173</v>
      </c>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c r="A169" s="74" t="s">
        <v>1250</v>
      </c>
      <c r="B169" s="77" t="s">
        <v>2174</v>
      </c>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c r="A170" s="74" t="s">
        <v>1252</v>
      </c>
      <c r="B170" s="77" t="s">
        <v>2175</v>
      </c>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c r="A171" s="74" t="s">
        <v>1254</v>
      </c>
      <c r="B171" s="77" t="s">
        <v>2176</v>
      </c>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c r="A172" s="74" t="s">
        <v>1256</v>
      </c>
      <c r="B172" s="77" t="s">
        <v>2177</v>
      </c>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c r="A173" s="74" t="s">
        <v>1258</v>
      </c>
      <c r="B173" s="77" t="s">
        <v>2178</v>
      </c>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c r="A174" s="74" t="s">
        <v>1260</v>
      </c>
      <c r="B174" s="77" t="s">
        <v>2179</v>
      </c>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c r="A175" s="74" t="s">
        <v>1262</v>
      </c>
      <c r="B175" s="77" t="s">
        <v>2180</v>
      </c>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c r="A176" s="74" t="s">
        <v>1264</v>
      </c>
      <c r="B176" s="77" t="s">
        <v>2181</v>
      </c>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c r="A177" s="74" t="s">
        <v>1266</v>
      </c>
      <c r="B177" s="77" t="s">
        <v>2182</v>
      </c>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c r="A178" s="74" t="s">
        <v>1268</v>
      </c>
      <c r="B178" s="77" t="s">
        <v>2183</v>
      </c>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c r="A179" s="74" t="s">
        <v>1270</v>
      </c>
      <c r="B179" s="77" t="s">
        <v>2184</v>
      </c>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c r="A180" s="74" t="s">
        <v>1272</v>
      </c>
      <c r="B180" s="77" t="s">
        <v>2185</v>
      </c>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c r="A181" s="74" t="s">
        <v>960</v>
      </c>
      <c r="B181" s="77" t="s">
        <v>2186</v>
      </c>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c r="A182" s="74" t="s">
        <v>1275</v>
      </c>
      <c r="B182" s="77" t="s">
        <v>2187</v>
      </c>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c r="A183" s="74" t="s">
        <v>1277</v>
      </c>
      <c r="B183" s="77" t="s">
        <v>2188</v>
      </c>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c r="A184" s="74" t="s">
        <v>1279</v>
      </c>
      <c r="B184" s="77" t="s">
        <v>2189</v>
      </c>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c r="A185" s="74" t="s">
        <v>1281</v>
      </c>
      <c r="B185" s="77" t="s">
        <v>2190</v>
      </c>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c r="A186" s="74" t="s">
        <v>1283</v>
      </c>
      <c r="B186" s="77" t="s">
        <v>2191</v>
      </c>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c r="A187" s="74" t="s">
        <v>1285</v>
      </c>
      <c r="B187" s="77" t="s">
        <v>2192</v>
      </c>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c r="A188" s="74" t="s">
        <v>429</v>
      </c>
      <c r="B188" s="77" t="s">
        <v>2193</v>
      </c>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c r="A189" s="74" t="s">
        <v>1290</v>
      </c>
      <c r="B189" s="77" t="s">
        <v>2194</v>
      </c>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c r="A190" s="74" t="s">
        <v>432</v>
      </c>
      <c r="B190" s="77" t="s">
        <v>2195</v>
      </c>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c r="A191" s="74" t="s">
        <v>437</v>
      </c>
      <c r="B191" s="77" t="s">
        <v>2196</v>
      </c>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c r="A192" s="74" t="s">
        <v>1296</v>
      </c>
      <c r="B192" s="77" t="s">
        <v>2197</v>
      </c>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c r="A193" s="74" t="s">
        <v>446</v>
      </c>
      <c r="B193" s="77" t="s">
        <v>2198</v>
      </c>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c r="A194" s="74" t="s">
        <v>449</v>
      </c>
      <c r="B194" s="77" t="s">
        <v>2199</v>
      </c>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c r="A195" s="74" t="s">
        <v>455</v>
      </c>
      <c r="B195" s="77" t="s">
        <v>2200</v>
      </c>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c r="A196" s="74" t="s">
        <v>1749</v>
      </c>
      <c r="B196" s="77" t="s">
        <v>2201</v>
      </c>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c r="A197" s="74" t="s">
        <v>1990</v>
      </c>
      <c r="B197" s="77" t="s">
        <v>2202</v>
      </c>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c r="A198" s="74" t="s">
        <v>1306</v>
      </c>
      <c r="B198" s="77" t="s">
        <v>2203</v>
      </c>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c r="A199" s="74" t="s">
        <v>1465</v>
      </c>
      <c r="B199" s="77" t="s">
        <v>2204</v>
      </c>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c r="A200" s="74" t="s">
        <v>14</v>
      </c>
      <c r="B200" s="77" t="s">
        <v>2205</v>
      </c>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c r="A201" s="74" t="s">
        <v>465</v>
      </c>
      <c r="B201" s="77" t="s">
        <v>2206</v>
      </c>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c r="A202" s="74"/>
      <c r="B202" s="77"/>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c r="A203" s="74"/>
      <c r="B203" s="77"/>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c r="A204" s="74"/>
      <c r="B204" s="77"/>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c r="A205" s="74"/>
      <c r="B205" s="77"/>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c r="A206" s="74"/>
      <c r="B206" s="77"/>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c r="A207" s="74"/>
      <c r="B207" s="77"/>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c r="A208" s="74"/>
      <c r="B208" s="77"/>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c r="A209" s="74"/>
      <c r="B209" s="77"/>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c r="A210" s="74"/>
      <c r="B210" s="77"/>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c r="A211" s="74"/>
      <c r="B211" s="77"/>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c r="A212" s="74"/>
      <c r="B212" s="77"/>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c r="A213" s="74"/>
      <c r="B213" s="77"/>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c r="A214" s="74"/>
      <c r="B214" s="77"/>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c r="A215" s="74"/>
      <c r="B215" s="77"/>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c r="A216" s="74"/>
      <c r="B216" s="77"/>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c r="A217" s="74"/>
      <c r="B217" s="77"/>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c r="A218" s="74"/>
      <c r="B218" s="77"/>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c r="A219" s="74"/>
      <c r="B219" s="77"/>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c r="A220" s="74"/>
      <c r="B220" s="77"/>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c r="A221" s="74"/>
      <c r="B221" s="77"/>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c r="A222" s="74"/>
      <c r="B222" s="77"/>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c r="A223" s="74"/>
      <c r="B223" s="77"/>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c r="A224" s="74"/>
      <c r="B224" s="77"/>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c r="A225" s="74"/>
      <c r="B225" s="77"/>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c r="A226" s="74"/>
      <c r="B226" s="77"/>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c r="A227" s="74"/>
      <c r="B227" s="77"/>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c r="A228" s="74"/>
      <c r="B228" s="77"/>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c r="A229" s="74"/>
      <c r="B229" s="77"/>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c r="A230" s="74"/>
      <c r="B230" s="77"/>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c r="A231" s="74"/>
      <c r="B231" s="77"/>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c r="A232" s="74"/>
      <c r="B232" s="77"/>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c r="A233" s="74"/>
      <c r="B233" s="77"/>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c r="A234" s="74"/>
      <c r="B234" s="77"/>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row r="1001">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row>
  </sheetData>
  <printOptions/>
  <pageMargins bottom="0.5" footer="0.0" header="0.0" left="0.75" right="0.75"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D297"/>
    <outlinePr summaryBelow="0" summaryRight="0"/>
  </sheetPr>
  <sheetViews>
    <sheetView workbookViewId="0"/>
  </sheetViews>
  <sheetFormatPr customHeight="1" defaultColWidth="14.43" defaultRowHeight="15.75"/>
  <cols>
    <col customWidth="1" min="1" max="1" width="13.29"/>
    <col customWidth="1" min="2" max="2" width="7.86"/>
    <col customWidth="1" min="3" max="3" width="6.43"/>
    <col customWidth="1" min="4" max="4" width="6.29"/>
  </cols>
  <sheetData>
    <row r="1">
      <c r="A1" s="87" t="s">
        <v>2207</v>
      </c>
      <c r="B1" s="88" t="s">
        <v>713</v>
      </c>
      <c r="C1" s="88" t="s">
        <v>2208</v>
      </c>
      <c r="D1" s="89" t="s">
        <v>2</v>
      </c>
    </row>
    <row r="2">
      <c r="A2" s="90" t="s">
        <v>714</v>
      </c>
      <c r="B2" s="91" t="s">
        <v>720</v>
      </c>
      <c r="C2" s="91" t="s">
        <v>726</v>
      </c>
      <c r="D2" s="92">
        <v>0.0</v>
      </c>
    </row>
    <row r="3">
      <c r="A3" s="93" t="s">
        <v>714</v>
      </c>
      <c r="B3" s="94" t="s">
        <v>742</v>
      </c>
      <c r="C3" s="94" t="s">
        <v>726</v>
      </c>
      <c r="D3" s="95">
        <v>1995.0</v>
      </c>
    </row>
    <row r="4">
      <c r="A4" s="93" t="s">
        <v>714</v>
      </c>
      <c r="B4" s="94" t="s">
        <v>742</v>
      </c>
      <c r="C4" s="94" t="s">
        <v>753</v>
      </c>
      <c r="D4" s="95">
        <v>1695.0</v>
      </c>
    </row>
    <row r="5">
      <c r="A5" s="93" t="s">
        <v>714</v>
      </c>
      <c r="B5" s="94" t="s">
        <v>813</v>
      </c>
      <c r="C5" s="94" t="s">
        <v>726</v>
      </c>
      <c r="D5" s="95">
        <v>500.0</v>
      </c>
    </row>
    <row r="6">
      <c r="A6" s="93" t="s">
        <v>714</v>
      </c>
      <c r="B6" s="94" t="s">
        <v>907</v>
      </c>
      <c r="C6" s="94" t="s">
        <v>753</v>
      </c>
      <c r="D6" s="95">
        <v>695.0</v>
      </c>
    </row>
    <row r="7">
      <c r="A7" s="93" t="s">
        <v>714</v>
      </c>
      <c r="B7" s="94" t="s">
        <v>907</v>
      </c>
      <c r="C7" s="94" t="s">
        <v>726</v>
      </c>
      <c r="D7" s="95">
        <v>1195.0</v>
      </c>
    </row>
    <row r="8">
      <c r="A8" s="96" t="s">
        <v>714</v>
      </c>
      <c r="B8" s="97" t="s">
        <v>813</v>
      </c>
      <c r="C8" s="97" t="s">
        <v>822</v>
      </c>
      <c r="D8" s="98">
        <v>250.0</v>
      </c>
    </row>
    <row r="9">
      <c r="A9" s="93" t="s">
        <v>714</v>
      </c>
      <c r="B9" s="94" t="s">
        <v>1472</v>
      </c>
      <c r="C9" s="94" t="s">
        <v>726</v>
      </c>
      <c r="D9" s="95">
        <v>995.0</v>
      </c>
    </row>
    <row r="10">
      <c r="A10" s="93" t="s">
        <v>714</v>
      </c>
      <c r="B10" s="94" t="s">
        <v>1475</v>
      </c>
      <c r="C10" s="94" t="s">
        <v>726</v>
      </c>
      <c r="D10" s="95">
        <v>1995.0</v>
      </c>
    </row>
    <row r="11">
      <c r="A11" s="93" t="s">
        <v>714</v>
      </c>
      <c r="B11" s="94" t="s">
        <v>1475</v>
      </c>
      <c r="C11" s="94" t="s">
        <v>753</v>
      </c>
      <c r="D11" s="95">
        <v>1695.0</v>
      </c>
    </row>
    <row r="12">
      <c r="A12" s="93" t="s">
        <v>714</v>
      </c>
      <c r="B12" s="94" t="s">
        <v>1478</v>
      </c>
      <c r="C12" s="94" t="s">
        <v>726</v>
      </c>
      <c r="D12" s="95">
        <v>500.0</v>
      </c>
    </row>
    <row r="13">
      <c r="A13" s="93" t="s">
        <v>714</v>
      </c>
      <c r="B13" s="94" t="s">
        <v>1501</v>
      </c>
      <c r="C13" s="94" t="s">
        <v>753</v>
      </c>
      <c r="D13" s="95">
        <v>695.0</v>
      </c>
    </row>
    <row r="14">
      <c r="A14" s="93" t="s">
        <v>714</v>
      </c>
      <c r="B14" s="94" t="s">
        <v>1501</v>
      </c>
      <c r="C14" s="94" t="s">
        <v>726</v>
      </c>
      <c r="D14" s="95">
        <v>1195.0</v>
      </c>
    </row>
    <row r="15">
      <c r="A15" s="96" t="s">
        <v>714</v>
      </c>
      <c r="B15" s="97" t="s">
        <v>1478</v>
      </c>
      <c r="C15" s="97" t="s">
        <v>822</v>
      </c>
      <c r="D15" s="98">
        <v>250.0</v>
      </c>
    </row>
    <row r="16">
      <c r="A16" s="93" t="s">
        <v>716</v>
      </c>
      <c r="B16" s="94"/>
      <c r="C16" s="94" t="s">
        <v>749</v>
      </c>
      <c r="D16" s="95">
        <v>495.0</v>
      </c>
    </row>
    <row r="17">
      <c r="A17" s="93" t="s">
        <v>716</v>
      </c>
      <c r="B17" s="94"/>
      <c r="C17" s="94" t="s">
        <v>751</v>
      </c>
      <c r="D17" s="95">
        <v>495.0</v>
      </c>
    </row>
    <row r="18">
      <c r="A18" s="93" t="s">
        <v>716</v>
      </c>
      <c r="B18" s="94"/>
      <c r="C18" s="94" t="s">
        <v>746</v>
      </c>
      <c r="D18" s="95">
        <v>495.0</v>
      </c>
    </row>
    <row r="19">
      <c r="A19" s="93" t="s">
        <v>715</v>
      </c>
      <c r="B19" s="94"/>
      <c r="C19" s="94" t="s">
        <v>728</v>
      </c>
      <c r="D19" s="95">
        <v>695.0</v>
      </c>
    </row>
    <row r="20">
      <c r="A20" s="93" t="s">
        <v>715</v>
      </c>
      <c r="B20" s="94"/>
      <c r="C20" s="94" t="s">
        <v>1479</v>
      </c>
      <c r="D20" s="95">
        <v>695.0</v>
      </c>
    </row>
    <row r="21">
      <c r="A21" s="99" t="s">
        <v>2209</v>
      </c>
      <c r="B21" s="100"/>
      <c r="C21" s="100" t="s">
        <v>767</v>
      </c>
      <c r="D21" s="101">
        <v>595.0</v>
      </c>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3" max="3" width="79.14"/>
  </cols>
  <sheetData>
    <row r="1">
      <c r="A1" s="102" t="s">
        <v>2210</v>
      </c>
    </row>
    <row r="2">
      <c r="A2" s="102" t="s">
        <v>2211</v>
      </c>
    </row>
    <row r="3">
      <c r="A3" s="103" t="s">
        <v>2212</v>
      </c>
    </row>
    <row r="4">
      <c r="A4" s="102" t="s">
        <v>2213</v>
      </c>
    </row>
    <row r="5">
      <c r="A5" s="104"/>
      <c r="B5" s="105" t="s">
        <v>18</v>
      </c>
      <c r="C5" s="105" t="s">
        <v>19</v>
      </c>
      <c r="D5" s="105" t="s">
        <v>20</v>
      </c>
      <c r="E5" s="105" t="s">
        <v>2214</v>
      </c>
      <c r="F5" s="105" t="s">
        <v>21</v>
      </c>
      <c r="G5" s="105" t="s">
        <v>2215</v>
      </c>
      <c r="H5" s="105" t="s">
        <v>2216</v>
      </c>
      <c r="I5" s="105" t="s">
        <v>2217</v>
      </c>
      <c r="J5" s="105" t="s">
        <v>2218</v>
      </c>
      <c r="K5" s="106"/>
    </row>
    <row r="6">
      <c r="A6" s="107"/>
      <c r="B6" s="108" t="s">
        <v>62</v>
      </c>
      <c r="C6" s="109" t="s">
        <v>2219</v>
      </c>
      <c r="D6" s="110">
        <v>205400.0</v>
      </c>
      <c r="E6" s="110">
        <f t="shared" ref="E6:E9" si="1">D6+J6</f>
        <v>207395</v>
      </c>
      <c r="F6" s="110">
        <v>205400.0</v>
      </c>
      <c r="G6" s="110">
        <v>191843.6</v>
      </c>
      <c r="H6" s="110">
        <v>185681.6</v>
      </c>
      <c r="I6" s="110">
        <v>0.0</v>
      </c>
      <c r="J6" s="110">
        <v>1995.0</v>
      </c>
      <c r="K6" s="111"/>
    </row>
    <row r="7">
      <c r="A7" s="107"/>
      <c r="B7" s="108" t="s">
        <v>64</v>
      </c>
      <c r="C7" s="109" t="s">
        <v>2220</v>
      </c>
      <c r="D7" s="110">
        <v>215400.0</v>
      </c>
      <c r="E7" s="110">
        <f t="shared" si="1"/>
        <v>217395</v>
      </c>
      <c r="F7" s="110">
        <v>215400.0</v>
      </c>
      <c r="G7" s="110">
        <v>201183.6</v>
      </c>
      <c r="H7" s="110">
        <v>194721.6</v>
      </c>
      <c r="I7" s="110">
        <v>0.0</v>
      </c>
      <c r="J7" s="110">
        <v>1995.0</v>
      </c>
      <c r="K7" s="111"/>
    </row>
    <row r="8">
      <c r="A8" s="107"/>
      <c r="B8" s="108" t="s">
        <v>62</v>
      </c>
      <c r="C8" s="109" t="s">
        <v>2221</v>
      </c>
      <c r="D8" s="110">
        <v>216400.0</v>
      </c>
      <c r="E8" s="110">
        <f t="shared" si="1"/>
        <v>218395</v>
      </c>
      <c r="F8" s="110">
        <v>216400.0</v>
      </c>
      <c r="G8" s="110">
        <v>202117.6</v>
      </c>
      <c r="H8" s="110">
        <v>195625.6</v>
      </c>
      <c r="I8" s="110">
        <v>0.0</v>
      </c>
      <c r="J8" s="110">
        <v>1995.0</v>
      </c>
      <c r="K8" s="111"/>
    </row>
    <row r="9">
      <c r="A9" s="107"/>
      <c r="B9" s="108" t="s">
        <v>64</v>
      </c>
      <c r="C9" s="109" t="s">
        <v>2222</v>
      </c>
      <c r="D9" s="110">
        <v>226400.0</v>
      </c>
      <c r="E9" s="110">
        <f t="shared" si="1"/>
        <v>228395</v>
      </c>
      <c r="F9" s="110">
        <v>226400.0</v>
      </c>
      <c r="G9" s="110">
        <v>211457.6</v>
      </c>
      <c r="H9" s="110">
        <v>204665.6</v>
      </c>
      <c r="I9" s="110">
        <v>0.0</v>
      </c>
      <c r="J9" s="110">
        <v>1995.0</v>
      </c>
      <c r="K9" s="111"/>
    </row>
    <row r="10">
      <c r="A10" s="102" t="s">
        <v>2223</v>
      </c>
    </row>
    <row r="11">
      <c r="A11" s="104"/>
      <c r="B11" s="105" t="s">
        <v>2224</v>
      </c>
      <c r="C11" s="105" t="s">
        <v>977</v>
      </c>
      <c r="E11" s="105" t="s">
        <v>20</v>
      </c>
      <c r="F11" s="105" t="s">
        <v>2225</v>
      </c>
      <c r="G11" s="105" t="s">
        <v>21</v>
      </c>
      <c r="H11" s="105" t="s">
        <v>2226</v>
      </c>
      <c r="I11" s="105" t="s">
        <v>2216</v>
      </c>
      <c r="J11" s="105" t="s">
        <v>2217</v>
      </c>
      <c r="K11" s="106"/>
    </row>
    <row r="12">
      <c r="A12" s="112" t="s">
        <v>2227</v>
      </c>
      <c r="C12" s="107"/>
      <c r="D12" s="113"/>
      <c r="E12" s="114"/>
      <c r="F12" s="114"/>
      <c r="G12" s="114"/>
      <c r="H12" s="114"/>
      <c r="I12" s="114"/>
      <c r="J12" s="114"/>
      <c r="K12" s="114"/>
    </row>
    <row r="13">
      <c r="A13" s="107"/>
      <c r="B13" s="115" t="s">
        <v>149</v>
      </c>
      <c r="C13" s="109" t="s">
        <v>2228</v>
      </c>
      <c r="D13" s="113"/>
      <c r="E13" s="116">
        <v>295.0</v>
      </c>
      <c r="F13" s="116">
        <v>0.0</v>
      </c>
      <c r="G13" s="116">
        <v>295.0</v>
      </c>
      <c r="H13" s="116">
        <v>268.45</v>
      </c>
      <c r="I13" s="116">
        <v>259.6</v>
      </c>
      <c r="J13" s="116">
        <v>0.0</v>
      </c>
      <c r="K13" s="114"/>
    </row>
    <row r="14">
      <c r="A14" s="107"/>
      <c r="B14" s="115" t="s">
        <v>946</v>
      </c>
      <c r="C14" s="109" t="s">
        <v>947</v>
      </c>
      <c r="D14" s="113"/>
      <c r="E14" s="116">
        <v>695.0</v>
      </c>
      <c r="F14" s="116">
        <v>0.0</v>
      </c>
      <c r="G14" s="116">
        <v>695.0</v>
      </c>
      <c r="H14" s="116">
        <v>632.45</v>
      </c>
      <c r="I14" s="116">
        <v>611.6</v>
      </c>
      <c r="J14" s="116">
        <v>0.0</v>
      </c>
      <c r="K14" s="114"/>
    </row>
    <row r="15">
      <c r="A15" s="107"/>
      <c r="B15" s="115" t="s">
        <v>10</v>
      </c>
      <c r="C15" s="109" t="s">
        <v>2229</v>
      </c>
      <c r="D15" s="117" t="s">
        <v>2230</v>
      </c>
      <c r="E15" s="116">
        <v>2595.0</v>
      </c>
      <c r="F15" s="116">
        <v>0.0</v>
      </c>
      <c r="G15" s="116">
        <v>2595.0</v>
      </c>
      <c r="H15" s="116">
        <v>2361.45</v>
      </c>
      <c r="I15" s="116">
        <v>2283.6</v>
      </c>
      <c r="J15" s="116">
        <v>0.0</v>
      </c>
      <c r="K15" s="114"/>
    </row>
    <row r="16">
      <c r="A16" s="107"/>
      <c r="B16" s="115" t="s">
        <v>307</v>
      </c>
      <c r="C16" s="109" t="s">
        <v>2231</v>
      </c>
      <c r="D16" s="113"/>
      <c r="E16" s="116">
        <v>5000.0</v>
      </c>
      <c r="F16" s="116">
        <v>0.0</v>
      </c>
      <c r="G16" s="116">
        <v>5000.0</v>
      </c>
      <c r="H16" s="116">
        <v>4550.0</v>
      </c>
      <c r="I16" s="116">
        <v>4400.0</v>
      </c>
      <c r="J16" s="116">
        <v>0.0</v>
      </c>
      <c r="K16" s="114"/>
    </row>
    <row r="17">
      <c r="A17" s="107"/>
      <c r="B17" s="115" t="s">
        <v>1179</v>
      </c>
      <c r="C17" s="109" t="s">
        <v>2232</v>
      </c>
      <c r="D17" s="117" t="s">
        <v>2233</v>
      </c>
      <c r="E17" s="116">
        <v>695.0</v>
      </c>
      <c r="F17" s="116">
        <v>0.0</v>
      </c>
      <c r="G17" s="116">
        <v>695.0</v>
      </c>
      <c r="H17" s="116">
        <v>632.45</v>
      </c>
      <c r="I17" s="116">
        <v>611.6</v>
      </c>
      <c r="J17" s="116">
        <v>0.0</v>
      </c>
      <c r="K17" s="114"/>
    </row>
    <row r="18">
      <c r="A18" s="107"/>
      <c r="B18" s="115" t="s">
        <v>331</v>
      </c>
      <c r="C18" s="109" t="s">
        <v>332</v>
      </c>
      <c r="D18" s="113"/>
      <c r="E18" s="116">
        <v>1495.0</v>
      </c>
      <c r="F18" s="116">
        <v>0.0</v>
      </c>
      <c r="G18" s="116">
        <v>1495.0</v>
      </c>
      <c r="H18" s="116">
        <v>1360.45</v>
      </c>
      <c r="I18" s="116">
        <v>1315.6</v>
      </c>
      <c r="J18" s="116">
        <v>0.0</v>
      </c>
      <c r="K18" s="114"/>
    </row>
    <row r="19">
      <c r="A19" s="112" t="s">
        <v>2234</v>
      </c>
      <c r="C19" s="107"/>
      <c r="D19" s="113"/>
      <c r="E19" s="114"/>
      <c r="F19" s="114"/>
      <c r="G19" s="114"/>
      <c r="H19" s="114"/>
      <c r="I19" s="114"/>
      <c r="J19" s="114"/>
      <c r="K19" s="114"/>
    </row>
    <row r="20">
      <c r="A20" s="107"/>
      <c r="B20" s="115" t="s">
        <v>228</v>
      </c>
      <c r="C20" s="109" t="s">
        <v>229</v>
      </c>
      <c r="D20" s="113"/>
      <c r="E20" s="116">
        <v>100.0</v>
      </c>
      <c r="F20" s="116">
        <v>0.0</v>
      </c>
      <c r="G20" s="116">
        <v>100.0</v>
      </c>
      <c r="H20" s="116">
        <v>91.0</v>
      </c>
      <c r="I20" s="116">
        <v>88.0</v>
      </c>
      <c r="J20" s="116">
        <v>0.0</v>
      </c>
      <c r="K20" s="114"/>
    </row>
    <row r="21">
      <c r="A21" s="112" t="s">
        <v>2235</v>
      </c>
      <c r="C21" s="107"/>
      <c r="D21" s="113"/>
      <c r="E21" s="114"/>
      <c r="F21" s="114"/>
      <c r="G21" s="114"/>
      <c r="H21" s="114"/>
      <c r="I21" s="114"/>
      <c r="J21" s="114"/>
      <c r="K21" s="114"/>
    </row>
    <row r="22">
      <c r="A22" s="107"/>
      <c r="B22" s="115" t="s">
        <v>1314</v>
      </c>
      <c r="C22" s="109" t="s">
        <v>2236</v>
      </c>
      <c r="D22" s="113"/>
      <c r="E22" s="116">
        <v>695.0</v>
      </c>
      <c r="F22" s="116">
        <v>0.0</v>
      </c>
      <c r="G22" s="116">
        <v>695.0</v>
      </c>
      <c r="H22" s="116">
        <v>632.45</v>
      </c>
      <c r="I22" s="116">
        <v>611.6</v>
      </c>
      <c r="J22" s="116">
        <v>0.0</v>
      </c>
      <c r="K22" s="114"/>
    </row>
    <row r="23">
      <c r="A23" s="107"/>
      <c r="B23" s="115" t="s">
        <v>13</v>
      </c>
      <c r="C23" s="109" t="s">
        <v>2237</v>
      </c>
      <c r="D23" s="113"/>
      <c r="E23" s="116">
        <v>695.0</v>
      </c>
      <c r="F23" s="116">
        <v>0.0</v>
      </c>
      <c r="G23" s="116">
        <v>695.0</v>
      </c>
      <c r="H23" s="116">
        <v>632.45</v>
      </c>
      <c r="I23" s="116">
        <v>611.6</v>
      </c>
      <c r="J23" s="116">
        <v>0.0</v>
      </c>
      <c r="K23" s="114"/>
    </row>
    <row r="24">
      <c r="A24" s="107"/>
      <c r="B24" s="115" t="s">
        <v>278</v>
      </c>
      <c r="C24" s="109" t="s">
        <v>2238</v>
      </c>
      <c r="D24" s="113"/>
      <c r="E24" s="116">
        <v>695.0</v>
      </c>
      <c r="F24" s="116">
        <v>0.0</v>
      </c>
      <c r="G24" s="116">
        <v>695.0</v>
      </c>
      <c r="H24" s="116">
        <v>632.45</v>
      </c>
      <c r="I24" s="116">
        <v>611.6</v>
      </c>
      <c r="J24" s="116">
        <v>0.0</v>
      </c>
      <c r="K24" s="114"/>
    </row>
    <row r="25">
      <c r="A25" s="107"/>
      <c r="B25" s="115" t="s">
        <v>1320</v>
      </c>
      <c r="C25" s="109" t="s">
        <v>2239</v>
      </c>
      <c r="D25" s="113"/>
      <c r="E25" s="116">
        <v>695.0</v>
      </c>
      <c r="F25" s="116">
        <v>0.0</v>
      </c>
      <c r="G25" s="116">
        <v>695.0</v>
      </c>
      <c r="H25" s="116">
        <v>632.45</v>
      </c>
      <c r="I25" s="116">
        <v>611.6</v>
      </c>
      <c r="J25" s="116">
        <v>0.0</v>
      </c>
      <c r="K25" s="114"/>
    </row>
    <row r="26">
      <c r="A26" s="107"/>
      <c r="B26" s="115" t="s">
        <v>280</v>
      </c>
      <c r="C26" s="109" t="s">
        <v>2240</v>
      </c>
      <c r="D26" s="113"/>
      <c r="E26" s="116">
        <v>695.0</v>
      </c>
      <c r="F26" s="116">
        <v>0.0</v>
      </c>
      <c r="G26" s="116">
        <v>695.0</v>
      </c>
      <c r="H26" s="116">
        <v>632.45</v>
      </c>
      <c r="I26" s="116">
        <v>611.6</v>
      </c>
      <c r="J26" s="116">
        <v>0.0</v>
      </c>
      <c r="K26" s="114"/>
    </row>
    <row r="27">
      <c r="A27" s="107"/>
      <c r="B27" s="115" t="s">
        <v>1449</v>
      </c>
      <c r="C27" s="109" t="s">
        <v>2241</v>
      </c>
      <c r="D27" s="113"/>
      <c r="E27" s="116">
        <v>695.0</v>
      </c>
      <c r="F27" s="116">
        <v>0.0</v>
      </c>
      <c r="G27" s="116">
        <v>695.0</v>
      </c>
      <c r="H27" s="116">
        <v>632.45</v>
      </c>
      <c r="I27" s="116">
        <v>611.6</v>
      </c>
      <c r="J27" s="116">
        <v>0.0</v>
      </c>
      <c r="K27" s="114"/>
    </row>
    <row r="28">
      <c r="A28" s="112" t="s">
        <v>2242</v>
      </c>
      <c r="C28" s="107"/>
      <c r="D28" s="113"/>
      <c r="E28" s="114"/>
      <c r="F28" s="114"/>
      <c r="G28" s="114"/>
      <c r="H28" s="114"/>
      <c r="I28" s="114"/>
      <c r="J28" s="114"/>
      <c r="K28" s="114"/>
    </row>
    <row r="29">
      <c r="A29" s="107"/>
      <c r="B29" s="115" t="s">
        <v>1166</v>
      </c>
      <c r="C29" s="109" t="s">
        <v>2243</v>
      </c>
      <c r="D29" s="113"/>
      <c r="E29" s="116">
        <v>800.0</v>
      </c>
      <c r="F29" s="116">
        <v>0.0</v>
      </c>
      <c r="G29" s="116">
        <v>800.0</v>
      </c>
      <c r="H29" s="116">
        <v>728.0</v>
      </c>
      <c r="I29" s="116">
        <v>704.0</v>
      </c>
      <c r="J29" s="116">
        <v>0.0</v>
      </c>
      <c r="K29" s="114"/>
    </row>
    <row r="30">
      <c r="A30" s="107"/>
      <c r="B30" s="115" t="s">
        <v>1177</v>
      </c>
      <c r="C30" s="109" t="s">
        <v>2244</v>
      </c>
      <c r="D30" s="113"/>
      <c r="E30" s="116">
        <v>299.0</v>
      </c>
      <c r="F30" s="116">
        <v>0.0</v>
      </c>
      <c r="G30" s="116">
        <v>299.0</v>
      </c>
      <c r="H30" s="116">
        <v>272.09</v>
      </c>
      <c r="I30" s="116">
        <v>263.12</v>
      </c>
      <c r="J30" s="116">
        <v>0.0</v>
      </c>
      <c r="K30" s="114"/>
    </row>
    <row r="31">
      <c r="A31" s="107"/>
      <c r="B31" s="115" t="s">
        <v>1193</v>
      </c>
      <c r="C31" s="109" t="s">
        <v>2245</v>
      </c>
      <c r="D31" s="113"/>
      <c r="E31" s="116">
        <v>599.0</v>
      </c>
      <c r="F31" s="116">
        <v>0.0</v>
      </c>
      <c r="G31" s="116">
        <v>599.0</v>
      </c>
      <c r="H31" s="116">
        <v>545.09</v>
      </c>
      <c r="I31" s="116">
        <v>527.12</v>
      </c>
      <c r="J31" s="116">
        <v>0.0</v>
      </c>
      <c r="K31" s="114"/>
    </row>
    <row r="32">
      <c r="A32" s="107"/>
      <c r="B32" s="115" t="s">
        <v>1197</v>
      </c>
      <c r="C32" s="109" t="s">
        <v>2246</v>
      </c>
      <c r="D32" s="113"/>
      <c r="E32" s="116">
        <v>199.0</v>
      </c>
      <c r="F32" s="116">
        <v>0.0</v>
      </c>
      <c r="G32" s="116">
        <v>199.0</v>
      </c>
      <c r="H32" s="116">
        <v>181.09</v>
      </c>
      <c r="I32" s="116">
        <v>175.12</v>
      </c>
      <c r="J32" s="116">
        <v>0.0</v>
      </c>
      <c r="K32" s="114"/>
    </row>
    <row r="33">
      <c r="A33" s="112" t="s">
        <v>2247</v>
      </c>
      <c r="C33" s="107"/>
      <c r="D33" s="113"/>
      <c r="E33" s="114"/>
      <c r="F33" s="114"/>
      <c r="G33" s="114"/>
      <c r="H33" s="114"/>
      <c r="I33" s="114"/>
      <c r="J33" s="114"/>
      <c r="K33" s="114"/>
    </row>
    <row r="34">
      <c r="A34" s="107"/>
      <c r="B34" s="115" t="s">
        <v>84</v>
      </c>
      <c r="C34" s="109" t="s">
        <v>2248</v>
      </c>
      <c r="D34" s="113"/>
      <c r="E34" s="116">
        <v>1250.0</v>
      </c>
      <c r="F34" s="116">
        <v>0.0</v>
      </c>
      <c r="G34" s="116">
        <v>1250.0</v>
      </c>
      <c r="H34" s="116">
        <v>1137.5</v>
      </c>
      <c r="I34" s="116">
        <v>1100.0</v>
      </c>
      <c r="J34" s="116">
        <v>0.0</v>
      </c>
      <c r="K34" s="114"/>
    </row>
    <row r="35">
      <c r="A35" s="107"/>
      <c r="B35" s="115" t="s">
        <v>101</v>
      </c>
      <c r="C35" s="109" t="s">
        <v>2249</v>
      </c>
      <c r="D35" s="113"/>
      <c r="E35" s="116">
        <v>250.0</v>
      </c>
      <c r="F35" s="116">
        <v>0.0</v>
      </c>
      <c r="G35" s="116">
        <v>250.0</v>
      </c>
      <c r="H35" s="116">
        <v>227.5</v>
      </c>
      <c r="I35" s="116">
        <v>220.0</v>
      </c>
      <c r="J35" s="116">
        <v>0.0</v>
      </c>
      <c r="K35" s="114"/>
    </row>
    <row r="36">
      <c r="A36" s="107"/>
      <c r="B36" s="115" t="s">
        <v>158</v>
      </c>
      <c r="C36" s="109" t="s">
        <v>2250</v>
      </c>
      <c r="D36" s="113"/>
      <c r="E36" s="116">
        <v>195.0</v>
      </c>
      <c r="F36" s="116">
        <v>0.0</v>
      </c>
      <c r="G36" s="116">
        <v>195.0</v>
      </c>
      <c r="H36" s="116">
        <v>177.45</v>
      </c>
      <c r="I36" s="116">
        <v>171.6</v>
      </c>
      <c r="J36" s="116">
        <v>0.0</v>
      </c>
      <c r="K36" s="114"/>
    </row>
    <row r="37">
      <c r="A37" s="107"/>
      <c r="B37" s="115" t="s">
        <v>302</v>
      </c>
      <c r="C37" s="109" t="s">
        <v>303</v>
      </c>
      <c r="D37" s="117" t="s">
        <v>2251</v>
      </c>
      <c r="E37" s="116">
        <v>195.0</v>
      </c>
      <c r="F37" s="116">
        <v>0.0</v>
      </c>
      <c r="G37" s="116">
        <v>195.0</v>
      </c>
      <c r="H37" s="116">
        <v>177.45</v>
      </c>
      <c r="I37" s="116">
        <v>171.6</v>
      </c>
      <c r="J37" s="116">
        <v>0.0</v>
      </c>
      <c r="K37" s="114"/>
    </row>
    <row r="38">
      <c r="A38" s="107"/>
      <c r="B38" s="115" t="s">
        <v>7</v>
      </c>
      <c r="C38" s="109" t="s">
        <v>305</v>
      </c>
      <c r="D38" s="113"/>
      <c r="E38" s="116">
        <v>475.0</v>
      </c>
      <c r="F38" s="116">
        <v>0.0</v>
      </c>
      <c r="G38" s="116">
        <v>475.0</v>
      </c>
      <c r="H38" s="116">
        <v>432.25</v>
      </c>
      <c r="I38" s="116">
        <v>418.0</v>
      </c>
      <c r="J38" s="116">
        <v>0.0</v>
      </c>
      <c r="K38" s="114"/>
    </row>
    <row r="39">
      <c r="A39" s="107"/>
      <c r="B39" s="115" t="s">
        <v>327</v>
      </c>
      <c r="C39" s="109" t="s">
        <v>2252</v>
      </c>
      <c r="D39" s="113"/>
      <c r="E39" s="116">
        <v>495.0</v>
      </c>
      <c r="F39" s="116">
        <v>0.0</v>
      </c>
      <c r="G39" s="116">
        <v>495.0</v>
      </c>
      <c r="H39" s="116">
        <v>450.45</v>
      </c>
      <c r="I39" s="116">
        <v>435.6</v>
      </c>
      <c r="J39" s="116">
        <v>0.0</v>
      </c>
      <c r="K39" s="114"/>
    </row>
    <row r="40">
      <c r="A40" s="107"/>
      <c r="B40" s="115" t="s">
        <v>334</v>
      </c>
      <c r="C40" s="109" t="s">
        <v>2253</v>
      </c>
      <c r="D40" s="113"/>
      <c r="E40" s="116">
        <v>265.0</v>
      </c>
      <c r="F40" s="116">
        <v>0.0</v>
      </c>
      <c r="G40" s="116">
        <v>265.0</v>
      </c>
      <c r="H40" s="116">
        <v>241.15</v>
      </c>
      <c r="I40" s="116">
        <v>233.2</v>
      </c>
      <c r="J40" s="116">
        <v>0.0</v>
      </c>
      <c r="K40" s="114"/>
    </row>
    <row r="41">
      <c r="A41" s="107"/>
      <c r="B41" s="115" t="s">
        <v>337</v>
      </c>
      <c r="C41" s="109" t="s">
        <v>2254</v>
      </c>
      <c r="D41" s="113"/>
      <c r="E41" s="116">
        <v>425.0</v>
      </c>
      <c r="F41" s="116">
        <v>0.0</v>
      </c>
      <c r="G41" s="116">
        <v>425.0</v>
      </c>
      <c r="H41" s="116">
        <v>386.75</v>
      </c>
      <c r="I41" s="116">
        <v>374.0</v>
      </c>
      <c r="J41" s="116">
        <v>0.0</v>
      </c>
      <c r="K41" s="114"/>
    </row>
    <row r="42">
      <c r="A42" s="107"/>
      <c r="B42" s="115" t="s">
        <v>340</v>
      </c>
      <c r="C42" s="109" t="s">
        <v>2255</v>
      </c>
      <c r="D42" s="113"/>
      <c r="E42" s="116">
        <v>395.0</v>
      </c>
      <c r="F42" s="116">
        <v>0.0</v>
      </c>
      <c r="G42" s="116">
        <v>395.0</v>
      </c>
      <c r="H42" s="116">
        <v>359.45</v>
      </c>
      <c r="I42" s="116">
        <v>347.6</v>
      </c>
      <c r="J42" s="116">
        <v>0.0</v>
      </c>
      <c r="K42" s="114"/>
    </row>
    <row r="43">
      <c r="A43" s="107"/>
      <c r="B43" s="115" t="s">
        <v>346</v>
      </c>
      <c r="C43" s="109" t="s">
        <v>2256</v>
      </c>
      <c r="D43" s="113"/>
      <c r="E43" s="116">
        <v>495.0</v>
      </c>
      <c r="F43" s="116">
        <v>0.0</v>
      </c>
      <c r="G43" s="116">
        <v>495.0</v>
      </c>
      <c r="H43" s="116">
        <v>450.45</v>
      </c>
      <c r="I43" s="116">
        <v>435.6</v>
      </c>
      <c r="J43" s="116">
        <v>0.0</v>
      </c>
      <c r="K43" s="114"/>
    </row>
    <row r="44">
      <c r="A44" s="107"/>
      <c r="B44" s="115" t="s">
        <v>348</v>
      </c>
      <c r="C44" s="109" t="s">
        <v>2257</v>
      </c>
      <c r="D44" s="113"/>
      <c r="E44" s="116">
        <v>495.0</v>
      </c>
      <c r="F44" s="116">
        <v>0.0</v>
      </c>
      <c r="G44" s="116">
        <v>495.0</v>
      </c>
      <c r="H44" s="116">
        <v>450.45</v>
      </c>
      <c r="I44" s="116">
        <v>435.6</v>
      </c>
      <c r="J44" s="116">
        <v>0.0</v>
      </c>
      <c r="K44" s="114"/>
    </row>
    <row r="45">
      <c r="A45" s="107"/>
      <c r="B45" s="115" t="s">
        <v>350</v>
      </c>
      <c r="C45" s="109" t="s">
        <v>2258</v>
      </c>
      <c r="D45" s="113"/>
      <c r="E45" s="116">
        <v>175.0</v>
      </c>
      <c r="F45" s="116">
        <v>0.0</v>
      </c>
      <c r="G45" s="116">
        <v>175.0</v>
      </c>
      <c r="H45" s="116">
        <v>159.25</v>
      </c>
      <c r="I45" s="116">
        <v>154.0</v>
      </c>
      <c r="J45" s="116">
        <v>0.0</v>
      </c>
      <c r="K45" s="114"/>
    </row>
    <row r="46">
      <c r="A46" s="107"/>
      <c r="B46" s="115" t="s">
        <v>359</v>
      </c>
      <c r="C46" s="109" t="s">
        <v>2259</v>
      </c>
      <c r="D46" s="113"/>
      <c r="E46" s="116">
        <v>60.0</v>
      </c>
      <c r="F46" s="116">
        <v>0.0</v>
      </c>
      <c r="G46" s="116">
        <v>60.0</v>
      </c>
      <c r="H46" s="116">
        <v>54.6</v>
      </c>
      <c r="I46" s="116">
        <v>52.8</v>
      </c>
      <c r="J46" s="116">
        <v>0.0</v>
      </c>
      <c r="K46" s="114"/>
    </row>
    <row r="47">
      <c r="A47" s="107"/>
      <c r="B47" s="115" t="s">
        <v>365</v>
      </c>
      <c r="C47" s="109" t="s">
        <v>2260</v>
      </c>
      <c r="D47" s="113"/>
      <c r="E47" s="116">
        <v>150.0</v>
      </c>
      <c r="F47" s="116">
        <v>0.0</v>
      </c>
      <c r="G47" s="116">
        <v>150.0</v>
      </c>
      <c r="H47" s="116">
        <v>136.5</v>
      </c>
      <c r="I47" s="116">
        <v>132.0</v>
      </c>
      <c r="J47" s="116">
        <v>0.0</v>
      </c>
      <c r="K47" s="114"/>
    </row>
    <row r="48">
      <c r="A48" s="107"/>
      <c r="B48" s="115" t="s">
        <v>367</v>
      </c>
      <c r="C48" s="109" t="s">
        <v>2261</v>
      </c>
      <c r="D48" s="113"/>
      <c r="E48" s="116">
        <v>1695.0</v>
      </c>
      <c r="F48" s="116">
        <v>0.0</v>
      </c>
      <c r="G48" s="116">
        <v>1695.0</v>
      </c>
      <c r="H48" s="116">
        <v>1542.45</v>
      </c>
      <c r="I48" s="116">
        <v>1491.6</v>
      </c>
      <c r="J48" s="116">
        <v>0.0</v>
      </c>
      <c r="K48" s="114"/>
    </row>
    <row r="49">
      <c r="A49" s="107"/>
      <c r="B49" s="115" t="s">
        <v>370</v>
      </c>
      <c r="C49" s="109" t="s">
        <v>2262</v>
      </c>
      <c r="D49" s="113"/>
      <c r="E49" s="116">
        <v>275.0</v>
      </c>
      <c r="F49" s="116">
        <v>0.0</v>
      </c>
      <c r="G49" s="116">
        <v>275.0</v>
      </c>
      <c r="H49" s="116">
        <v>250.25</v>
      </c>
      <c r="I49" s="116">
        <v>242.0</v>
      </c>
      <c r="J49" s="116">
        <v>0.0</v>
      </c>
      <c r="K49" s="114"/>
    </row>
    <row r="50">
      <c r="A50" s="107"/>
      <c r="B50" s="115" t="s">
        <v>8</v>
      </c>
      <c r="C50" s="109" t="s">
        <v>2263</v>
      </c>
      <c r="D50" s="113"/>
      <c r="E50" s="116">
        <v>2350.0</v>
      </c>
      <c r="F50" s="116">
        <v>0.0</v>
      </c>
      <c r="G50" s="116">
        <v>2350.0</v>
      </c>
      <c r="H50" s="116">
        <v>2138.5</v>
      </c>
      <c r="I50" s="116">
        <v>2068.0</v>
      </c>
      <c r="J50" s="116">
        <v>0.0</v>
      </c>
      <c r="K50" s="114"/>
    </row>
    <row r="51">
      <c r="A51" s="107"/>
      <c r="B51" s="115" t="s">
        <v>375</v>
      </c>
      <c r="C51" s="109" t="s">
        <v>2264</v>
      </c>
      <c r="D51" s="113"/>
      <c r="E51" s="116">
        <v>195.0</v>
      </c>
      <c r="F51" s="116">
        <v>0.0</v>
      </c>
      <c r="G51" s="116">
        <v>195.0</v>
      </c>
      <c r="H51" s="116">
        <v>177.45</v>
      </c>
      <c r="I51" s="116">
        <v>171.6</v>
      </c>
      <c r="J51" s="116">
        <v>0.0</v>
      </c>
      <c r="K51" s="114"/>
    </row>
    <row r="52">
      <c r="A52" s="107"/>
      <c r="B52" s="115" t="s">
        <v>379</v>
      </c>
      <c r="C52" s="109" t="s">
        <v>2265</v>
      </c>
      <c r="D52" s="113"/>
      <c r="E52" s="116">
        <v>125.0</v>
      </c>
      <c r="F52" s="116">
        <v>0.0</v>
      </c>
      <c r="G52" s="116">
        <v>125.0</v>
      </c>
      <c r="H52" s="116">
        <v>113.75</v>
      </c>
      <c r="I52" s="116">
        <v>110.0</v>
      </c>
      <c r="J52" s="116">
        <v>0.0</v>
      </c>
      <c r="K52" s="114"/>
    </row>
    <row r="53">
      <c r="A53" s="107"/>
      <c r="B53" s="115" t="s">
        <v>381</v>
      </c>
      <c r="C53" s="109" t="s">
        <v>2266</v>
      </c>
      <c r="D53" s="113"/>
      <c r="E53" s="116">
        <v>125.0</v>
      </c>
      <c r="F53" s="116">
        <v>0.0</v>
      </c>
      <c r="G53" s="116">
        <v>125.0</v>
      </c>
      <c r="H53" s="116">
        <v>113.75</v>
      </c>
      <c r="I53" s="116">
        <v>110.0</v>
      </c>
      <c r="J53" s="116">
        <v>0.0</v>
      </c>
      <c r="K53" s="114"/>
    </row>
    <row r="54">
      <c r="A54" s="107"/>
      <c r="B54" s="115" t="s">
        <v>383</v>
      </c>
      <c r="C54" s="109" t="s">
        <v>384</v>
      </c>
      <c r="D54" s="113"/>
      <c r="E54" s="116">
        <v>275.0</v>
      </c>
      <c r="F54" s="116">
        <v>0.0</v>
      </c>
      <c r="G54" s="116">
        <v>275.0</v>
      </c>
      <c r="H54" s="116">
        <v>250.25</v>
      </c>
      <c r="I54" s="116">
        <v>242.0</v>
      </c>
      <c r="J54" s="116">
        <v>0.0</v>
      </c>
      <c r="K54" s="114"/>
    </row>
    <row r="55">
      <c r="A55" s="107"/>
      <c r="B55" s="115" t="s">
        <v>394</v>
      </c>
      <c r="C55" s="109" t="s">
        <v>2267</v>
      </c>
      <c r="D55" s="113"/>
      <c r="E55" s="116">
        <v>395.0</v>
      </c>
      <c r="F55" s="116">
        <v>0.0</v>
      </c>
      <c r="G55" s="116">
        <v>395.0</v>
      </c>
      <c r="H55" s="116">
        <v>359.45</v>
      </c>
      <c r="I55" s="116">
        <v>347.6</v>
      </c>
      <c r="J55" s="116">
        <v>0.0</v>
      </c>
      <c r="K55" s="114"/>
    </row>
    <row r="56">
      <c r="A56" s="107"/>
      <c r="B56" s="115" t="s">
        <v>400</v>
      </c>
      <c r="C56" s="109" t="s">
        <v>2268</v>
      </c>
      <c r="D56" s="113"/>
      <c r="E56" s="116">
        <v>1995.0</v>
      </c>
      <c r="F56" s="116">
        <v>0.0</v>
      </c>
      <c r="G56" s="116">
        <v>1995.0</v>
      </c>
      <c r="H56" s="116">
        <v>1815.45</v>
      </c>
      <c r="I56" s="116">
        <v>1755.6</v>
      </c>
      <c r="J56" s="116">
        <v>0.0</v>
      </c>
      <c r="K56" s="114"/>
    </row>
    <row r="57">
      <c r="A57" s="107"/>
      <c r="B57" s="115" t="s">
        <v>403</v>
      </c>
      <c r="C57" s="109" t="s">
        <v>2269</v>
      </c>
      <c r="D57" s="113"/>
      <c r="E57" s="116">
        <v>2895.0</v>
      </c>
      <c r="F57" s="116">
        <v>0.0</v>
      </c>
      <c r="G57" s="116">
        <v>2895.0</v>
      </c>
      <c r="H57" s="116">
        <v>2634.45</v>
      </c>
      <c r="I57" s="116">
        <v>2547.6</v>
      </c>
      <c r="J57" s="116">
        <v>0.0</v>
      </c>
      <c r="K57" s="114"/>
    </row>
    <row r="58">
      <c r="A58" s="107"/>
      <c r="B58" s="115" t="s">
        <v>15</v>
      </c>
      <c r="C58" s="109" t="s">
        <v>2270</v>
      </c>
      <c r="D58" s="113"/>
      <c r="E58" s="116">
        <v>295.0</v>
      </c>
      <c r="F58" s="116">
        <v>0.0</v>
      </c>
      <c r="G58" s="116">
        <v>295.0</v>
      </c>
      <c r="H58" s="116">
        <v>268.45</v>
      </c>
      <c r="I58" s="116">
        <v>259.6</v>
      </c>
      <c r="J58" s="116">
        <v>0.0</v>
      </c>
      <c r="K58" s="114"/>
    </row>
    <row r="59">
      <c r="A59" s="107"/>
      <c r="B59" s="115" t="s">
        <v>410</v>
      </c>
      <c r="C59" s="109" t="s">
        <v>2271</v>
      </c>
      <c r="D59" s="113"/>
      <c r="E59" s="116">
        <v>175.0</v>
      </c>
      <c r="F59" s="116">
        <v>0.0</v>
      </c>
      <c r="G59" s="116">
        <v>175.0</v>
      </c>
      <c r="H59" s="116">
        <v>159.25</v>
      </c>
      <c r="I59" s="116">
        <v>154.0</v>
      </c>
      <c r="J59" s="116">
        <v>0.0</v>
      </c>
      <c r="K59" s="114"/>
    </row>
    <row r="60">
      <c r="A60" s="107"/>
      <c r="B60" s="115" t="s">
        <v>416</v>
      </c>
      <c r="C60" s="109" t="s">
        <v>2272</v>
      </c>
      <c r="D60" s="113"/>
      <c r="E60" s="116">
        <v>1950.0</v>
      </c>
      <c r="F60" s="116">
        <v>0.0</v>
      </c>
      <c r="G60" s="116">
        <v>1950.0</v>
      </c>
      <c r="H60" s="116">
        <v>1774.5</v>
      </c>
      <c r="I60" s="116">
        <v>1716.0</v>
      </c>
      <c r="J60" s="116">
        <v>0.0</v>
      </c>
      <c r="K60" s="114"/>
    </row>
    <row r="61">
      <c r="A61" s="107"/>
      <c r="B61" s="115" t="s">
        <v>418</v>
      </c>
      <c r="C61" s="109" t="s">
        <v>2273</v>
      </c>
      <c r="D61" s="113"/>
      <c r="E61" s="116">
        <v>1950.0</v>
      </c>
      <c r="F61" s="116">
        <v>0.0</v>
      </c>
      <c r="G61" s="116">
        <v>1950.0</v>
      </c>
      <c r="H61" s="116">
        <v>1774.5</v>
      </c>
      <c r="I61" s="116">
        <v>1716.0</v>
      </c>
      <c r="J61" s="116">
        <v>0.0</v>
      </c>
      <c r="K61" s="114"/>
    </row>
    <row r="62">
      <c r="A62" s="107"/>
      <c r="B62" s="115" t="s">
        <v>420</v>
      </c>
      <c r="C62" s="109" t="s">
        <v>2274</v>
      </c>
      <c r="D62" s="113"/>
      <c r="E62" s="116">
        <v>2295.0</v>
      </c>
      <c r="F62" s="116">
        <v>0.0</v>
      </c>
      <c r="G62" s="116">
        <v>2295.0</v>
      </c>
      <c r="H62" s="116">
        <v>2088.45</v>
      </c>
      <c r="I62" s="116">
        <v>2019.6</v>
      </c>
      <c r="J62" s="116">
        <v>0.0</v>
      </c>
      <c r="K62" s="114"/>
    </row>
    <row r="63">
      <c r="A63" s="107"/>
      <c r="B63" s="115" t="s">
        <v>429</v>
      </c>
      <c r="C63" s="109" t="s">
        <v>2275</v>
      </c>
      <c r="D63" s="113"/>
      <c r="E63" s="116">
        <v>1995.0</v>
      </c>
      <c r="F63" s="116">
        <v>0.0</v>
      </c>
      <c r="G63" s="116">
        <v>1995.0</v>
      </c>
      <c r="H63" s="116">
        <v>1815.45</v>
      </c>
      <c r="I63" s="116">
        <v>1755.6</v>
      </c>
      <c r="J63" s="116">
        <v>0.0</v>
      </c>
      <c r="K63" s="114"/>
    </row>
    <row r="64">
      <c r="A64" s="107"/>
      <c r="B64" s="115" t="s">
        <v>437</v>
      </c>
      <c r="C64" s="109" t="s">
        <v>2276</v>
      </c>
      <c r="D64" s="113"/>
      <c r="E64" s="116">
        <v>150.0</v>
      </c>
      <c r="F64" s="116">
        <v>0.0</v>
      </c>
      <c r="G64" s="116">
        <v>150.0</v>
      </c>
      <c r="H64" s="116">
        <v>136.5</v>
      </c>
      <c r="I64" s="116">
        <v>132.0</v>
      </c>
      <c r="J64" s="116">
        <v>0.0</v>
      </c>
      <c r="K64" s="114"/>
    </row>
    <row r="65">
      <c r="A65" s="107"/>
      <c r="B65" s="115" t="s">
        <v>446</v>
      </c>
      <c r="C65" s="109" t="s">
        <v>2277</v>
      </c>
      <c r="D65" s="113"/>
      <c r="E65" s="116">
        <v>298.0</v>
      </c>
      <c r="F65" s="116">
        <v>0.0</v>
      </c>
      <c r="G65" s="116">
        <v>298.0</v>
      </c>
      <c r="H65" s="116">
        <v>271.18</v>
      </c>
      <c r="I65" s="116">
        <v>262.24</v>
      </c>
      <c r="J65" s="116">
        <v>0.0</v>
      </c>
      <c r="K65" s="114"/>
    </row>
    <row r="66">
      <c r="A66" s="107"/>
      <c r="B66" s="115" t="s">
        <v>449</v>
      </c>
      <c r="C66" s="109" t="s">
        <v>2278</v>
      </c>
      <c r="D66" s="113"/>
      <c r="E66" s="116">
        <v>95.0</v>
      </c>
      <c r="F66" s="116">
        <v>0.0</v>
      </c>
      <c r="G66" s="116">
        <v>95.0</v>
      </c>
      <c r="H66" s="116">
        <v>86.45</v>
      </c>
      <c r="I66" s="116">
        <v>83.6</v>
      </c>
      <c r="J66" s="116">
        <v>0.0</v>
      </c>
      <c r="K66" s="114"/>
    </row>
    <row r="67">
      <c r="A67" s="112" t="s">
        <v>2279</v>
      </c>
      <c r="C67" s="107"/>
      <c r="D67" s="113"/>
      <c r="E67" s="114"/>
      <c r="F67" s="114"/>
      <c r="G67" s="114"/>
      <c r="H67" s="114"/>
      <c r="I67" s="114"/>
      <c r="J67" s="114"/>
      <c r="K67" s="114"/>
    </row>
    <row r="68">
      <c r="A68" s="107"/>
      <c r="B68" s="115" t="s">
        <v>6</v>
      </c>
      <c r="C68" s="109" t="s">
        <v>283</v>
      </c>
      <c r="D68" s="113"/>
      <c r="E68" s="116">
        <v>395.0</v>
      </c>
      <c r="F68" s="116">
        <v>0.0</v>
      </c>
      <c r="G68" s="116">
        <v>395.0</v>
      </c>
      <c r="H68" s="116">
        <v>359.45</v>
      </c>
      <c r="I68" s="116">
        <v>347.6</v>
      </c>
      <c r="J68" s="116">
        <v>0.0</v>
      </c>
      <c r="K68" s="114"/>
    </row>
    <row r="69">
      <c r="A69" s="112" t="s">
        <v>2280</v>
      </c>
      <c r="C69" s="107"/>
      <c r="D69" s="113"/>
      <c r="E69" s="114"/>
      <c r="F69" s="114"/>
      <c r="G69" s="114"/>
      <c r="H69" s="114"/>
      <c r="I69" s="114"/>
      <c r="J69" s="114"/>
      <c r="K69" s="114"/>
    </row>
    <row r="70">
      <c r="A70" s="107"/>
      <c r="B70" s="115" t="s">
        <v>11</v>
      </c>
      <c r="C70" s="109" t="s">
        <v>2281</v>
      </c>
      <c r="D70" s="117" t="s">
        <v>1451</v>
      </c>
      <c r="E70" s="116">
        <v>995.0</v>
      </c>
      <c r="F70" s="116">
        <v>0.0</v>
      </c>
      <c r="G70" s="116">
        <v>995.0</v>
      </c>
      <c r="H70" s="116">
        <v>905.45</v>
      </c>
      <c r="I70" s="116">
        <v>875.6</v>
      </c>
      <c r="J70" s="116">
        <v>0.0</v>
      </c>
      <c r="K70" s="114"/>
    </row>
    <row r="71">
      <c r="A71" s="107"/>
      <c r="B71" s="115" t="s">
        <v>231</v>
      </c>
      <c r="C71" s="109" t="s">
        <v>232</v>
      </c>
      <c r="D71" s="113"/>
      <c r="E71" s="116">
        <v>295.0</v>
      </c>
      <c r="F71" s="116">
        <v>0.0</v>
      </c>
      <c r="G71" s="116">
        <v>295.0</v>
      </c>
      <c r="H71" s="116">
        <v>268.45</v>
      </c>
      <c r="I71" s="116">
        <v>259.6</v>
      </c>
      <c r="J71" s="116">
        <v>0.0</v>
      </c>
      <c r="K71" s="114"/>
    </row>
    <row r="72">
      <c r="A72" s="107"/>
      <c r="B72" s="115" t="s">
        <v>1462</v>
      </c>
      <c r="C72" s="109" t="s">
        <v>2282</v>
      </c>
      <c r="D72" s="117" t="s">
        <v>1451</v>
      </c>
      <c r="E72" s="116">
        <v>10495.0</v>
      </c>
      <c r="F72" s="116">
        <v>0.0</v>
      </c>
      <c r="G72" s="116">
        <v>10495.0</v>
      </c>
      <c r="H72" s="116">
        <v>9550.45</v>
      </c>
      <c r="I72" s="116">
        <v>9235.6</v>
      </c>
      <c r="J72" s="116">
        <v>0.0</v>
      </c>
      <c r="K72" s="114"/>
    </row>
    <row r="73">
      <c r="A73" s="107"/>
      <c r="B73" s="115" t="s">
        <v>14</v>
      </c>
      <c r="C73" s="109" t="s">
        <v>2283</v>
      </c>
      <c r="D73" s="117" t="s">
        <v>2284</v>
      </c>
      <c r="E73" s="116">
        <v>195.0</v>
      </c>
      <c r="F73" s="116">
        <v>0.0</v>
      </c>
      <c r="G73" s="116">
        <v>195.0</v>
      </c>
      <c r="H73" s="116">
        <v>177.45</v>
      </c>
      <c r="I73" s="116">
        <v>171.6</v>
      </c>
      <c r="J73" s="116">
        <v>0.0</v>
      </c>
      <c r="K73" s="114"/>
    </row>
    <row r="74">
      <c r="A74" s="112" t="s">
        <v>2285</v>
      </c>
      <c r="C74" s="107"/>
      <c r="D74" s="113"/>
      <c r="E74" s="114"/>
      <c r="F74" s="114"/>
      <c r="G74" s="114"/>
      <c r="H74" s="114"/>
      <c r="I74" s="114"/>
      <c r="J74" s="114"/>
      <c r="K74" s="114"/>
    </row>
    <row r="75">
      <c r="A75" s="107"/>
      <c r="B75" s="115" t="s">
        <v>432</v>
      </c>
      <c r="C75" s="109" t="s">
        <v>2286</v>
      </c>
      <c r="D75" s="117" t="s">
        <v>2287</v>
      </c>
      <c r="E75" s="116">
        <v>40.0</v>
      </c>
      <c r="F75" s="116">
        <v>0.0</v>
      </c>
      <c r="G75" s="116">
        <v>40.0</v>
      </c>
      <c r="H75" s="116">
        <v>36.4</v>
      </c>
      <c r="I75" s="116">
        <v>35.2</v>
      </c>
      <c r="J75" s="116">
        <v>0.0</v>
      </c>
      <c r="K75" s="114"/>
    </row>
    <row r="76">
      <c r="A76" s="112" t="s">
        <v>1405</v>
      </c>
      <c r="C76" s="107"/>
      <c r="D76" s="113"/>
      <c r="E76" s="114"/>
      <c r="F76" s="114"/>
      <c r="G76" s="114"/>
      <c r="H76" s="114"/>
      <c r="I76" s="114"/>
      <c r="J76" s="114"/>
      <c r="K76" s="114"/>
    </row>
    <row r="77">
      <c r="A77" s="107"/>
      <c r="B77" s="115" t="s">
        <v>24</v>
      </c>
      <c r="C77" s="109" t="s">
        <v>1405</v>
      </c>
      <c r="D77" s="117" t="s">
        <v>2288</v>
      </c>
      <c r="E77" s="116">
        <v>0.0</v>
      </c>
      <c r="F77" s="116">
        <v>0.0</v>
      </c>
      <c r="G77" s="116">
        <v>0.0</v>
      </c>
      <c r="H77" s="116">
        <v>0.0</v>
      </c>
      <c r="I77" s="116">
        <v>0.0</v>
      </c>
      <c r="J77" s="116">
        <v>0.0</v>
      </c>
      <c r="K77" s="114"/>
    </row>
    <row r="78">
      <c r="A78" s="112" t="s">
        <v>2289</v>
      </c>
      <c r="C78" s="107"/>
      <c r="D78" s="113"/>
      <c r="E78" s="114"/>
      <c r="F78" s="114"/>
      <c r="G78" s="114"/>
      <c r="H78" s="114"/>
      <c r="I78" s="114"/>
      <c r="J78" s="114"/>
      <c r="K78" s="114"/>
    </row>
    <row r="79">
      <c r="A79" s="107"/>
      <c r="B79" s="115" t="s">
        <v>749</v>
      </c>
      <c r="C79" s="109" t="s">
        <v>2290</v>
      </c>
      <c r="D79" s="117" t="s">
        <v>2291</v>
      </c>
      <c r="E79" s="116">
        <v>495.0</v>
      </c>
      <c r="F79" s="116">
        <v>0.0</v>
      </c>
      <c r="G79" s="116">
        <v>495.0</v>
      </c>
      <c r="H79" s="116">
        <v>450.45</v>
      </c>
      <c r="I79" s="116">
        <v>435.6</v>
      </c>
      <c r="J79" s="116">
        <v>0.0</v>
      </c>
      <c r="K79" s="114"/>
    </row>
    <row r="80">
      <c r="A80" s="107"/>
      <c r="B80" s="115">
        <v>379.0</v>
      </c>
      <c r="C80" s="109" t="s">
        <v>2292</v>
      </c>
      <c r="D80" s="113"/>
      <c r="E80" s="116">
        <v>495.0</v>
      </c>
      <c r="F80" s="116">
        <v>0.0</v>
      </c>
      <c r="G80" s="116">
        <v>495.0</v>
      </c>
      <c r="H80" s="116">
        <v>450.45</v>
      </c>
      <c r="I80" s="116">
        <v>435.6</v>
      </c>
      <c r="J80" s="116">
        <v>0.0</v>
      </c>
      <c r="K80" s="114"/>
    </row>
    <row r="81">
      <c r="A81" s="107"/>
      <c r="B81" s="115" t="s">
        <v>751</v>
      </c>
      <c r="C81" s="109" t="s">
        <v>2293</v>
      </c>
      <c r="D81" s="117" t="s">
        <v>2294</v>
      </c>
      <c r="E81" s="116">
        <v>495.0</v>
      </c>
      <c r="F81" s="116">
        <v>0.0</v>
      </c>
      <c r="G81" s="116">
        <v>495.0</v>
      </c>
      <c r="H81" s="116">
        <v>450.45</v>
      </c>
      <c r="I81" s="116">
        <v>435.6</v>
      </c>
      <c r="J81" s="116">
        <v>0.0</v>
      </c>
      <c r="K81" s="114"/>
    </row>
    <row r="82">
      <c r="A82" s="107"/>
      <c r="B82" s="115" t="s">
        <v>746</v>
      </c>
      <c r="C82" s="109" t="s">
        <v>2295</v>
      </c>
      <c r="D82" s="117" t="s">
        <v>2294</v>
      </c>
      <c r="E82" s="116">
        <v>495.0</v>
      </c>
      <c r="F82" s="116">
        <v>0.0</v>
      </c>
      <c r="G82" s="116">
        <v>495.0</v>
      </c>
      <c r="H82" s="116">
        <v>450.45</v>
      </c>
      <c r="I82" s="116">
        <v>435.6</v>
      </c>
      <c r="J82" s="116">
        <v>0.0</v>
      </c>
      <c r="K82" s="114"/>
    </row>
    <row r="83">
      <c r="A83" s="107"/>
      <c r="B83" s="115" t="s">
        <v>967</v>
      </c>
      <c r="C83" s="109" t="s">
        <v>2296</v>
      </c>
      <c r="D83" s="117" t="s">
        <v>2297</v>
      </c>
      <c r="E83" s="116">
        <v>495.0</v>
      </c>
      <c r="F83" s="116">
        <v>0.0</v>
      </c>
      <c r="G83" s="116">
        <v>495.0</v>
      </c>
      <c r="H83" s="116">
        <v>450.45</v>
      </c>
      <c r="I83" s="116">
        <v>435.6</v>
      </c>
      <c r="J83" s="116">
        <v>0.0</v>
      </c>
      <c r="K83" s="114"/>
    </row>
    <row r="84">
      <c r="A84" s="107"/>
      <c r="B84" s="115" t="s">
        <v>5</v>
      </c>
      <c r="C84" s="109" t="s">
        <v>2298</v>
      </c>
      <c r="D84" s="117" t="s">
        <v>2299</v>
      </c>
      <c r="E84" s="116">
        <v>495.0</v>
      </c>
      <c r="F84" s="116">
        <v>0.0</v>
      </c>
      <c r="G84" s="116">
        <v>495.0</v>
      </c>
      <c r="H84" s="116">
        <v>450.45</v>
      </c>
      <c r="I84" s="116">
        <v>435.6</v>
      </c>
      <c r="J84" s="116">
        <v>0.0</v>
      </c>
      <c r="K84" s="114"/>
    </row>
    <row r="85">
      <c r="A85" s="107"/>
      <c r="B85" s="115" t="s">
        <v>972</v>
      </c>
      <c r="C85" s="109" t="s">
        <v>2300</v>
      </c>
      <c r="D85" s="113"/>
      <c r="E85" s="116">
        <v>495.0</v>
      </c>
      <c r="F85" s="116">
        <v>0.0</v>
      </c>
      <c r="G85" s="116">
        <v>495.0</v>
      </c>
      <c r="H85" s="116">
        <v>450.45</v>
      </c>
      <c r="I85" s="116">
        <v>435.6</v>
      </c>
      <c r="J85" s="116">
        <v>0.0</v>
      </c>
      <c r="K85" s="114"/>
    </row>
    <row r="86">
      <c r="A86" s="107"/>
      <c r="B86" s="115" t="s">
        <v>974</v>
      </c>
      <c r="C86" s="109" t="s">
        <v>2301</v>
      </c>
      <c r="D86" s="117" t="s">
        <v>2302</v>
      </c>
      <c r="E86" s="116">
        <v>495.0</v>
      </c>
      <c r="F86" s="116">
        <v>0.0</v>
      </c>
      <c r="G86" s="116">
        <v>495.0</v>
      </c>
      <c r="H86" s="116">
        <v>450.45</v>
      </c>
      <c r="I86" s="116">
        <v>435.6</v>
      </c>
      <c r="J86" s="116">
        <v>0.0</v>
      </c>
      <c r="K86" s="114"/>
    </row>
    <row r="87">
      <c r="A87" s="107"/>
      <c r="B87" s="115" t="s">
        <v>9</v>
      </c>
      <c r="C87" s="109" t="s">
        <v>2303</v>
      </c>
      <c r="D87" s="117" t="s">
        <v>2304</v>
      </c>
      <c r="E87" s="116">
        <v>595.0</v>
      </c>
      <c r="F87" s="116">
        <v>0.0</v>
      </c>
      <c r="G87" s="116">
        <v>595.0</v>
      </c>
      <c r="H87" s="116">
        <v>541.45</v>
      </c>
      <c r="I87" s="116">
        <v>523.6</v>
      </c>
      <c r="J87" s="116">
        <v>0.0</v>
      </c>
      <c r="K87" s="114"/>
    </row>
    <row r="88">
      <c r="A88" s="107"/>
      <c r="B88" s="115" t="s">
        <v>953</v>
      </c>
      <c r="C88" s="109" t="s">
        <v>2305</v>
      </c>
      <c r="D88" s="117" t="s">
        <v>2230</v>
      </c>
      <c r="E88" s="116">
        <v>1500.0</v>
      </c>
      <c r="F88" s="116">
        <v>0.0</v>
      </c>
      <c r="G88" s="116">
        <v>1500.0</v>
      </c>
      <c r="H88" s="116">
        <v>1365.0</v>
      </c>
      <c r="I88" s="116">
        <v>1320.0</v>
      </c>
      <c r="J88" s="116">
        <v>0.0</v>
      </c>
      <c r="K88" s="114"/>
    </row>
    <row r="89">
      <c r="A89" s="107"/>
      <c r="B89" s="115" t="s">
        <v>12</v>
      </c>
      <c r="C89" s="109" t="s">
        <v>2306</v>
      </c>
      <c r="D89" s="117" t="s">
        <v>2307</v>
      </c>
      <c r="E89" s="116">
        <v>4995.0</v>
      </c>
      <c r="F89" s="116">
        <v>0.0</v>
      </c>
      <c r="G89" s="116">
        <v>4995.0</v>
      </c>
      <c r="H89" s="116">
        <v>4545.45</v>
      </c>
      <c r="I89" s="116">
        <v>4395.6</v>
      </c>
      <c r="J89" s="116">
        <v>0.0</v>
      </c>
      <c r="K89" s="114"/>
    </row>
    <row r="90">
      <c r="A90" s="107"/>
      <c r="B90" s="115" t="s">
        <v>728</v>
      </c>
      <c r="C90" s="109" t="s">
        <v>2308</v>
      </c>
      <c r="D90" s="117" t="s">
        <v>2309</v>
      </c>
      <c r="E90" s="116">
        <v>695.0</v>
      </c>
      <c r="F90" s="116">
        <v>0.0</v>
      </c>
      <c r="G90" s="116">
        <v>695.0</v>
      </c>
      <c r="H90" s="116">
        <v>632.45</v>
      </c>
      <c r="I90" s="116">
        <v>611.6</v>
      </c>
      <c r="J90" s="116">
        <v>0.0</v>
      </c>
      <c r="K90" s="114"/>
    </row>
    <row r="91">
      <c r="A91" s="107"/>
      <c r="B91" s="115" t="s">
        <v>1479</v>
      </c>
      <c r="C91" s="109" t="s">
        <v>2310</v>
      </c>
      <c r="D91" s="117" t="s">
        <v>2307</v>
      </c>
      <c r="E91" s="116">
        <v>695.0</v>
      </c>
      <c r="F91" s="116">
        <v>0.0</v>
      </c>
      <c r="G91" s="116">
        <v>695.0</v>
      </c>
      <c r="H91" s="116">
        <v>632.45</v>
      </c>
      <c r="I91" s="116">
        <v>611.6</v>
      </c>
      <c r="J91" s="116">
        <v>0.0</v>
      </c>
      <c r="K91" s="114"/>
    </row>
    <row r="92">
      <c r="A92" s="107"/>
      <c r="B92" s="115" t="s">
        <v>767</v>
      </c>
      <c r="C92" s="109" t="s">
        <v>2311</v>
      </c>
      <c r="D92" s="117" t="s">
        <v>2312</v>
      </c>
      <c r="E92" s="116">
        <v>595.0</v>
      </c>
      <c r="F92" s="116">
        <v>0.0</v>
      </c>
      <c r="G92" s="116">
        <v>595.0</v>
      </c>
      <c r="H92" s="116">
        <v>541.45</v>
      </c>
      <c r="I92" s="116">
        <v>523.6</v>
      </c>
      <c r="J92" s="116">
        <v>0.0</v>
      </c>
      <c r="K92" s="114"/>
    </row>
    <row r="93">
      <c r="A93" s="112" t="s">
        <v>2313</v>
      </c>
      <c r="C93" s="107"/>
      <c r="D93" s="113"/>
      <c r="E93" s="114"/>
      <c r="F93" s="114"/>
      <c r="G93" s="114"/>
      <c r="H93" s="114"/>
      <c r="I93" s="114"/>
      <c r="J93" s="114"/>
      <c r="K93" s="114"/>
    </row>
    <row r="94">
      <c r="A94" s="107"/>
      <c r="B94" s="115" t="s">
        <v>246</v>
      </c>
      <c r="C94" s="109" t="s">
        <v>247</v>
      </c>
      <c r="D94" s="113"/>
      <c r="E94" s="116">
        <v>995.0</v>
      </c>
      <c r="F94" s="116">
        <v>0.0</v>
      </c>
      <c r="G94" s="116">
        <v>995.0</v>
      </c>
      <c r="H94" s="116">
        <v>905.45</v>
      </c>
      <c r="I94" s="116">
        <v>875.6</v>
      </c>
      <c r="J94" s="116">
        <v>0.0</v>
      </c>
      <c r="K94" s="114"/>
    </row>
    <row r="95">
      <c r="A95" s="107"/>
      <c r="B95" s="115" t="s">
        <v>250</v>
      </c>
      <c r="C95" s="109" t="s">
        <v>2314</v>
      </c>
      <c r="D95" s="113"/>
      <c r="E95" s="116">
        <v>500.0</v>
      </c>
      <c r="F95" s="116">
        <v>0.0</v>
      </c>
      <c r="G95" s="116">
        <v>500.0</v>
      </c>
      <c r="H95" s="116">
        <v>455.0</v>
      </c>
      <c r="I95" s="116">
        <v>440.0</v>
      </c>
      <c r="J95" s="116">
        <v>0.0</v>
      </c>
      <c r="K95" s="114"/>
    </row>
    <row r="96">
      <c r="A96" s="107"/>
      <c r="B96" s="115" t="s">
        <v>257</v>
      </c>
      <c r="C96" s="109" t="s">
        <v>2315</v>
      </c>
      <c r="D96" s="113"/>
      <c r="E96" s="116">
        <v>995.0</v>
      </c>
      <c r="F96" s="116">
        <v>0.0</v>
      </c>
      <c r="G96" s="116">
        <v>995.0</v>
      </c>
      <c r="H96" s="116">
        <v>905.45</v>
      </c>
      <c r="I96" s="116">
        <v>875.6</v>
      </c>
      <c r="J96" s="116">
        <v>0.0</v>
      </c>
      <c r="K96" s="114"/>
    </row>
    <row r="97">
      <c r="A97" s="107"/>
      <c r="B97" s="115" t="s">
        <v>266</v>
      </c>
      <c r="C97" s="109" t="s">
        <v>267</v>
      </c>
      <c r="D97" s="113"/>
      <c r="E97" s="116">
        <v>995.0</v>
      </c>
      <c r="F97" s="116">
        <v>0.0</v>
      </c>
      <c r="G97" s="116">
        <v>995.0</v>
      </c>
      <c r="H97" s="116">
        <v>905.45</v>
      </c>
      <c r="I97" s="116">
        <v>875.6</v>
      </c>
      <c r="J97" s="116">
        <v>0.0</v>
      </c>
      <c r="K97" s="114"/>
    </row>
    <row r="98">
      <c r="A98" s="112" t="s">
        <v>2316</v>
      </c>
      <c r="C98" s="107"/>
      <c r="D98" s="113"/>
      <c r="E98" s="114"/>
      <c r="F98" s="114"/>
      <c r="G98" s="114"/>
      <c r="H98" s="114"/>
      <c r="I98" s="114"/>
      <c r="J98" s="114"/>
      <c r="K98" s="114"/>
    </row>
    <row r="99">
      <c r="A99" s="107"/>
      <c r="B99" s="115" t="s">
        <v>1465</v>
      </c>
      <c r="C99" s="109" t="s">
        <v>2317</v>
      </c>
      <c r="D99" s="117" t="s">
        <v>2318</v>
      </c>
      <c r="E99" s="116">
        <v>1500.0</v>
      </c>
      <c r="F99" s="116">
        <v>0.0</v>
      </c>
      <c r="G99" s="116">
        <v>1500.0</v>
      </c>
      <c r="H99" s="116">
        <v>1365.0</v>
      </c>
      <c r="I99" s="116">
        <v>1320.0</v>
      </c>
      <c r="J99" s="116">
        <v>0.0</v>
      </c>
      <c r="K99" s="114"/>
    </row>
    <row r="100">
      <c r="A100" s="112" t="s">
        <v>2319</v>
      </c>
      <c r="C100" s="107"/>
      <c r="D100" s="113"/>
      <c r="E100" s="114"/>
      <c r="F100" s="114"/>
      <c r="G100" s="114"/>
      <c r="H100" s="114"/>
      <c r="I100" s="114"/>
      <c r="J100" s="114"/>
      <c r="K100" s="114"/>
    </row>
    <row r="101">
      <c r="A101" s="107"/>
      <c r="B101" s="115" t="s">
        <v>167</v>
      </c>
      <c r="C101" s="109" t="s">
        <v>2320</v>
      </c>
      <c r="D101" s="117" t="s">
        <v>2321</v>
      </c>
      <c r="E101" s="116">
        <v>3000.0</v>
      </c>
      <c r="F101" s="116">
        <v>0.0</v>
      </c>
      <c r="G101" s="116">
        <v>3000.0</v>
      </c>
      <c r="H101" s="116">
        <v>2730.0</v>
      </c>
      <c r="I101" s="116">
        <v>2640.0</v>
      </c>
      <c r="J101" s="116">
        <v>0.0</v>
      </c>
      <c r="K101" s="114"/>
    </row>
    <row r="102">
      <c r="A102" s="112" t="s">
        <v>2322</v>
      </c>
      <c r="C102" s="107"/>
      <c r="D102" s="113"/>
      <c r="E102" s="114"/>
      <c r="F102" s="114"/>
      <c r="G102" s="114"/>
      <c r="H102" s="114"/>
      <c r="I102" s="114"/>
      <c r="J102" s="114"/>
      <c r="K102" s="114"/>
    </row>
    <row r="103">
      <c r="A103" s="107"/>
      <c r="B103" s="115" t="s">
        <v>726</v>
      </c>
      <c r="C103" s="109" t="s">
        <v>2323</v>
      </c>
      <c r="D103" s="117" t="s">
        <v>2233</v>
      </c>
      <c r="E103" s="116">
        <v>500.0</v>
      </c>
      <c r="F103" s="116">
        <v>0.0</v>
      </c>
      <c r="G103" s="116">
        <v>500.0</v>
      </c>
      <c r="H103" s="116">
        <v>455.0</v>
      </c>
      <c r="I103" s="116">
        <v>440.0</v>
      </c>
      <c r="J103" s="116">
        <v>0.0</v>
      </c>
      <c r="K103" s="114"/>
    </row>
    <row r="104">
      <c r="A104" s="107"/>
      <c r="B104" s="115" t="s">
        <v>726</v>
      </c>
      <c r="C104" s="109" t="s">
        <v>2323</v>
      </c>
      <c r="D104" s="117" t="s">
        <v>2324</v>
      </c>
      <c r="E104" s="116">
        <v>995.0</v>
      </c>
      <c r="F104" s="116">
        <v>0.0</v>
      </c>
      <c r="G104" s="116">
        <v>995.0</v>
      </c>
      <c r="H104" s="116">
        <v>905.45</v>
      </c>
      <c r="I104" s="116">
        <v>875.6</v>
      </c>
      <c r="J104" s="116">
        <v>0.0</v>
      </c>
      <c r="K104" s="114"/>
    </row>
    <row r="105">
      <c r="A105" s="107"/>
      <c r="B105" s="115" t="s">
        <v>822</v>
      </c>
      <c r="C105" s="109" t="s">
        <v>2325</v>
      </c>
      <c r="D105" s="117" t="s">
        <v>2326</v>
      </c>
      <c r="E105" s="116">
        <v>250.0</v>
      </c>
      <c r="F105" s="116">
        <v>0.0</v>
      </c>
      <c r="G105" s="116">
        <v>250.0</v>
      </c>
      <c r="H105" s="116">
        <v>227.5</v>
      </c>
      <c r="I105" s="116">
        <v>220.0</v>
      </c>
      <c r="J105" s="116">
        <v>0.0</v>
      </c>
      <c r="K105" s="114"/>
    </row>
    <row r="106">
      <c r="A106" s="112" t="s">
        <v>2327</v>
      </c>
      <c r="C106" s="107"/>
      <c r="D106" s="113"/>
      <c r="E106" s="114"/>
      <c r="F106" s="114"/>
      <c r="G106" s="114"/>
      <c r="H106" s="114"/>
      <c r="I106" s="114"/>
      <c r="J106" s="114"/>
      <c r="K106" s="114"/>
    </row>
    <row r="107">
      <c r="A107" s="107"/>
      <c r="B107" s="115" t="s">
        <v>2328</v>
      </c>
      <c r="C107" s="109" t="s">
        <v>2329</v>
      </c>
      <c r="D107" s="117" t="s">
        <v>2330</v>
      </c>
      <c r="E107" s="116">
        <v>14995.0</v>
      </c>
      <c r="F107" s="116">
        <v>0.0</v>
      </c>
      <c r="G107" s="116">
        <v>14995.0</v>
      </c>
      <c r="H107" s="116">
        <v>13645.45</v>
      </c>
      <c r="I107" s="116">
        <v>13195.6</v>
      </c>
      <c r="J107" s="116">
        <v>0.0</v>
      </c>
      <c r="K107" s="114"/>
    </row>
    <row r="108">
      <c r="A108" s="112" t="s">
        <v>2331</v>
      </c>
      <c r="C108" s="107"/>
      <c r="D108" s="113"/>
      <c r="E108" s="114"/>
      <c r="F108" s="114"/>
      <c r="G108" s="114"/>
      <c r="H108" s="114"/>
      <c r="I108" s="114"/>
      <c r="J108" s="114"/>
      <c r="K108" s="114"/>
    </row>
    <row r="109">
      <c r="A109" s="107"/>
      <c r="B109" s="115" t="s">
        <v>181</v>
      </c>
      <c r="C109" s="109" t="s">
        <v>2332</v>
      </c>
      <c r="D109" s="113"/>
      <c r="E109" s="116">
        <v>1195.0</v>
      </c>
      <c r="F109" s="116">
        <v>0.0</v>
      </c>
      <c r="G109" s="116">
        <v>1195.0</v>
      </c>
      <c r="H109" s="116">
        <v>1087.45</v>
      </c>
      <c r="I109" s="116">
        <v>1051.6</v>
      </c>
      <c r="J109" s="116">
        <v>0.0</v>
      </c>
      <c r="K109" s="114"/>
    </row>
    <row r="110">
      <c r="A110" s="107"/>
      <c r="B110" s="115" t="s">
        <v>185</v>
      </c>
      <c r="C110" s="109" t="s">
        <v>2333</v>
      </c>
      <c r="D110" s="113"/>
      <c r="E110" s="116">
        <v>1195.0</v>
      </c>
      <c r="F110" s="116">
        <v>0.0</v>
      </c>
      <c r="G110" s="116">
        <v>1195.0</v>
      </c>
      <c r="H110" s="116">
        <v>1087.45</v>
      </c>
      <c r="I110" s="116">
        <v>1051.6</v>
      </c>
      <c r="J110" s="116">
        <v>0.0</v>
      </c>
      <c r="K110" s="114"/>
    </row>
    <row r="111">
      <c r="A111" s="107"/>
      <c r="B111" s="115" t="s">
        <v>188</v>
      </c>
      <c r="C111" s="109" t="s">
        <v>189</v>
      </c>
      <c r="D111" s="113"/>
      <c r="E111" s="116">
        <v>1195.0</v>
      </c>
      <c r="F111" s="116">
        <v>0.0</v>
      </c>
      <c r="G111" s="116">
        <v>1195.0</v>
      </c>
      <c r="H111" s="116">
        <v>1087.45</v>
      </c>
      <c r="I111" s="116">
        <v>1051.6</v>
      </c>
      <c r="J111" s="116">
        <v>0.0</v>
      </c>
      <c r="K111" s="114"/>
    </row>
    <row r="112">
      <c r="A112" s="107"/>
      <c r="B112" s="115" t="s">
        <v>191</v>
      </c>
      <c r="C112" s="109" t="s">
        <v>192</v>
      </c>
      <c r="D112" s="113"/>
      <c r="E112" s="116">
        <v>1195.0</v>
      </c>
      <c r="F112" s="116">
        <v>0.0</v>
      </c>
      <c r="G112" s="116">
        <v>1195.0</v>
      </c>
      <c r="H112" s="116">
        <v>1087.45</v>
      </c>
      <c r="I112" s="116">
        <v>1051.6</v>
      </c>
      <c r="J112" s="116">
        <v>0.0</v>
      </c>
      <c r="K112" s="114"/>
    </row>
    <row r="113">
      <c r="A113" s="107"/>
      <c r="B113" s="115" t="s">
        <v>194</v>
      </c>
      <c r="C113" s="109" t="s">
        <v>195</v>
      </c>
      <c r="D113" s="113"/>
      <c r="E113" s="116">
        <v>1195.0</v>
      </c>
      <c r="F113" s="116">
        <v>0.0</v>
      </c>
      <c r="G113" s="116">
        <v>1195.0</v>
      </c>
      <c r="H113" s="116">
        <v>1087.45</v>
      </c>
      <c r="I113" s="116">
        <v>1051.6</v>
      </c>
      <c r="J113" s="116">
        <v>0.0</v>
      </c>
      <c r="K113" s="114"/>
    </row>
    <row r="114">
      <c r="A114" s="107"/>
      <c r="B114" s="115" t="s">
        <v>196</v>
      </c>
      <c r="C114" s="109" t="s">
        <v>2334</v>
      </c>
      <c r="D114" s="113"/>
      <c r="E114" s="116">
        <v>1195.0</v>
      </c>
      <c r="F114" s="116">
        <v>0.0</v>
      </c>
      <c r="G114" s="116">
        <v>1195.0</v>
      </c>
      <c r="H114" s="116">
        <v>1087.45</v>
      </c>
      <c r="I114" s="116">
        <v>1051.6</v>
      </c>
      <c r="J114" s="116">
        <v>0.0</v>
      </c>
      <c r="K114" s="114"/>
    </row>
    <row r="115">
      <c r="A115" s="107"/>
      <c r="B115" s="115" t="s">
        <v>198</v>
      </c>
      <c r="C115" s="109" t="s">
        <v>2335</v>
      </c>
      <c r="D115" s="113"/>
      <c r="E115" s="116">
        <v>1195.0</v>
      </c>
      <c r="F115" s="116">
        <v>0.0</v>
      </c>
      <c r="G115" s="116">
        <v>1195.0</v>
      </c>
      <c r="H115" s="116">
        <v>1087.45</v>
      </c>
      <c r="I115" s="116">
        <v>1051.6</v>
      </c>
      <c r="J115" s="116">
        <v>0.0</v>
      </c>
      <c r="K115" s="114"/>
    </row>
    <row r="116">
      <c r="A116" s="107"/>
      <c r="B116" s="115" t="s">
        <v>200</v>
      </c>
      <c r="C116" s="109" t="s">
        <v>2336</v>
      </c>
      <c r="D116" s="113"/>
      <c r="E116" s="116">
        <v>1195.0</v>
      </c>
      <c r="F116" s="116">
        <v>0.0</v>
      </c>
      <c r="G116" s="116">
        <v>1195.0</v>
      </c>
      <c r="H116" s="116">
        <v>1087.45</v>
      </c>
      <c r="I116" s="116">
        <v>1051.6</v>
      </c>
      <c r="J116" s="116">
        <v>0.0</v>
      </c>
      <c r="K116" s="114"/>
    </row>
    <row r="117">
      <c r="A117" s="107"/>
      <c r="B117" s="115" t="s">
        <v>1358</v>
      </c>
      <c r="C117" s="109" t="s">
        <v>1359</v>
      </c>
      <c r="D117" s="113"/>
      <c r="E117" s="116">
        <v>1195.0</v>
      </c>
      <c r="F117" s="116">
        <v>0.0</v>
      </c>
      <c r="G117" s="116">
        <v>1195.0</v>
      </c>
      <c r="H117" s="116">
        <v>1087.45</v>
      </c>
      <c r="I117" s="116">
        <v>1051.6</v>
      </c>
      <c r="J117" s="116">
        <v>0.0</v>
      </c>
      <c r="K117" s="114"/>
    </row>
    <row r="118">
      <c r="A118" s="107"/>
      <c r="B118" s="115" t="s">
        <v>202</v>
      </c>
      <c r="C118" s="109" t="s">
        <v>2337</v>
      </c>
      <c r="D118" s="113"/>
      <c r="E118" s="116">
        <v>1195.0</v>
      </c>
      <c r="F118" s="116">
        <v>0.0</v>
      </c>
      <c r="G118" s="116">
        <v>1195.0</v>
      </c>
      <c r="H118" s="116">
        <v>1087.45</v>
      </c>
      <c r="I118" s="116">
        <v>1051.6</v>
      </c>
      <c r="J118" s="116">
        <v>0.0</v>
      </c>
      <c r="K118" s="114"/>
    </row>
    <row r="119">
      <c r="A119" s="107"/>
      <c r="B119" s="115" t="s">
        <v>204</v>
      </c>
      <c r="C119" s="109" t="s">
        <v>2338</v>
      </c>
      <c r="D119" s="113"/>
      <c r="E119" s="116">
        <v>1195.0</v>
      </c>
      <c r="F119" s="116">
        <v>0.0</v>
      </c>
      <c r="G119" s="116">
        <v>1195.0</v>
      </c>
      <c r="H119" s="116">
        <v>1087.45</v>
      </c>
      <c r="I119" s="116">
        <v>1051.6</v>
      </c>
      <c r="J119" s="116">
        <v>0.0</v>
      </c>
      <c r="K119" s="114"/>
    </row>
    <row r="120">
      <c r="A120" s="107"/>
      <c r="B120" s="115" t="s">
        <v>206</v>
      </c>
      <c r="C120" s="109" t="s">
        <v>207</v>
      </c>
      <c r="D120" s="113"/>
      <c r="E120" s="116">
        <v>1195.0</v>
      </c>
      <c r="F120" s="116">
        <v>0.0</v>
      </c>
      <c r="G120" s="116">
        <v>1195.0</v>
      </c>
      <c r="H120" s="116">
        <v>1087.45</v>
      </c>
      <c r="I120" s="116">
        <v>1051.6</v>
      </c>
      <c r="J120" s="116">
        <v>0.0</v>
      </c>
      <c r="K120" s="114"/>
    </row>
    <row r="121">
      <c r="A121" s="107"/>
      <c r="B121" s="115" t="s">
        <v>209</v>
      </c>
      <c r="C121" s="109" t="s">
        <v>2339</v>
      </c>
      <c r="D121" s="113"/>
      <c r="E121" s="116">
        <v>1195.0</v>
      </c>
      <c r="F121" s="116">
        <v>0.0</v>
      </c>
      <c r="G121" s="116">
        <v>1195.0</v>
      </c>
      <c r="H121" s="116">
        <v>1087.45</v>
      </c>
      <c r="I121" s="116">
        <v>1051.6</v>
      </c>
      <c r="J121" s="116">
        <v>0.0</v>
      </c>
      <c r="K121" s="114"/>
    </row>
    <row r="122">
      <c r="A122" s="112" t="s">
        <v>2340</v>
      </c>
      <c r="C122" s="107"/>
      <c r="D122" s="113"/>
      <c r="E122" s="114"/>
      <c r="F122" s="114"/>
      <c r="G122" s="114"/>
      <c r="H122" s="114"/>
      <c r="I122" s="114"/>
      <c r="J122" s="114"/>
      <c r="K122" s="114"/>
    </row>
    <row r="123">
      <c r="A123" s="107"/>
      <c r="B123" s="115" t="s">
        <v>1452</v>
      </c>
      <c r="C123" s="109" t="s">
        <v>2341</v>
      </c>
      <c r="D123" s="113"/>
      <c r="E123" s="116">
        <v>1495.0</v>
      </c>
      <c r="F123" s="116">
        <v>0.0</v>
      </c>
      <c r="G123" s="116">
        <v>1495.0</v>
      </c>
      <c r="H123" s="116">
        <v>1360.45</v>
      </c>
      <c r="I123" s="116">
        <v>1315.6</v>
      </c>
      <c r="J123" s="116">
        <v>0.0</v>
      </c>
      <c r="K123" s="114"/>
    </row>
    <row r="124">
      <c r="A124" s="107"/>
      <c r="B124" s="115" t="s">
        <v>16</v>
      </c>
      <c r="C124" s="109" t="s">
        <v>2342</v>
      </c>
      <c r="D124" s="113"/>
      <c r="E124" s="116">
        <v>1495.0</v>
      </c>
      <c r="F124" s="116">
        <v>0.0</v>
      </c>
      <c r="G124" s="116">
        <v>1495.0</v>
      </c>
      <c r="H124" s="116">
        <v>1360.45</v>
      </c>
      <c r="I124" s="116">
        <v>1315.6</v>
      </c>
      <c r="J124" s="116">
        <v>0.0</v>
      </c>
      <c r="K124" s="114"/>
    </row>
    <row r="125">
      <c r="A125" s="107"/>
      <c r="B125" s="115" t="s">
        <v>1455</v>
      </c>
      <c r="C125" s="109" t="s">
        <v>2343</v>
      </c>
      <c r="D125" s="113"/>
      <c r="E125" s="116">
        <v>1995.0</v>
      </c>
      <c r="F125" s="116">
        <v>0.0</v>
      </c>
      <c r="G125" s="116">
        <v>1995.0</v>
      </c>
      <c r="H125" s="116">
        <v>1815.45</v>
      </c>
      <c r="I125" s="116">
        <v>1755.6</v>
      </c>
      <c r="J125" s="116">
        <v>0.0</v>
      </c>
      <c r="K125" s="114"/>
    </row>
    <row r="126">
      <c r="A126" s="107"/>
      <c r="B126" s="115" t="s">
        <v>1459</v>
      </c>
      <c r="C126" s="109" t="s">
        <v>2344</v>
      </c>
      <c r="D126" s="113"/>
      <c r="E126" s="116">
        <v>13995.0</v>
      </c>
      <c r="F126" s="116">
        <v>0.0</v>
      </c>
      <c r="G126" s="116">
        <v>13995.0</v>
      </c>
      <c r="H126" s="116">
        <v>12735.45</v>
      </c>
      <c r="I126" s="116">
        <v>12315.6</v>
      </c>
      <c r="J126" s="116">
        <v>0.0</v>
      </c>
      <c r="K126" s="114"/>
    </row>
    <row r="127">
      <c r="A127" s="118"/>
    </row>
    <row r="128">
      <c r="A128" s="119"/>
    </row>
    <row r="129">
      <c r="A129" s="118"/>
    </row>
    <row r="130">
      <c r="A130" s="119"/>
    </row>
    <row r="131">
      <c r="A131" s="118"/>
    </row>
    <row r="132">
      <c r="A132" s="119"/>
    </row>
    <row r="133">
      <c r="A133" s="118"/>
    </row>
    <row r="134">
      <c r="A134" s="119"/>
    </row>
    <row r="135">
      <c r="A135" s="102"/>
    </row>
    <row r="136">
      <c r="A136" s="102"/>
    </row>
    <row r="137">
      <c r="A137" s="120"/>
    </row>
    <row r="138">
      <c r="A138" s="121"/>
    </row>
    <row r="139">
      <c r="A139" s="121"/>
    </row>
    <row r="140">
      <c r="A140" s="121"/>
    </row>
    <row r="141">
      <c r="A141" s="121"/>
    </row>
    <row r="142">
      <c r="A142" s="121"/>
    </row>
    <row r="143">
      <c r="A143" s="121"/>
    </row>
    <row r="144">
      <c r="A144" s="121"/>
    </row>
    <row r="145">
      <c r="A145" s="121"/>
    </row>
    <row r="146">
      <c r="A146" s="121"/>
    </row>
    <row r="147">
      <c r="A147" s="121"/>
    </row>
    <row r="148">
      <c r="A148" s="121"/>
    </row>
    <row r="149">
      <c r="A149" s="121"/>
    </row>
    <row r="150">
      <c r="A150" s="121"/>
    </row>
    <row r="151">
      <c r="A151" s="121"/>
    </row>
    <row r="152">
      <c r="A152" s="121"/>
    </row>
    <row r="153">
      <c r="A153" s="121"/>
    </row>
    <row r="154">
      <c r="A154" s="121"/>
    </row>
    <row r="155">
      <c r="A155" s="121"/>
    </row>
    <row r="156">
      <c r="A156" s="121"/>
    </row>
    <row r="157">
      <c r="A157" s="121"/>
    </row>
    <row r="158">
      <c r="A158" s="121"/>
    </row>
    <row r="159">
      <c r="A159" s="121"/>
    </row>
    <row r="160">
      <c r="A160" s="121"/>
    </row>
    <row r="161">
      <c r="A161" s="121"/>
    </row>
    <row r="162">
      <c r="A162" s="121"/>
    </row>
    <row r="163">
      <c r="A163" s="121"/>
    </row>
    <row r="164">
      <c r="A164" s="121"/>
    </row>
    <row r="165">
      <c r="A165" s="121"/>
    </row>
    <row r="166">
      <c r="A166" s="121"/>
    </row>
    <row r="167">
      <c r="A167" s="121"/>
    </row>
    <row r="168">
      <c r="A168" s="121"/>
    </row>
    <row r="169">
      <c r="A169" s="121"/>
    </row>
    <row r="170">
      <c r="A170" s="121"/>
    </row>
    <row r="171">
      <c r="A171" s="121"/>
    </row>
    <row r="172">
      <c r="A172" s="121"/>
    </row>
    <row r="173">
      <c r="A173" s="121"/>
    </row>
    <row r="174">
      <c r="A174" s="121"/>
    </row>
    <row r="175">
      <c r="A175" s="121"/>
    </row>
    <row r="176">
      <c r="A176" s="121"/>
    </row>
    <row r="177">
      <c r="A177" s="121"/>
    </row>
    <row r="178">
      <c r="A178" s="121"/>
    </row>
    <row r="179">
      <c r="A179" s="121"/>
    </row>
    <row r="180">
      <c r="A180" s="121"/>
    </row>
    <row r="181">
      <c r="A181" s="121"/>
    </row>
    <row r="182">
      <c r="A182" s="121"/>
    </row>
    <row r="183">
      <c r="A183" s="121"/>
    </row>
    <row r="184">
      <c r="A184" s="121"/>
    </row>
    <row r="185">
      <c r="A185" s="121"/>
    </row>
    <row r="186">
      <c r="A186" s="121"/>
    </row>
    <row r="187">
      <c r="A187" s="121"/>
    </row>
    <row r="188">
      <c r="A188" s="121"/>
    </row>
    <row r="189">
      <c r="A189" s="121"/>
    </row>
    <row r="190">
      <c r="A190" s="121"/>
    </row>
    <row r="191">
      <c r="A191" s="121"/>
    </row>
    <row r="192">
      <c r="A192" s="121"/>
    </row>
    <row r="193">
      <c r="A193" s="121"/>
    </row>
    <row r="194">
      <c r="A194" s="121"/>
    </row>
    <row r="195">
      <c r="A195" s="121"/>
    </row>
    <row r="196">
      <c r="A196" s="121"/>
    </row>
    <row r="197">
      <c r="A197" s="121"/>
    </row>
    <row r="198">
      <c r="A198" s="121"/>
    </row>
    <row r="199">
      <c r="A199" s="121"/>
    </row>
    <row r="200">
      <c r="A200" s="121"/>
    </row>
    <row r="201">
      <c r="A201" s="121"/>
    </row>
    <row r="202">
      <c r="A202" s="121"/>
    </row>
    <row r="203">
      <c r="A203" s="121"/>
    </row>
    <row r="204">
      <c r="A204" s="121"/>
    </row>
    <row r="205">
      <c r="A205" s="121"/>
    </row>
    <row r="206">
      <c r="A206" s="121"/>
    </row>
    <row r="207">
      <c r="A207" s="121"/>
    </row>
    <row r="208">
      <c r="A208" s="121"/>
    </row>
    <row r="209">
      <c r="A209" s="121"/>
    </row>
    <row r="210">
      <c r="A210" s="121"/>
    </row>
    <row r="211">
      <c r="A211" s="121"/>
    </row>
    <row r="212">
      <c r="A212" s="121"/>
    </row>
    <row r="213">
      <c r="A213" s="121"/>
    </row>
    <row r="214">
      <c r="A214" s="121"/>
    </row>
    <row r="215">
      <c r="A215" s="121"/>
    </row>
    <row r="216">
      <c r="A216" s="121"/>
    </row>
    <row r="217">
      <c r="A217" s="121"/>
    </row>
    <row r="218">
      <c r="A218" s="121"/>
    </row>
    <row r="219">
      <c r="A219" s="121"/>
    </row>
    <row r="220">
      <c r="A220" s="121"/>
    </row>
    <row r="221">
      <c r="A221" s="121"/>
    </row>
    <row r="222">
      <c r="A222" s="121"/>
    </row>
    <row r="223">
      <c r="A223" s="121"/>
    </row>
    <row r="224">
      <c r="A224" s="121"/>
    </row>
    <row r="225">
      <c r="A225" s="121"/>
    </row>
    <row r="226">
      <c r="A226" s="121"/>
    </row>
    <row r="227">
      <c r="A227" s="121"/>
    </row>
    <row r="228">
      <c r="A228" s="121"/>
    </row>
    <row r="229">
      <c r="A229" s="121"/>
    </row>
    <row r="230">
      <c r="A230" s="121"/>
    </row>
    <row r="231">
      <c r="A231" s="121"/>
    </row>
    <row r="232">
      <c r="A232" s="121"/>
    </row>
    <row r="233">
      <c r="A233" s="121"/>
    </row>
    <row r="234">
      <c r="A234" s="121"/>
    </row>
    <row r="235">
      <c r="A235" s="121"/>
    </row>
    <row r="236">
      <c r="A236" s="121"/>
    </row>
    <row r="237">
      <c r="A237" s="121"/>
    </row>
    <row r="238">
      <c r="A238" s="121"/>
    </row>
    <row r="239">
      <c r="A239" s="121"/>
    </row>
    <row r="240">
      <c r="A240" s="121"/>
    </row>
    <row r="241">
      <c r="A241" s="121"/>
    </row>
    <row r="242">
      <c r="A242" s="121"/>
    </row>
    <row r="243">
      <c r="A243" s="121"/>
    </row>
    <row r="244">
      <c r="A244" s="121"/>
    </row>
    <row r="245">
      <c r="A245" s="121"/>
    </row>
    <row r="246">
      <c r="A246" s="121"/>
    </row>
    <row r="247">
      <c r="A247" s="121"/>
    </row>
    <row r="248">
      <c r="A248" s="121"/>
    </row>
    <row r="249">
      <c r="A249" s="121"/>
    </row>
    <row r="250">
      <c r="A250" s="121"/>
    </row>
    <row r="251">
      <c r="A251" s="121"/>
    </row>
    <row r="252">
      <c r="A252" s="121"/>
    </row>
    <row r="253">
      <c r="A253" s="121"/>
    </row>
    <row r="254">
      <c r="A254" s="121"/>
    </row>
    <row r="255">
      <c r="A255" s="121"/>
    </row>
    <row r="256">
      <c r="A256" s="121"/>
    </row>
    <row r="257">
      <c r="A257" s="121"/>
    </row>
    <row r="258">
      <c r="A258" s="121"/>
    </row>
    <row r="259">
      <c r="A259" s="121"/>
    </row>
    <row r="260">
      <c r="A260" s="121"/>
    </row>
    <row r="261">
      <c r="A261" s="121"/>
    </row>
    <row r="262">
      <c r="A262" s="121"/>
    </row>
    <row r="263">
      <c r="A263" s="121"/>
    </row>
    <row r="264">
      <c r="A264" s="121"/>
    </row>
    <row r="265">
      <c r="A265" s="121"/>
    </row>
    <row r="266">
      <c r="A266" s="121"/>
    </row>
    <row r="267">
      <c r="A267" s="121"/>
    </row>
    <row r="268">
      <c r="A268" s="121"/>
    </row>
    <row r="269">
      <c r="A269" s="121"/>
    </row>
    <row r="270">
      <c r="A270" s="121"/>
    </row>
    <row r="271">
      <c r="A271" s="121"/>
    </row>
    <row r="272">
      <c r="A272" s="121"/>
    </row>
    <row r="273">
      <c r="A273" s="121"/>
    </row>
    <row r="274">
      <c r="A274" s="121"/>
    </row>
    <row r="275">
      <c r="A275" s="121"/>
    </row>
    <row r="276">
      <c r="A276" s="121"/>
    </row>
    <row r="277">
      <c r="A277" s="121"/>
    </row>
    <row r="278">
      <c r="A278" s="121"/>
    </row>
    <row r="279">
      <c r="A279" s="121"/>
    </row>
    <row r="280">
      <c r="A280" s="121"/>
    </row>
    <row r="281">
      <c r="A281" s="121"/>
    </row>
    <row r="282">
      <c r="A282" s="121"/>
    </row>
    <row r="283">
      <c r="A283" s="121"/>
    </row>
    <row r="284">
      <c r="A284" s="121"/>
    </row>
    <row r="285">
      <c r="A285" s="121"/>
    </row>
    <row r="286">
      <c r="A286" s="121"/>
    </row>
    <row r="287">
      <c r="A287" s="121"/>
    </row>
    <row r="288">
      <c r="A288" s="121"/>
    </row>
    <row r="289">
      <c r="A289" s="121"/>
    </row>
    <row r="290">
      <c r="A290" s="121"/>
    </row>
    <row r="291">
      <c r="A291" s="121"/>
    </row>
    <row r="292">
      <c r="A292" s="121"/>
    </row>
    <row r="293">
      <c r="A293" s="121"/>
    </row>
    <row r="294">
      <c r="A294" s="121"/>
    </row>
    <row r="295">
      <c r="A295" s="121"/>
    </row>
    <row r="296">
      <c r="A296" s="121"/>
    </row>
    <row r="297">
      <c r="A297" s="121"/>
    </row>
    <row r="298">
      <c r="A298" s="121"/>
    </row>
    <row r="299">
      <c r="A299" s="121"/>
    </row>
    <row r="300">
      <c r="A300" s="121"/>
    </row>
    <row r="301">
      <c r="A301" s="121"/>
    </row>
    <row r="302">
      <c r="A302" s="121"/>
    </row>
    <row r="303">
      <c r="A303" s="121"/>
    </row>
    <row r="304">
      <c r="A304" s="121"/>
    </row>
    <row r="305">
      <c r="A305" s="121"/>
    </row>
    <row r="306">
      <c r="A306" s="121"/>
    </row>
    <row r="307">
      <c r="A307" s="121"/>
    </row>
    <row r="308">
      <c r="A308" s="121"/>
    </row>
    <row r="309">
      <c r="A309" s="121"/>
    </row>
    <row r="310">
      <c r="A310" s="121"/>
    </row>
    <row r="311">
      <c r="A311" s="121"/>
    </row>
    <row r="312">
      <c r="A312" s="121"/>
    </row>
    <row r="313">
      <c r="A313" s="121"/>
    </row>
    <row r="314">
      <c r="A314" s="121"/>
    </row>
    <row r="315">
      <c r="A315" s="121"/>
    </row>
    <row r="316">
      <c r="A316" s="121"/>
    </row>
    <row r="317">
      <c r="A317" s="121"/>
    </row>
    <row r="318">
      <c r="A318" s="121"/>
    </row>
    <row r="319">
      <c r="A319" s="121"/>
    </row>
    <row r="320">
      <c r="A320" s="121"/>
    </row>
    <row r="321">
      <c r="A321" s="121"/>
    </row>
    <row r="322">
      <c r="A322" s="121"/>
    </row>
    <row r="323">
      <c r="A323" s="121"/>
    </row>
    <row r="324">
      <c r="A324" s="121"/>
    </row>
    <row r="325">
      <c r="A325" s="121"/>
    </row>
    <row r="326">
      <c r="A326" s="121"/>
    </row>
    <row r="327">
      <c r="A327" s="121"/>
    </row>
    <row r="328">
      <c r="A328" s="121"/>
    </row>
    <row r="329">
      <c r="A329" s="121"/>
    </row>
    <row r="330">
      <c r="A330" s="121"/>
    </row>
    <row r="331">
      <c r="A331" s="121"/>
    </row>
    <row r="332">
      <c r="A332" s="121"/>
    </row>
    <row r="333">
      <c r="A333" s="121"/>
    </row>
    <row r="334">
      <c r="A334" s="121"/>
    </row>
    <row r="335">
      <c r="A335" s="121"/>
    </row>
    <row r="336">
      <c r="A336" s="121"/>
    </row>
    <row r="337">
      <c r="A337" s="121"/>
    </row>
    <row r="338">
      <c r="A338" s="121"/>
    </row>
    <row r="339">
      <c r="A339" s="121"/>
    </row>
    <row r="340">
      <c r="A340" s="121"/>
    </row>
    <row r="341">
      <c r="A341" s="121"/>
    </row>
    <row r="342">
      <c r="A342" s="121"/>
    </row>
    <row r="343">
      <c r="A343" s="121"/>
    </row>
    <row r="344">
      <c r="A344" s="121"/>
    </row>
    <row r="345">
      <c r="A345" s="121"/>
    </row>
    <row r="346">
      <c r="A346" s="121"/>
    </row>
    <row r="347">
      <c r="A347" s="121"/>
    </row>
    <row r="348">
      <c r="A348" s="121"/>
    </row>
    <row r="349">
      <c r="A349" s="121"/>
    </row>
    <row r="350">
      <c r="A350" s="121"/>
    </row>
    <row r="351">
      <c r="A351" s="121"/>
    </row>
    <row r="352">
      <c r="A352" s="121"/>
    </row>
    <row r="353">
      <c r="A353" s="121"/>
    </row>
    <row r="354">
      <c r="A354" s="121"/>
    </row>
    <row r="355">
      <c r="A355" s="121"/>
    </row>
    <row r="356">
      <c r="A356" s="121"/>
    </row>
    <row r="357">
      <c r="A357" s="121"/>
    </row>
    <row r="358">
      <c r="A358" s="121"/>
    </row>
    <row r="359">
      <c r="A359" s="121"/>
    </row>
    <row r="360">
      <c r="A360" s="121"/>
    </row>
    <row r="361">
      <c r="A361" s="121"/>
    </row>
    <row r="362">
      <c r="A362" s="121"/>
    </row>
    <row r="363">
      <c r="A363" s="121"/>
    </row>
    <row r="364">
      <c r="A364" s="121"/>
    </row>
    <row r="365">
      <c r="A365" s="121"/>
    </row>
    <row r="366">
      <c r="A366" s="121"/>
    </row>
    <row r="367">
      <c r="A367" s="121"/>
    </row>
    <row r="368">
      <c r="A368" s="121"/>
    </row>
    <row r="369">
      <c r="A369" s="121"/>
    </row>
    <row r="370">
      <c r="A370" s="121"/>
    </row>
    <row r="371">
      <c r="A371" s="121"/>
    </row>
    <row r="372">
      <c r="A372" s="121"/>
    </row>
    <row r="373">
      <c r="A373" s="121"/>
    </row>
    <row r="374">
      <c r="A374" s="121"/>
    </row>
    <row r="375">
      <c r="A375" s="121"/>
    </row>
    <row r="376">
      <c r="A376" s="121"/>
    </row>
    <row r="377">
      <c r="A377" s="121"/>
    </row>
    <row r="378">
      <c r="A378" s="121"/>
    </row>
    <row r="379">
      <c r="A379" s="121"/>
    </row>
    <row r="380">
      <c r="A380" s="121"/>
    </row>
    <row r="381">
      <c r="A381" s="121"/>
    </row>
    <row r="382">
      <c r="A382" s="121"/>
    </row>
    <row r="383">
      <c r="A383" s="121"/>
    </row>
    <row r="384">
      <c r="A384" s="121"/>
    </row>
    <row r="385">
      <c r="A385" s="121"/>
    </row>
    <row r="386">
      <c r="A386" s="121"/>
    </row>
    <row r="387">
      <c r="A387" s="121"/>
    </row>
    <row r="388">
      <c r="A388" s="121"/>
    </row>
    <row r="389">
      <c r="A389" s="121"/>
    </row>
    <row r="390">
      <c r="A390" s="121"/>
    </row>
    <row r="391">
      <c r="A391" s="121"/>
    </row>
    <row r="392">
      <c r="A392" s="121"/>
    </row>
    <row r="393">
      <c r="A393" s="121"/>
    </row>
    <row r="394">
      <c r="A394" s="121"/>
    </row>
    <row r="395">
      <c r="A395" s="121"/>
    </row>
    <row r="396">
      <c r="A396" s="121"/>
    </row>
    <row r="397">
      <c r="A397" s="121"/>
    </row>
    <row r="398">
      <c r="A398" s="121"/>
    </row>
    <row r="399">
      <c r="A399" s="121"/>
    </row>
    <row r="400">
      <c r="A400" s="121"/>
    </row>
    <row r="401">
      <c r="A401" s="121"/>
    </row>
    <row r="402">
      <c r="A402" s="121"/>
    </row>
    <row r="403">
      <c r="A403" s="121"/>
    </row>
    <row r="404">
      <c r="A404" s="121"/>
    </row>
    <row r="405">
      <c r="A405" s="121"/>
    </row>
    <row r="406">
      <c r="A406" s="121"/>
    </row>
    <row r="407">
      <c r="A407" s="121"/>
    </row>
    <row r="408">
      <c r="A408" s="121"/>
    </row>
    <row r="409">
      <c r="A409" s="121"/>
    </row>
    <row r="410">
      <c r="A410" s="121"/>
    </row>
    <row r="411">
      <c r="A411" s="121"/>
    </row>
    <row r="412">
      <c r="A412" s="121"/>
    </row>
    <row r="413">
      <c r="A413" s="121"/>
    </row>
    <row r="414">
      <c r="A414" s="121"/>
    </row>
    <row r="415">
      <c r="A415" s="121"/>
    </row>
    <row r="416">
      <c r="A416" s="121"/>
    </row>
    <row r="417">
      <c r="A417" s="121"/>
    </row>
    <row r="418">
      <c r="A418" s="121"/>
    </row>
    <row r="419">
      <c r="A419" s="121"/>
    </row>
    <row r="420">
      <c r="A420" s="121"/>
    </row>
    <row r="421">
      <c r="A421" s="121"/>
    </row>
    <row r="422">
      <c r="A422" s="121"/>
    </row>
    <row r="423">
      <c r="A423" s="121"/>
    </row>
    <row r="424">
      <c r="A424" s="121"/>
    </row>
    <row r="425">
      <c r="A425" s="121"/>
    </row>
    <row r="426">
      <c r="A426" s="121"/>
    </row>
    <row r="427">
      <c r="A427" s="121"/>
    </row>
    <row r="428">
      <c r="A428" s="121"/>
    </row>
    <row r="429">
      <c r="A429" s="121"/>
    </row>
    <row r="430">
      <c r="A430" s="121"/>
    </row>
    <row r="431">
      <c r="A431" s="121"/>
    </row>
    <row r="432">
      <c r="A432" s="121"/>
    </row>
    <row r="433">
      <c r="A433" s="121"/>
    </row>
    <row r="434">
      <c r="A434" s="121"/>
    </row>
    <row r="435">
      <c r="A435" s="121"/>
    </row>
    <row r="436">
      <c r="A436" s="121"/>
    </row>
    <row r="437">
      <c r="A437" s="121"/>
    </row>
    <row r="438">
      <c r="A438" s="121"/>
    </row>
    <row r="439">
      <c r="A439" s="121"/>
    </row>
    <row r="440">
      <c r="A440" s="121"/>
    </row>
    <row r="441">
      <c r="A441" s="121"/>
    </row>
    <row r="442">
      <c r="A442" s="121"/>
    </row>
    <row r="443">
      <c r="A443" s="121"/>
    </row>
    <row r="444">
      <c r="A444" s="121"/>
    </row>
    <row r="445">
      <c r="A445" s="121"/>
    </row>
    <row r="446">
      <c r="A446" s="121"/>
    </row>
    <row r="447">
      <c r="A447" s="121"/>
    </row>
    <row r="448">
      <c r="A448" s="121"/>
    </row>
    <row r="449">
      <c r="A449" s="121"/>
    </row>
    <row r="450">
      <c r="A450" s="121"/>
    </row>
    <row r="451">
      <c r="A451" s="121"/>
    </row>
    <row r="452">
      <c r="A452" s="121"/>
    </row>
    <row r="453">
      <c r="A453" s="121"/>
    </row>
    <row r="454">
      <c r="A454" s="121"/>
    </row>
    <row r="455">
      <c r="A455" s="121"/>
    </row>
    <row r="456">
      <c r="A456" s="121"/>
    </row>
    <row r="457">
      <c r="A457" s="121"/>
    </row>
    <row r="458">
      <c r="A458" s="121"/>
    </row>
    <row r="459">
      <c r="A459" s="121"/>
    </row>
    <row r="460">
      <c r="A460" s="121"/>
    </row>
    <row r="461">
      <c r="A461" s="121"/>
    </row>
    <row r="462">
      <c r="A462" s="121"/>
    </row>
    <row r="463">
      <c r="A463" s="121"/>
    </row>
    <row r="464">
      <c r="A464" s="121"/>
    </row>
    <row r="465">
      <c r="A465" s="121"/>
    </row>
    <row r="466">
      <c r="A466" s="121"/>
    </row>
    <row r="467">
      <c r="A467" s="121"/>
    </row>
    <row r="468">
      <c r="A468" s="121"/>
    </row>
    <row r="469">
      <c r="A469" s="121"/>
    </row>
    <row r="470">
      <c r="A470" s="121"/>
    </row>
    <row r="471">
      <c r="A471" s="121"/>
    </row>
    <row r="472">
      <c r="A472" s="121"/>
    </row>
    <row r="473">
      <c r="A473" s="121"/>
    </row>
    <row r="474">
      <c r="A474" s="121"/>
    </row>
    <row r="475">
      <c r="A475" s="121"/>
    </row>
    <row r="476">
      <c r="A476" s="121"/>
    </row>
    <row r="477">
      <c r="A477" s="121"/>
    </row>
    <row r="478">
      <c r="A478" s="121"/>
    </row>
    <row r="479">
      <c r="A479" s="121"/>
    </row>
    <row r="480">
      <c r="A480" s="121"/>
    </row>
    <row r="481">
      <c r="A481" s="121"/>
    </row>
    <row r="482">
      <c r="A482" s="121"/>
    </row>
    <row r="483">
      <c r="A483" s="121"/>
    </row>
    <row r="484">
      <c r="A484" s="121"/>
    </row>
    <row r="485">
      <c r="A485" s="121"/>
    </row>
    <row r="486">
      <c r="A486" s="121"/>
    </row>
    <row r="487">
      <c r="A487" s="121"/>
    </row>
    <row r="488">
      <c r="A488" s="121"/>
    </row>
    <row r="489">
      <c r="A489" s="121"/>
    </row>
    <row r="490">
      <c r="A490" s="121"/>
    </row>
    <row r="491">
      <c r="A491" s="121"/>
    </row>
    <row r="492">
      <c r="A492" s="121"/>
    </row>
    <row r="493">
      <c r="A493" s="121"/>
    </row>
    <row r="494">
      <c r="A494" s="121"/>
    </row>
    <row r="495">
      <c r="A495" s="121"/>
    </row>
    <row r="496">
      <c r="A496" s="121"/>
    </row>
    <row r="497">
      <c r="A497" s="121"/>
    </row>
    <row r="498">
      <c r="A498" s="121"/>
    </row>
    <row r="499">
      <c r="A499" s="121"/>
    </row>
    <row r="500">
      <c r="A500" s="121"/>
    </row>
    <row r="501">
      <c r="A501" s="121"/>
    </row>
    <row r="502">
      <c r="A502" s="121"/>
    </row>
    <row r="503">
      <c r="A503" s="121"/>
    </row>
    <row r="504">
      <c r="A504" s="121"/>
    </row>
    <row r="505">
      <c r="A505" s="121"/>
    </row>
    <row r="506">
      <c r="A506" s="121"/>
    </row>
    <row r="507">
      <c r="A507" s="121"/>
    </row>
    <row r="508">
      <c r="A508" s="121"/>
    </row>
    <row r="509">
      <c r="A509" s="121"/>
    </row>
    <row r="510">
      <c r="A510" s="121"/>
    </row>
    <row r="511">
      <c r="A511" s="121"/>
    </row>
    <row r="512">
      <c r="A512" s="121"/>
    </row>
    <row r="513">
      <c r="A513" s="121"/>
    </row>
    <row r="514">
      <c r="A514" s="121"/>
    </row>
    <row r="515">
      <c r="A515" s="121"/>
    </row>
    <row r="516">
      <c r="A516" s="121"/>
    </row>
    <row r="517">
      <c r="A517" s="121"/>
    </row>
    <row r="518">
      <c r="A518" s="121"/>
    </row>
    <row r="519">
      <c r="A519" s="121"/>
    </row>
    <row r="520">
      <c r="A520" s="121"/>
    </row>
    <row r="521">
      <c r="A521" s="121"/>
    </row>
    <row r="522">
      <c r="A522" s="121"/>
    </row>
    <row r="523">
      <c r="A523" s="121"/>
    </row>
    <row r="524">
      <c r="A524" s="121"/>
    </row>
    <row r="525">
      <c r="A525" s="121"/>
    </row>
    <row r="526">
      <c r="A526" s="121"/>
    </row>
    <row r="527">
      <c r="A527" s="121"/>
    </row>
    <row r="528">
      <c r="A528" s="121"/>
    </row>
    <row r="529">
      <c r="A529" s="121"/>
    </row>
    <row r="530">
      <c r="A530" s="121"/>
    </row>
    <row r="531">
      <c r="A531" s="121"/>
    </row>
    <row r="532">
      <c r="A532" s="121"/>
    </row>
    <row r="533">
      <c r="A533" s="121"/>
    </row>
    <row r="534">
      <c r="A534" s="121"/>
    </row>
    <row r="535">
      <c r="A535" s="121"/>
    </row>
    <row r="536">
      <c r="A536" s="121"/>
    </row>
    <row r="537">
      <c r="A537" s="121"/>
    </row>
    <row r="538">
      <c r="A538" s="121"/>
    </row>
    <row r="539">
      <c r="A539" s="121"/>
    </row>
    <row r="540">
      <c r="A540" s="121"/>
    </row>
    <row r="541">
      <c r="A541" s="121"/>
    </row>
    <row r="542">
      <c r="A542" s="121"/>
    </row>
    <row r="543">
      <c r="A543" s="121"/>
    </row>
    <row r="544">
      <c r="A544" s="121"/>
    </row>
    <row r="545">
      <c r="A545" s="121"/>
    </row>
    <row r="546">
      <c r="A546" s="121"/>
    </row>
    <row r="547">
      <c r="A547" s="121"/>
    </row>
    <row r="548">
      <c r="A548" s="121"/>
    </row>
    <row r="549">
      <c r="A549" s="121"/>
    </row>
    <row r="550">
      <c r="A550" s="121"/>
    </row>
    <row r="551">
      <c r="A551" s="121"/>
    </row>
    <row r="552">
      <c r="A552" s="121"/>
    </row>
    <row r="553">
      <c r="A553" s="121"/>
    </row>
    <row r="554">
      <c r="A554" s="121"/>
    </row>
    <row r="555">
      <c r="A555" s="121"/>
    </row>
    <row r="556">
      <c r="A556" s="121"/>
    </row>
    <row r="557">
      <c r="A557" s="121"/>
    </row>
    <row r="558">
      <c r="A558" s="121"/>
    </row>
    <row r="559">
      <c r="A559" s="121"/>
    </row>
    <row r="560">
      <c r="A560" s="121"/>
    </row>
    <row r="561">
      <c r="A561" s="121"/>
    </row>
    <row r="562">
      <c r="A562" s="121"/>
    </row>
    <row r="563">
      <c r="A563" s="121"/>
    </row>
    <row r="564">
      <c r="A564" s="121"/>
    </row>
    <row r="565">
      <c r="A565" s="121"/>
    </row>
    <row r="566">
      <c r="A566" s="121"/>
    </row>
    <row r="567">
      <c r="A567" s="121"/>
    </row>
    <row r="568">
      <c r="A568" s="121"/>
    </row>
    <row r="569">
      <c r="A569" s="121"/>
    </row>
    <row r="570">
      <c r="A570" s="121"/>
    </row>
    <row r="571">
      <c r="A571" s="121"/>
    </row>
    <row r="572">
      <c r="A572" s="121"/>
    </row>
    <row r="573">
      <c r="A573" s="121"/>
    </row>
    <row r="574">
      <c r="A574" s="121"/>
    </row>
    <row r="575">
      <c r="A575" s="121"/>
    </row>
    <row r="576">
      <c r="A576" s="121"/>
    </row>
    <row r="577">
      <c r="A577" s="121"/>
    </row>
    <row r="578">
      <c r="A578" s="121"/>
    </row>
    <row r="579">
      <c r="A579" s="121"/>
    </row>
    <row r="580">
      <c r="A580" s="121"/>
    </row>
    <row r="581">
      <c r="A581" s="121"/>
    </row>
    <row r="582">
      <c r="A582" s="121"/>
    </row>
    <row r="583">
      <c r="A583" s="121"/>
    </row>
    <row r="584">
      <c r="A584" s="121"/>
    </row>
    <row r="585">
      <c r="A585" s="121"/>
    </row>
    <row r="586">
      <c r="A586" s="121"/>
    </row>
    <row r="587">
      <c r="A587" s="121"/>
    </row>
    <row r="588">
      <c r="A588" s="121"/>
    </row>
    <row r="589">
      <c r="A589" s="121"/>
    </row>
    <row r="590">
      <c r="A590" s="121"/>
    </row>
    <row r="591">
      <c r="A591" s="121"/>
    </row>
    <row r="592">
      <c r="A592" s="121"/>
    </row>
    <row r="593">
      <c r="A593" s="121"/>
    </row>
    <row r="594">
      <c r="A594" s="121"/>
    </row>
    <row r="595">
      <c r="A595" s="121"/>
    </row>
    <row r="596">
      <c r="A596" s="121"/>
    </row>
    <row r="597">
      <c r="A597" s="121"/>
    </row>
    <row r="598">
      <c r="A598" s="121"/>
    </row>
    <row r="599">
      <c r="A599" s="121"/>
    </row>
    <row r="600">
      <c r="A600" s="121"/>
    </row>
    <row r="601">
      <c r="A601" s="121"/>
    </row>
    <row r="602">
      <c r="A602" s="121"/>
    </row>
    <row r="603">
      <c r="A603" s="121"/>
    </row>
    <row r="604">
      <c r="A604" s="121"/>
    </row>
    <row r="605">
      <c r="A605" s="121"/>
    </row>
    <row r="606">
      <c r="A606" s="121"/>
    </row>
    <row r="607">
      <c r="A607" s="121"/>
    </row>
    <row r="608">
      <c r="A608" s="121"/>
    </row>
    <row r="609">
      <c r="A609" s="121"/>
    </row>
    <row r="610">
      <c r="A610" s="121"/>
    </row>
    <row r="611">
      <c r="A611" s="121"/>
    </row>
    <row r="612">
      <c r="A612" s="121"/>
    </row>
    <row r="613">
      <c r="A613" s="121"/>
    </row>
    <row r="614">
      <c r="A614" s="121"/>
    </row>
    <row r="615">
      <c r="A615" s="121"/>
    </row>
    <row r="616">
      <c r="A616" s="121"/>
    </row>
    <row r="617">
      <c r="A617" s="121"/>
    </row>
    <row r="618">
      <c r="A618" s="121"/>
    </row>
    <row r="619">
      <c r="A619" s="121"/>
    </row>
    <row r="620">
      <c r="A620" s="121"/>
    </row>
    <row r="621">
      <c r="A621" s="121"/>
    </row>
    <row r="622">
      <c r="A622" s="121"/>
    </row>
    <row r="623">
      <c r="A623" s="121"/>
    </row>
    <row r="624">
      <c r="A624" s="121"/>
    </row>
    <row r="625">
      <c r="A625" s="121"/>
    </row>
    <row r="626">
      <c r="A626" s="121"/>
    </row>
    <row r="627">
      <c r="A627" s="121"/>
    </row>
    <row r="628">
      <c r="A628" s="121"/>
    </row>
    <row r="629">
      <c r="A629" s="121"/>
    </row>
    <row r="630">
      <c r="A630" s="121"/>
    </row>
    <row r="631">
      <c r="A631" s="121"/>
    </row>
    <row r="632">
      <c r="A632" s="121"/>
    </row>
    <row r="633">
      <c r="A633" s="121"/>
    </row>
    <row r="634">
      <c r="A634" s="121"/>
    </row>
    <row r="635">
      <c r="A635" s="121"/>
    </row>
    <row r="636">
      <c r="A636" s="121"/>
    </row>
    <row r="637">
      <c r="A637" s="121"/>
    </row>
    <row r="638">
      <c r="A638" s="121"/>
    </row>
    <row r="639">
      <c r="A639" s="121"/>
    </row>
    <row r="640">
      <c r="A640" s="121"/>
    </row>
    <row r="641">
      <c r="A641" s="121"/>
    </row>
    <row r="642">
      <c r="A642" s="121"/>
    </row>
    <row r="643">
      <c r="A643" s="121"/>
    </row>
    <row r="644">
      <c r="A644" s="121"/>
    </row>
    <row r="645">
      <c r="A645" s="121"/>
    </row>
    <row r="646">
      <c r="A646" s="121"/>
    </row>
    <row r="647">
      <c r="A647" s="121"/>
    </row>
    <row r="648">
      <c r="A648" s="121"/>
    </row>
    <row r="649">
      <c r="A649" s="121"/>
    </row>
    <row r="650">
      <c r="A650" s="121"/>
    </row>
    <row r="651">
      <c r="A651" s="121"/>
    </row>
    <row r="652">
      <c r="A652" s="121"/>
    </row>
    <row r="653">
      <c r="A653" s="121"/>
    </row>
    <row r="654">
      <c r="A654" s="121"/>
    </row>
    <row r="655">
      <c r="A655" s="121"/>
    </row>
    <row r="656">
      <c r="A656" s="121"/>
    </row>
    <row r="657">
      <c r="A657" s="121"/>
    </row>
    <row r="658">
      <c r="A658" s="121"/>
    </row>
    <row r="659">
      <c r="A659" s="121"/>
    </row>
    <row r="660">
      <c r="A660" s="121"/>
    </row>
    <row r="661">
      <c r="A661" s="121"/>
    </row>
    <row r="662">
      <c r="A662" s="121"/>
    </row>
    <row r="663">
      <c r="A663" s="121"/>
    </row>
    <row r="664">
      <c r="A664" s="121"/>
    </row>
    <row r="665">
      <c r="A665" s="121"/>
    </row>
    <row r="666">
      <c r="A666" s="121"/>
    </row>
    <row r="667">
      <c r="A667" s="121"/>
    </row>
    <row r="668">
      <c r="A668" s="121"/>
    </row>
    <row r="669">
      <c r="A669" s="121"/>
    </row>
    <row r="670">
      <c r="A670" s="121"/>
    </row>
    <row r="671">
      <c r="A671" s="121"/>
    </row>
    <row r="672">
      <c r="A672" s="121"/>
    </row>
    <row r="673">
      <c r="A673" s="121"/>
    </row>
    <row r="674">
      <c r="A674" s="121"/>
    </row>
    <row r="675">
      <c r="A675" s="121"/>
    </row>
    <row r="676">
      <c r="A676" s="121"/>
    </row>
    <row r="677">
      <c r="A677" s="121"/>
    </row>
    <row r="678">
      <c r="A678" s="121"/>
    </row>
    <row r="679">
      <c r="A679" s="121"/>
    </row>
    <row r="680">
      <c r="A680" s="121"/>
    </row>
    <row r="681">
      <c r="A681" s="121"/>
    </row>
    <row r="682">
      <c r="A682" s="121"/>
    </row>
    <row r="683">
      <c r="A683" s="121"/>
    </row>
    <row r="684">
      <c r="A684" s="121"/>
    </row>
    <row r="685">
      <c r="A685" s="121"/>
    </row>
    <row r="686">
      <c r="A686" s="121"/>
    </row>
    <row r="687">
      <c r="A687" s="121"/>
    </row>
    <row r="688">
      <c r="A688" s="121"/>
    </row>
    <row r="689">
      <c r="A689" s="121"/>
    </row>
    <row r="690">
      <c r="A690" s="121"/>
    </row>
    <row r="691">
      <c r="A691" s="121"/>
    </row>
    <row r="692">
      <c r="A692" s="121"/>
    </row>
    <row r="693">
      <c r="A693" s="121"/>
    </row>
    <row r="694">
      <c r="A694" s="121"/>
    </row>
    <row r="695">
      <c r="A695" s="121"/>
    </row>
    <row r="696">
      <c r="A696" s="121"/>
    </row>
    <row r="697">
      <c r="A697" s="121"/>
    </row>
    <row r="698">
      <c r="A698" s="121"/>
    </row>
    <row r="699">
      <c r="A699" s="121"/>
    </row>
    <row r="700">
      <c r="A700" s="121"/>
    </row>
    <row r="701">
      <c r="A701" s="121"/>
    </row>
    <row r="702">
      <c r="A702" s="121"/>
    </row>
    <row r="703">
      <c r="A703" s="121"/>
    </row>
    <row r="704">
      <c r="A704" s="121"/>
    </row>
    <row r="705">
      <c r="A705" s="121"/>
    </row>
    <row r="706">
      <c r="A706" s="121"/>
    </row>
    <row r="707">
      <c r="A707" s="121"/>
    </row>
    <row r="708">
      <c r="A708" s="121"/>
    </row>
    <row r="709">
      <c r="A709" s="121"/>
    </row>
    <row r="710">
      <c r="A710" s="121"/>
    </row>
    <row r="711">
      <c r="A711" s="121"/>
    </row>
    <row r="712">
      <c r="A712" s="121"/>
    </row>
    <row r="713">
      <c r="A713" s="121"/>
    </row>
    <row r="714">
      <c r="A714" s="121"/>
    </row>
    <row r="715">
      <c r="A715" s="121"/>
    </row>
    <row r="716">
      <c r="A716" s="121"/>
    </row>
    <row r="717">
      <c r="A717" s="121"/>
    </row>
    <row r="718">
      <c r="A718" s="121"/>
    </row>
    <row r="719">
      <c r="A719" s="121"/>
    </row>
    <row r="720">
      <c r="A720" s="121"/>
    </row>
    <row r="721">
      <c r="A721" s="121"/>
    </row>
    <row r="722">
      <c r="A722" s="121"/>
    </row>
    <row r="723">
      <c r="A723" s="121"/>
    </row>
    <row r="724">
      <c r="A724" s="121"/>
    </row>
    <row r="725">
      <c r="A725" s="121"/>
    </row>
    <row r="726">
      <c r="A726" s="121"/>
    </row>
    <row r="727">
      <c r="A727" s="121"/>
    </row>
    <row r="728">
      <c r="A728" s="121"/>
    </row>
    <row r="729">
      <c r="A729" s="121"/>
    </row>
    <row r="730">
      <c r="A730" s="121"/>
    </row>
    <row r="731">
      <c r="A731" s="121"/>
    </row>
    <row r="732">
      <c r="A732" s="121"/>
    </row>
    <row r="733">
      <c r="A733" s="121"/>
    </row>
    <row r="734">
      <c r="A734" s="121"/>
    </row>
    <row r="735">
      <c r="A735" s="121"/>
    </row>
    <row r="736">
      <c r="A736" s="121"/>
    </row>
    <row r="737">
      <c r="A737" s="121"/>
    </row>
    <row r="738">
      <c r="A738" s="121"/>
    </row>
    <row r="739">
      <c r="A739" s="121"/>
    </row>
    <row r="740">
      <c r="A740" s="121"/>
    </row>
    <row r="741">
      <c r="A741" s="121"/>
    </row>
    <row r="742">
      <c r="A742" s="121"/>
    </row>
    <row r="743">
      <c r="A743" s="121"/>
    </row>
    <row r="744">
      <c r="A744" s="121"/>
    </row>
    <row r="745">
      <c r="A745" s="121"/>
    </row>
    <row r="746">
      <c r="A746" s="121"/>
    </row>
    <row r="747">
      <c r="A747" s="121"/>
    </row>
    <row r="748">
      <c r="A748" s="121"/>
    </row>
    <row r="749">
      <c r="A749" s="121"/>
    </row>
    <row r="750">
      <c r="A750" s="121"/>
    </row>
    <row r="751">
      <c r="A751" s="121"/>
    </row>
    <row r="752">
      <c r="A752" s="121"/>
    </row>
    <row r="753">
      <c r="A753" s="121"/>
    </row>
    <row r="754">
      <c r="A754" s="121"/>
    </row>
    <row r="755">
      <c r="A755" s="121"/>
    </row>
    <row r="756">
      <c r="A756" s="121"/>
    </row>
    <row r="757">
      <c r="A757" s="121"/>
    </row>
    <row r="758">
      <c r="A758" s="121"/>
    </row>
    <row r="759">
      <c r="A759" s="121"/>
    </row>
    <row r="760">
      <c r="A760" s="121"/>
    </row>
    <row r="761">
      <c r="A761" s="121"/>
    </row>
    <row r="762">
      <c r="A762" s="121"/>
    </row>
    <row r="763">
      <c r="A763" s="121"/>
    </row>
    <row r="764">
      <c r="A764" s="121"/>
    </row>
    <row r="765">
      <c r="A765" s="121"/>
    </row>
    <row r="766">
      <c r="A766" s="121"/>
    </row>
    <row r="767">
      <c r="A767" s="121"/>
    </row>
    <row r="768">
      <c r="A768" s="121"/>
    </row>
    <row r="769">
      <c r="A769" s="121"/>
    </row>
    <row r="770">
      <c r="A770" s="121"/>
    </row>
    <row r="771">
      <c r="A771" s="121"/>
    </row>
    <row r="772">
      <c r="A772" s="121"/>
    </row>
    <row r="773">
      <c r="A773" s="121"/>
    </row>
    <row r="774">
      <c r="A774" s="121"/>
    </row>
    <row r="775">
      <c r="A775" s="121"/>
    </row>
    <row r="776">
      <c r="A776" s="121"/>
    </row>
    <row r="777">
      <c r="A777" s="121"/>
    </row>
    <row r="778">
      <c r="A778" s="121"/>
    </row>
    <row r="779">
      <c r="A779" s="121"/>
    </row>
    <row r="780">
      <c r="A780" s="121"/>
    </row>
    <row r="781">
      <c r="A781" s="121"/>
    </row>
    <row r="782">
      <c r="A782" s="121"/>
    </row>
    <row r="783">
      <c r="A783" s="121"/>
    </row>
    <row r="784">
      <c r="A784" s="121"/>
    </row>
    <row r="785">
      <c r="A785" s="121"/>
    </row>
    <row r="786">
      <c r="A786" s="121"/>
    </row>
    <row r="787">
      <c r="A787" s="121"/>
    </row>
    <row r="788">
      <c r="A788" s="121"/>
    </row>
    <row r="789">
      <c r="A789" s="121"/>
    </row>
    <row r="790">
      <c r="A790" s="121"/>
    </row>
    <row r="791">
      <c r="A791" s="121"/>
    </row>
    <row r="792">
      <c r="A792" s="121"/>
    </row>
    <row r="793">
      <c r="A793" s="121"/>
    </row>
    <row r="794">
      <c r="A794" s="121"/>
    </row>
    <row r="795">
      <c r="A795" s="121"/>
    </row>
    <row r="796">
      <c r="A796" s="121"/>
    </row>
    <row r="797">
      <c r="A797" s="121"/>
    </row>
    <row r="798">
      <c r="A798" s="121"/>
    </row>
    <row r="799">
      <c r="A799" s="121"/>
    </row>
    <row r="800">
      <c r="A800" s="121"/>
    </row>
    <row r="801">
      <c r="A801" s="121"/>
    </row>
    <row r="802">
      <c r="A802" s="121"/>
    </row>
    <row r="803">
      <c r="A803" s="121"/>
    </row>
    <row r="804">
      <c r="A804" s="121"/>
    </row>
    <row r="805">
      <c r="A805" s="121"/>
    </row>
    <row r="806">
      <c r="A806" s="121"/>
    </row>
    <row r="807">
      <c r="A807" s="121"/>
    </row>
    <row r="808">
      <c r="A808" s="121"/>
    </row>
    <row r="809">
      <c r="A809" s="121"/>
    </row>
    <row r="810">
      <c r="A810" s="121"/>
    </row>
    <row r="811">
      <c r="A811" s="121"/>
    </row>
    <row r="812">
      <c r="A812" s="121"/>
    </row>
    <row r="813">
      <c r="A813" s="121"/>
    </row>
    <row r="814">
      <c r="A814" s="121"/>
    </row>
    <row r="815">
      <c r="A815" s="121"/>
    </row>
    <row r="816">
      <c r="A816" s="121"/>
    </row>
    <row r="817">
      <c r="A817" s="121"/>
    </row>
    <row r="818">
      <c r="A818" s="121"/>
    </row>
    <row r="819">
      <c r="A819" s="121"/>
    </row>
    <row r="820">
      <c r="A820" s="121"/>
    </row>
    <row r="821">
      <c r="A821" s="121"/>
    </row>
    <row r="822">
      <c r="A822" s="121"/>
    </row>
    <row r="823">
      <c r="A823" s="121"/>
    </row>
    <row r="824">
      <c r="A824" s="121"/>
    </row>
    <row r="825">
      <c r="A825" s="121"/>
    </row>
    <row r="826">
      <c r="A826" s="121"/>
    </row>
    <row r="827">
      <c r="A827" s="121"/>
    </row>
    <row r="828">
      <c r="A828" s="121"/>
    </row>
    <row r="829">
      <c r="A829" s="121"/>
    </row>
    <row r="830">
      <c r="A830" s="121"/>
    </row>
    <row r="831">
      <c r="A831" s="121"/>
    </row>
    <row r="832">
      <c r="A832" s="121"/>
    </row>
    <row r="833">
      <c r="A833" s="121"/>
    </row>
    <row r="834">
      <c r="A834" s="121"/>
    </row>
    <row r="835">
      <c r="A835" s="121"/>
    </row>
    <row r="836">
      <c r="A836" s="121"/>
    </row>
    <row r="837">
      <c r="A837" s="121"/>
    </row>
    <row r="838">
      <c r="A838" s="121"/>
    </row>
    <row r="839">
      <c r="A839" s="121"/>
    </row>
    <row r="840">
      <c r="A840" s="121"/>
    </row>
    <row r="841">
      <c r="A841" s="121"/>
    </row>
    <row r="842">
      <c r="A842" s="121"/>
    </row>
    <row r="843">
      <c r="A843" s="121"/>
    </row>
    <row r="844">
      <c r="A844" s="121"/>
    </row>
    <row r="845">
      <c r="A845" s="121"/>
    </row>
    <row r="846">
      <c r="A846" s="121"/>
    </row>
    <row r="847">
      <c r="A847" s="121"/>
    </row>
    <row r="848">
      <c r="A848" s="121"/>
    </row>
    <row r="849">
      <c r="A849" s="121"/>
    </row>
    <row r="850">
      <c r="A850" s="121"/>
    </row>
    <row r="851">
      <c r="A851" s="121"/>
    </row>
    <row r="852">
      <c r="A852" s="121"/>
    </row>
    <row r="853">
      <c r="A853" s="121"/>
    </row>
    <row r="854">
      <c r="A854" s="121"/>
    </row>
    <row r="855">
      <c r="A855" s="121"/>
    </row>
    <row r="856">
      <c r="A856" s="121"/>
    </row>
    <row r="857">
      <c r="A857" s="121"/>
    </row>
    <row r="858">
      <c r="A858" s="121"/>
    </row>
    <row r="859">
      <c r="A859" s="121"/>
    </row>
    <row r="860">
      <c r="A860" s="121"/>
    </row>
    <row r="861">
      <c r="A861" s="121"/>
    </row>
    <row r="862">
      <c r="A862" s="121"/>
    </row>
    <row r="863">
      <c r="A863" s="121"/>
    </row>
    <row r="864">
      <c r="A864" s="121"/>
    </row>
    <row r="865">
      <c r="A865" s="121"/>
    </row>
    <row r="866">
      <c r="A866" s="121"/>
    </row>
    <row r="867">
      <c r="A867" s="121"/>
    </row>
    <row r="868">
      <c r="A868" s="121"/>
    </row>
    <row r="869">
      <c r="A869" s="121"/>
    </row>
    <row r="870">
      <c r="A870" s="121"/>
    </row>
    <row r="871">
      <c r="A871" s="121"/>
    </row>
    <row r="872">
      <c r="A872" s="121"/>
    </row>
    <row r="873">
      <c r="A873" s="121"/>
    </row>
    <row r="874">
      <c r="A874" s="121"/>
    </row>
    <row r="875">
      <c r="A875" s="121"/>
    </row>
    <row r="876">
      <c r="A876" s="121"/>
    </row>
    <row r="877">
      <c r="A877" s="121"/>
    </row>
    <row r="878">
      <c r="A878" s="121"/>
    </row>
    <row r="879">
      <c r="A879" s="121"/>
    </row>
    <row r="880">
      <c r="A880" s="121"/>
    </row>
    <row r="881">
      <c r="A881" s="121"/>
    </row>
    <row r="882">
      <c r="A882" s="121"/>
    </row>
    <row r="883">
      <c r="A883" s="121"/>
    </row>
    <row r="884">
      <c r="A884" s="121"/>
    </row>
    <row r="885">
      <c r="A885" s="121"/>
    </row>
    <row r="886">
      <c r="A886" s="121"/>
    </row>
    <row r="887">
      <c r="A887" s="121"/>
    </row>
    <row r="888">
      <c r="A888" s="121"/>
    </row>
    <row r="889">
      <c r="A889" s="121"/>
    </row>
    <row r="890">
      <c r="A890" s="121"/>
    </row>
    <row r="891">
      <c r="A891" s="121"/>
    </row>
    <row r="892">
      <c r="A892" s="121"/>
    </row>
    <row r="893">
      <c r="A893" s="121"/>
    </row>
    <row r="894">
      <c r="A894" s="121"/>
    </row>
    <row r="895">
      <c r="A895" s="121"/>
    </row>
    <row r="896">
      <c r="A896" s="121"/>
    </row>
    <row r="897">
      <c r="A897" s="121"/>
    </row>
    <row r="898">
      <c r="A898" s="121"/>
    </row>
    <row r="899">
      <c r="A899" s="121"/>
    </row>
    <row r="900">
      <c r="A900" s="121"/>
    </row>
    <row r="901">
      <c r="A901" s="121"/>
    </row>
    <row r="902">
      <c r="A902" s="121"/>
    </row>
    <row r="903">
      <c r="A903" s="121"/>
    </row>
    <row r="904">
      <c r="A904" s="121"/>
    </row>
    <row r="905">
      <c r="A905" s="121"/>
    </row>
    <row r="906">
      <c r="A906" s="121"/>
    </row>
    <row r="907">
      <c r="A907" s="121"/>
    </row>
    <row r="908">
      <c r="A908" s="121"/>
    </row>
    <row r="909">
      <c r="A909" s="121"/>
    </row>
    <row r="910">
      <c r="A910" s="121"/>
    </row>
    <row r="911">
      <c r="A911" s="121"/>
    </row>
    <row r="912">
      <c r="A912" s="121"/>
    </row>
    <row r="913">
      <c r="A913" s="121"/>
    </row>
    <row r="914">
      <c r="A914" s="121"/>
    </row>
    <row r="915">
      <c r="A915" s="121"/>
    </row>
    <row r="916">
      <c r="A916" s="121"/>
    </row>
    <row r="917">
      <c r="A917" s="121"/>
    </row>
    <row r="918">
      <c r="A918" s="121"/>
    </row>
    <row r="919">
      <c r="A919" s="121"/>
    </row>
    <row r="920">
      <c r="A920" s="121"/>
    </row>
    <row r="921">
      <c r="A921" s="121"/>
    </row>
    <row r="922">
      <c r="A922" s="121"/>
    </row>
    <row r="923">
      <c r="A923" s="121"/>
    </row>
    <row r="924">
      <c r="A924" s="121"/>
    </row>
    <row r="925">
      <c r="A925" s="121"/>
    </row>
    <row r="926">
      <c r="A926" s="121"/>
    </row>
    <row r="927">
      <c r="A927" s="121"/>
    </row>
    <row r="928">
      <c r="A928" s="121"/>
    </row>
    <row r="929">
      <c r="A929" s="121"/>
    </row>
    <row r="930">
      <c r="A930" s="121"/>
    </row>
    <row r="931">
      <c r="A931" s="121"/>
    </row>
    <row r="932">
      <c r="A932" s="121"/>
    </row>
    <row r="933">
      <c r="A933" s="121"/>
    </row>
    <row r="934">
      <c r="A934" s="121"/>
    </row>
    <row r="935">
      <c r="A935" s="121"/>
    </row>
    <row r="936">
      <c r="A936" s="121"/>
    </row>
    <row r="937">
      <c r="A937" s="121"/>
    </row>
    <row r="938">
      <c r="A938" s="121"/>
    </row>
    <row r="939">
      <c r="A939" s="121"/>
    </row>
    <row r="940">
      <c r="A940" s="121"/>
    </row>
    <row r="941">
      <c r="A941" s="121"/>
    </row>
    <row r="942">
      <c r="A942" s="121"/>
    </row>
    <row r="943">
      <c r="A943" s="121"/>
    </row>
    <row r="944">
      <c r="A944" s="121"/>
    </row>
    <row r="945">
      <c r="A945" s="121"/>
    </row>
    <row r="946">
      <c r="A946" s="121"/>
    </row>
    <row r="947">
      <c r="A947" s="121"/>
    </row>
    <row r="948">
      <c r="A948" s="121"/>
    </row>
    <row r="949">
      <c r="A949" s="121"/>
    </row>
    <row r="950">
      <c r="A950" s="121"/>
    </row>
    <row r="951">
      <c r="A951" s="121"/>
    </row>
    <row r="952">
      <c r="A952" s="121"/>
    </row>
    <row r="953">
      <c r="A953" s="121"/>
    </row>
    <row r="954">
      <c r="A954" s="121"/>
    </row>
    <row r="955">
      <c r="A955" s="121"/>
    </row>
    <row r="956">
      <c r="A956" s="121"/>
    </row>
    <row r="957">
      <c r="A957" s="121"/>
    </row>
    <row r="958">
      <c r="A958" s="121"/>
    </row>
    <row r="959">
      <c r="A959" s="121"/>
    </row>
    <row r="960">
      <c r="A960" s="121"/>
    </row>
    <row r="961">
      <c r="A961" s="121"/>
    </row>
    <row r="962">
      <c r="A962" s="121"/>
    </row>
    <row r="963">
      <c r="A963" s="121"/>
    </row>
    <row r="964">
      <c r="A964" s="121"/>
    </row>
    <row r="965">
      <c r="A965" s="121"/>
    </row>
    <row r="966">
      <c r="A966" s="121"/>
    </row>
    <row r="967">
      <c r="A967" s="121"/>
    </row>
    <row r="968">
      <c r="A968" s="121"/>
    </row>
    <row r="969">
      <c r="A969" s="121"/>
    </row>
    <row r="970">
      <c r="A970" s="121"/>
    </row>
    <row r="971">
      <c r="A971" s="121"/>
    </row>
    <row r="972">
      <c r="A972" s="121"/>
    </row>
    <row r="973">
      <c r="A973" s="121"/>
    </row>
    <row r="974">
      <c r="A974" s="121"/>
    </row>
    <row r="975">
      <c r="A975" s="121"/>
    </row>
    <row r="976">
      <c r="A976" s="121"/>
    </row>
    <row r="977">
      <c r="A977" s="121"/>
    </row>
    <row r="978">
      <c r="A978" s="121"/>
    </row>
    <row r="979">
      <c r="A979" s="121"/>
    </row>
    <row r="980">
      <c r="A980" s="121"/>
    </row>
    <row r="981">
      <c r="A981" s="121"/>
    </row>
    <row r="982">
      <c r="A982" s="121"/>
    </row>
    <row r="983">
      <c r="A983" s="121"/>
    </row>
    <row r="984">
      <c r="A984" s="121"/>
    </row>
    <row r="985">
      <c r="A985" s="121"/>
    </row>
    <row r="986">
      <c r="A986" s="121"/>
    </row>
    <row r="987">
      <c r="A987" s="121"/>
    </row>
    <row r="988">
      <c r="A988" s="121"/>
    </row>
    <row r="989">
      <c r="A989" s="121"/>
    </row>
    <row r="990">
      <c r="A990" s="121"/>
    </row>
    <row r="991">
      <c r="A991" s="121"/>
    </row>
    <row r="992">
      <c r="A992" s="121"/>
    </row>
    <row r="993">
      <c r="A993" s="121"/>
    </row>
    <row r="994">
      <c r="A994" s="121"/>
    </row>
    <row r="995">
      <c r="A995" s="121"/>
    </row>
    <row r="996">
      <c r="A996" s="121"/>
    </row>
    <row r="997">
      <c r="A997" s="121"/>
    </row>
    <row r="998">
      <c r="A998" s="121"/>
    </row>
    <row r="999">
      <c r="A999" s="121"/>
    </row>
    <row r="1000">
      <c r="A1000" s="121"/>
    </row>
  </sheetData>
  <mergeCells count="1">
    <mergeCell ref="C11:D1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6.43"/>
    <col customWidth="1" min="2" max="2" width="10.29"/>
    <col customWidth="1" min="3" max="3" width="36.57"/>
    <col customWidth="1" min="4" max="4" width="14.29"/>
    <col customWidth="1" min="5" max="5" width="27.14"/>
    <col customWidth="1" min="6" max="6" width="11.29"/>
    <col customWidth="1" min="7" max="7" width="12.14"/>
    <col customWidth="1" min="8" max="8" width="17.57"/>
  </cols>
  <sheetData>
    <row r="1" ht="22.5" customHeight="1">
      <c r="A1" s="122" t="s">
        <v>2345</v>
      </c>
      <c r="B1" s="122" t="s">
        <v>1</v>
      </c>
      <c r="C1" s="122" t="s">
        <v>977</v>
      </c>
      <c r="D1" s="123" t="s">
        <v>21</v>
      </c>
      <c r="E1" s="124" t="s">
        <v>2346</v>
      </c>
      <c r="F1" s="125" t="s">
        <v>2347</v>
      </c>
      <c r="G1" s="123" t="s">
        <v>26</v>
      </c>
      <c r="H1" s="123" t="s">
        <v>73</v>
      </c>
    </row>
    <row r="2" ht="22.5" customHeight="1">
      <c r="A2" s="126">
        <v>379.0</v>
      </c>
      <c r="B2" s="126">
        <v>379.0</v>
      </c>
      <c r="C2" s="126" t="s">
        <v>2292</v>
      </c>
      <c r="D2" s="127">
        <v>495.0</v>
      </c>
      <c r="E2" s="128"/>
      <c r="F2" s="125">
        <v>495.0</v>
      </c>
      <c r="G2" s="127" t="s">
        <v>2348</v>
      </c>
      <c r="H2" s="127" t="str">
        <f t="shared" ref="H2:H221" si="1">TEXTJOIN("=",true,B2,D2)</f>
        <v>379=$495</v>
      </c>
    </row>
    <row r="3" ht="22.5" customHeight="1">
      <c r="A3" s="126" t="s">
        <v>749</v>
      </c>
      <c r="B3" s="129" t="s">
        <v>749</v>
      </c>
      <c r="C3" s="126" t="s">
        <v>2290</v>
      </c>
      <c r="D3" s="127">
        <v>495.0</v>
      </c>
      <c r="E3" s="130" t="s">
        <v>2291</v>
      </c>
      <c r="F3" s="131">
        <v>495.0</v>
      </c>
      <c r="G3" s="127">
        <v>0.0</v>
      </c>
      <c r="H3" s="127" t="str">
        <f t="shared" si="1"/>
        <v>36S=$495</v>
      </c>
    </row>
    <row r="4" ht="22.5" customHeight="1">
      <c r="A4" s="126" t="s">
        <v>751</v>
      </c>
      <c r="B4" s="129" t="s">
        <v>751</v>
      </c>
      <c r="C4" s="126" t="s">
        <v>2293</v>
      </c>
      <c r="D4" s="127">
        <v>495.0</v>
      </c>
      <c r="E4" s="130" t="s">
        <v>2294</v>
      </c>
      <c r="F4" s="131">
        <v>495.0</v>
      </c>
      <c r="G4" s="127">
        <v>0.0</v>
      </c>
      <c r="H4" s="127" t="str">
        <f t="shared" si="1"/>
        <v>37S=$495</v>
      </c>
    </row>
    <row r="5" ht="22.5" customHeight="1">
      <c r="A5" s="126" t="s">
        <v>746</v>
      </c>
      <c r="B5" s="129" t="s">
        <v>746</v>
      </c>
      <c r="C5" s="126" t="s">
        <v>2295</v>
      </c>
      <c r="D5" s="127">
        <v>495.0</v>
      </c>
      <c r="E5" s="130" t="s">
        <v>2294</v>
      </c>
      <c r="F5" s="131">
        <v>495.0</v>
      </c>
      <c r="G5" s="127">
        <v>0.0</v>
      </c>
      <c r="H5" s="127" t="str">
        <f t="shared" si="1"/>
        <v>38S=$495</v>
      </c>
    </row>
    <row r="6" ht="22.5" customHeight="1">
      <c r="A6" s="126" t="s">
        <v>967</v>
      </c>
      <c r="B6" s="129" t="s">
        <v>967</v>
      </c>
      <c r="C6" s="126" t="s">
        <v>2296</v>
      </c>
      <c r="D6" s="127">
        <v>495.0</v>
      </c>
      <c r="E6" s="130" t="s">
        <v>2297</v>
      </c>
      <c r="F6" s="131">
        <v>495.0</v>
      </c>
      <c r="G6" s="127">
        <v>0.0</v>
      </c>
      <c r="H6" s="127" t="str">
        <f t="shared" si="1"/>
        <v>3A9=$495</v>
      </c>
    </row>
    <row r="7" ht="22.5" customHeight="1">
      <c r="A7" s="126" t="s">
        <v>5</v>
      </c>
      <c r="B7" s="129" t="s">
        <v>5</v>
      </c>
      <c r="C7" s="126" t="s">
        <v>2298</v>
      </c>
      <c r="D7" s="127">
        <v>495.0</v>
      </c>
      <c r="E7" s="130" t="s">
        <v>2299</v>
      </c>
      <c r="F7" s="131">
        <v>495.0</v>
      </c>
      <c r="G7" s="127">
        <v>0.0</v>
      </c>
      <c r="H7" s="127" t="str">
        <f t="shared" si="1"/>
        <v>3F9=$495</v>
      </c>
    </row>
    <row r="8" ht="22.5" customHeight="1">
      <c r="A8" s="126" t="s">
        <v>972</v>
      </c>
      <c r="B8" s="129" t="s">
        <v>972</v>
      </c>
      <c r="C8" s="126" t="s">
        <v>2300</v>
      </c>
      <c r="D8" s="127">
        <v>495.0</v>
      </c>
      <c r="E8" s="128"/>
      <c r="F8" s="131">
        <v>495.0</v>
      </c>
      <c r="G8" s="127">
        <v>0.0</v>
      </c>
      <c r="H8" s="127" t="str">
        <f t="shared" si="1"/>
        <v>3M9=$495</v>
      </c>
    </row>
    <row r="9" ht="22.5" customHeight="1">
      <c r="A9" s="126" t="s">
        <v>974</v>
      </c>
      <c r="B9" s="129" t="s">
        <v>974</v>
      </c>
      <c r="C9" s="126" t="s">
        <v>2301</v>
      </c>
      <c r="D9" s="127">
        <v>495.0</v>
      </c>
      <c r="E9" s="130" t="s">
        <v>2302</v>
      </c>
      <c r="F9" s="131">
        <v>495.0</v>
      </c>
      <c r="G9" s="127">
        <v>0.0</v>
      </c>
      <c r="H9" s="127" t="str">
        <f t="shared" si="1"/>
        <v>3N9=$495</v>
      </c>
    </row>
    <row r="10" ht="22.5" customHeight="1">
      <c r="A10" s="132" t="s">
        <v>74</v>
      </c>
      <c r="B10" s="133" t="s">
        <v>74</v>
      </c>
      <c r="C10" s="132" t="s">
        <v>2349</v>
      </c>
      <c r="D10" s="134">
        <v>3650.0</v>
      </c>
      <c r="E10" s="135" t="s">
        <v>2350</v>
      </c>
      <c r="F10" s="136">
        <v>3195.0</v>
      </c>
      <c r="G10" s="134">
        <v>455.0</v>
      </c>
      <c r="H10" s="134" t="str">
        <f t="shared" si="1"/>
        <v>5DG=$3,650</v>
      </c>
    </row>
    <row r="11" ht="22.5" customHeight="1">
      <c r="A11" s="132" t="s">
        <v>1384</v>
      </c>
      <c r="B11" s="133" t="s">
        <v>1384</v>
      </c>
      <c r="C11" s="132" t="s">
        <v>2351</v>
      </c>
      <c r="D11" s="134">
        <v>4450.0</v>
      </c>
      <c r="E11" s="135" t="s">
        <v>2352</v>
      </c>
      <c r="F11" s="136">
        <v>3795.0</v>
      </c>
      <c r="G11" s="134">
        <v>655.0</v>
      </c>
      <c r="H11" s="134" t="str">
        <f t="shared" si="1"/>
        <v>5DH=$4,450</v>
      </c>
    </row>
    <row r="12" ht="22.5" customHeight="1">
      <c r="A12" s="132" t="s">
        <v>1387</v>
      </c>
      <c r="B12" s="133" t="s">
        <v>1387</v>
      </c>
      <c r="C12" s="132" t="s">
        <v>2353</v>
      </c>
      <c r="D12" s="134">
        <v>4150.0</v>
      </c>
      <c r="E12" s="135" t="s">
        <v>2352</v>
      </c>
      <c r="F12" s="136">
        <v>3695.0</v>
      </c>
      <c r="G12" s="134">
        <v>455.0</v>
      </c>
      <c r="H12" s="134" t="str">
        <f t="shared" si="1"/>
        <v>5DK=$4,150</v>
      </c>
    </row>
    <row r="13" ht="22.5" customHeight="1">
      <c r="A13" s="132" t="s">
        <v>80</v>
      </c>
      <c r="B13" s="133" t="s">
        <v>80</v>
      </c>
      <c r="C13" s="132" t="s">
        <v>2354</v>
      </c>
      <c r="D13" s="134">
        <v>4695.0</v>
      </c>
      <c r="E13" s="135" t="s">
        <v>2350</v>
      </c>
      <c r="F13" s="136">
        <v>3485.0</v>
      </c>
      <c r="G13" s="134">
        <v>1210.0</v>
      </c>
      <c r="H13" s="134" t="str">
        <f t="shared" si="1"/>
        <v>5DO=$4,695</v>
      </c>
    </row>
    <row r="14" ht="22.5" customHeight="1">
      <c r="A14" s="126" t="s">
        <v>84</v>
      </c>
      <c r="B14" s="129" t="s">
        <v>84</v>
      </c>
      <c r="C14" s="126" t="s">
        <v>2248</v>
      </c>
      <c r="D14" s="127">
        <v>1250.0</v>
      </c>
      <c r="E14" s="128"/>
      <c r="F14" s="131">
        <v>1250.0</v>
      </c>
      <c r="G14" s="127">
        <v>0.0</v>
      </c>
      <c r="H14" s="127" t="str">
        <f t="shared" si="1"/>
        <v>5JR=$1,250</v>
      </c>
    </row>
    <row r="15" ht="22.5" customHeight="1">
      <c r="A15" s="126" t="s">
        <v>90</v>
      </c>
      <c r="B15" s="129" t="s">
        <v>90</v>
      </c>
      <c r="C15" s="126" t="s">
        <v>2355</v>
      </c>
      <c r="D15" s="127">
        <v>7995.0</v>
      </c>
      <c r="E15" s="130" t="s">
        <v>2350</v>
      </c>
      <c r="F15" s="131">
        <v>7995.0</v>
      </c>
      <c r="G15" s="127">
        <v>0.0</v>
      </c>
      <c r="H15" s="127" t="str">
        <f t="shared" si="1"/>
        <v>5V5=$7,995</v>
      </c>
    </row>
    <row r="16" ht="22.5" customHeight="1">
      <c r="A16" s="126" t="s">
        <v>90</v>
      </c>
      <c r="B16" s="129" t="s">
        <v>1348</v>
      </c>
      <c r="C16" s="126" t="s">
        <v>2355</v>
      </c>
      <c r="D16" s="127">
        <v>5995.0</v>
      </c>
      <c r="E16" s="130" t="s">
        <v>2356</v>
      </c>
      <c r="F16" s="131">
        <v>5995.0</v>
      </c>
      <c r="G16" s="127">
        <v>0.0</v>
      </c>
      <c r="H16" s="127" t="str">
        <f t="shared" si="1"/>
        <v>5V5-z=$5,995</v>
      </c>
    </row>
    <row r="17" ht="22.5" customHeight="1">
      <c r="A17" s="126" t="s">
        <v>95</v>
      </c>
      <c r="B17" s="129" t="s">
        <v>95</v>
      </c>
      <c r="C17" s="126" t="s">
        <v>2357</v>
      </c>
      <c r="D17" s="127">
        <v>625.0</v>
      </c>
      <c r="E17" s="130" t="s">
        <v>2350</v>
      </c>
      <c r="F17" s="131">
        <v>625.0</v>
      </c>
      <c r="G17" s="127">
        <v>0.0</v>
      </c>
      <c r="H17" s="127" t="str">
        <f t="shared" si="1"/>
        <v>5V7=$625</v>
      </c>
    </row>
    <row r="18" ht="22.5" customHeight="1">
      <c r="A18" s="126" t="s">
        <v>101</v>
      </c>
      <c r="B18" s="129" t="s">
        <v>101</v>
      </c>
      <c r="C18" s="126" t="s">
        <v>2249</v>
      </c>
      <c r="D18" s="127">
        <v>250.0</v>
      </c>
      <c r="E18" s="128"/>
      <c r="F18" s="131">
        <v>250.0</v>
      </c>
      <c r="G18" s="127">
        <v>0.0</v>
      </c>
      <c r="H18" s="127" t="str">
        <f t="shared" si="1"/>
        <v>5ZC=$250</v>
      </c>
    </row>
    <row r="19" ht="22.5" customHeight="1">
      <c r="A19" s="126" t="s">
        <v>104</v>
      </c>
      <c r="B19" s="129" t="s">
        <v>104</v>
      </c>
      <c r="C19" s="126" t="s">
        <v>2358</v>
      </c>
      <c r="D19" s="127">
        <v>250.0</v>
      </c>
      <c r="E19" s="128"/>
      <c r="F19" s="131">
        <v>250.0</v>
      </c>
      <c r="G19" s="127">
        <v>0.0</v>
      </c>
      <c r="H19" s="127" t="str">
        <f t="shared" si="1"/>
        <v>5ZD=$250</v>
      </c>
    </row>
    <row r="20" ht="22.5" customHeight="1">
      <c r="A20" s="132" t="s">
        <v>107</v>
      </c>
      <c r="B20" s="133" t="s">
        <v>107</v>
      </c>
      <c r="C20" s="132" t="s">
        <v>2359</v>
      </c>
      <c r="D20" s="134">
        <v>1350.0</v>
      </c>
      <c r="E20" s="135" t="s">
        <v>2350</v>
      </c>
      <c r="F20" s="136">
        <v>1295.0</v>
      </c>
      <c r="G20" s="134">
        <v>55.0</v>
      </c>
      <c r="H20" s="134" t="str">
        <f t="shared" si="1"/>
        <v>5ZU=$1,350</v>
      </c>
    </row>
    <row r="21" ht="22.5" customHeight="1">
      <c r="A21" s="126" t="s">
        <v>113</v>
      </c>
      <c r="B21" s="129" t="s">
        <v>113</v>
      </c>
      <c r="C21" s="137" t="s">
        <v>2360</v>
      </c>
      <c r="D21" s="127">
        <v>6225.0</v>
      </c>
      <c r="E21" s="138" t="s">
        <v>2350</v>
      </c>
      <c r="F21" s="131">
        <v>6225.0</v>
      </c>
      <c r="G21" s="127">
        <v>0.0</v>
      </c>
      <c r="H21" s="127" t="str">
        <f t="shared" si="1"/>
        <v>5ZW=$6,225</v>
      </c>
    </row>
    <row r="22" ht="22.5" customHeight="1">
      <c r="A22" s="126" t="s">
        <v>118</v>
      </c>
      <c r="B22" s="129" t="s">
        <v>118</v>
      </c>
      <c r="C22" s="126" t="s">
        <v>2361</v>
      </c>
      <c r="D22" s="127">
        <v>1395.0</v>
      </c>
      <c r="E22" s="128"/>
      <c r="F22" s="131">
        <v>1395.0</v>
      </c>
      <c r="G22" s="127">
        <v>0.0</v>
      </c>
      <c r="H22" s="127" t="str">
        <f t="shared" si="1"/>
        <v>5ZZ=$1,395</v>
      </c>
    </row>
    <row r="23" ht="22.5" customHeight="1">
      <c r="A23" s="126" t="s">
        <v>726</v>
      </c>
      <c r="B23" s="129" t="s">
        <v>726</v>
      </c>
      <c r="C23" s="137" t="s">
        <v>2323</v>
      </c>
      <c r="D23" s="127">
        <v>500.0</v>
      </c>
      <c r="E23" s="138" t="s">
        <v>2233</v>
      </c>
      <c r="F23" s="131">
        <v>500.0</v>
      </c>
      <c r="G23" s="127">
        <v>0.0</v>
      </c>
      <c r="H23" s="127" t="str">
        <f t="shared" si="1"/>
        <v>AE4=$500</v>
      </c>
    </row>
    <row r="24" ht="22.5" customHeight="1">
      <c r="A24" s="126" t="s">
        <v>726</v>
      </c>
      <c r="B24" s="129" t="s">
        <v>2362</v>
      </c>
      <c r="C24" s="126" t="s">
        <v>2323</v>
      </c>
      <c r="D24" s="127">
        <v>995.0</v>
      </c>
      <c r="E24" s="130" t="s">
        <v>2324</v>
      </c>
      <c r="F24" s="131">
        <v>995.0</v>
      </c>
      <c r="G24" s="127">
        <v>0.0</v>
      </c>
      <c r="H24" s="127" t="str">
        <f t="shared" si="1"/>
        <v>AE4-1=$995</v>
      </c>
    </row>
    <row r="25" ht="22.5" customHeight="1">
      <c r="A25" s="126" t="s">
        <v>726</v>
      </c>
      <c r="B25" s="129" t="s">
        <v>2363</v>
      </c>
      <c r="C25" s="126" t="s">
        <v>2323</v>
      </c>
      <c r="D25" s="127">
        <v>1995.0</v>
      </c>
      <c r="E25" s="130" t="s">
        <v>2364</v>
      </c>
      <c r="F25" s="131">
        <v>1995.0</v>
      </c>
      <c r="G25" s="127">
        <v>0.0</v>
      </c>
      <c r="H25" s="127" t="str">
        <f t="shared" si="1"/>
        <v>AE4-2=$1,995</v>
      </c>
    </row>
    <row r="26" ht="22.5" customHeight="1">
      <c r="A26" s="126" t="s">
        <v>753</v>
      </c>
      <c r="B26" s="129" t="s">
        <v>753</v>
      </c>
      <c r="C26" s="126" t="s">
        <v>2365</v>
      </c>
      <c r="D26" s="127">
        <v>1695.0</v>
      </c>
      <c r="E26" s="130" t="s">
        <v>2366</v>
      </c>
      <c r="F26" s="131">
        <v>1695.0</v>
      </c>
      <c r="G26" s="127">
        <v>0.0</v>
      </c>
      <c r="H26" s="127" t="str">
        <f t="shared" si="1"/>
        <v>AH2=$1,695</v>
      </c>
    </row>
    <row r="27" ht="22.5" customHeight="1">
      <c r="A27" s="139"/>
      <c r="B27" s="133" t="s">
        <v>822</v>
      </c>
      <c r="C27" s="132" t="s">
        <v>2325</v>
      </c>
      <c r="D27" s="134">
        <v>250.0</v>
      </c>
      <c r="E27" s="135" t="s">
        <v>2326</v>
      </c>
      <c r="F27" s="136" t="s">
        <v>2348</v>
      </c>
      <c r="G27" s="134" t="s">
        <v>2348</v>
      </c>
      <c r="H27" s="134" t="str">
        <f t="shared" si="1"/>
        <v>AUP=$250</v>
      </c>
    </row>
    <row r="28" ht="22.5" customHeight="1">
      <c r="A28" s="126" t="s">
        <v>123</v>
      </c>
      <c r="B28" s="129" t="s">
        <v>123</v>
      </c>
      <c r="C28" s="126" t="s">
        <v>124</v>
      </c>
      <c r="D28" s="127">
        <v>1695.0</v>
      </c>
      <c r="E28" s="128"/>
      <c r="F28" s="131">
        <v>1695.0</v>
      </c>
      <c r="G28" s="127">
        <v>0.0</v>
      </c>
      <c r="H28" s="127" t="str">
        <f t="shared" si="1"/>
        <v>B6P=$1,695</v>
      </c>
    </row>
    <row r="29" ht="22.5" customHeight="1">
      <c r="A29" s="126" t="s">
        <v>9</v>
      </c>
      <c r="B29" s="129" t="s">
        <v>9</v>
      </c>
      <c r="C29" s="126" t="s">
        <v>2303</v>
      </c>
      <c r="D29" s="127">
        <v>595.0</v>
      </c>
      <c r="E29" s="130" t="s">
        <v>2304</v>
      </c>
      <c r="F29" s="131">
        <v>595.0</v>
      </c>
      <c r="G29" s="127">
        <v>0.0</v>
      </c>
      <c r="H29" s="127" t="str">
        <f t="shared" si="1"/>
        <v>BAZ=$595</v>
      </c>
    </row>
    <row r="30" ht="22.5" customHeight="1">
      <c r="A30" s="126" t="s">
        <v>134</v>
      </c>
      <c r="B30" s="129" t="s">
        <v>134</v>
      </c>
      <c r="C30" s="126" t="s">
        <v>2367</v>
      </c>
      <c r="D30" s="127">
        <v>495.0</v>
      </c>
      <c r="E30" s="130" t="s">
        <v>2368</v>
      </c>
      <c r="F30" s="131">
        <v>495.0</v>
      </c>
      <c r="G30" s="127">
        <v>0.0</v>
      </c>
      <c r="H30" s="127" t="str">
        <f t="shared" si="1"/>
        <v>BCP=$495</v>
      </c>
    </row>
    <row r="31" ht="22.5" customHeight="1">
      <c r="A31" s="126" t="s">
        <v>134</v>
      </c>
      <c r="B31" s="129" t="s">
        <v>140</v>
      </c>
      <c r="C31" s="137" t="s">
        <v>2367</v>
      </c>
      <c r="D31" s="127">
        <v>595.0</v>
      </c>
      <c r="E31" s="138" t="s">
        <v>2369</v>
      </c>
      <c r="F31" s="131">
        <v>595.0</v>
      </c>
      <c r="G31" s="127">
        <v>0.0</v>
      </c>
      <c r="H31" s="127" t="str">
        <f t="shared" si="1"/>
        <v>BCP-s=$595</v>
      </c>
    </row>
    <row r="32" ht="22.5" customHeight="1">
      <c r="A32" s="126" t="s">
        <v>143</v>
      </c>
      <c r="B32" s="129" t="s">
        <v>143</v>
      </c>
      <c r="C32" s="126" t="s">
        <v>2370</v>
      </c>
      <c r="D32" s="127">
        <v>495.0</v>
      </c>
      <c r="E32" s="130" t="s">
        <v>2368</v>
      </c>
      <c r="F32" s="131">
        <v>495.0</v>
      </c>
      <c r="G32" s="127">
        <v>0.0</v>
      </c>
      <c r="H32" s="127" t="str">
        <f t="shared" si="1"/>
        <v>BCS=$495</v>
      </c>
    </row>
    <row r="33" ht="22.5" customHeight="1">
      <c r="A33" s="126" t="s">
        <v>143</v>
      </c>
      <c r="B33" s="129" t="s">
        <v>147</v>
      </c>
      <c r="C33" s="126" t="s">
        <v>2370</v>
      </c>
      <c r="D33" s="127">
        <v>595.0</v>
      </c>
      <c r="E33" s="130" t="s">
        <v>2369</v>
      </c>
      <c r="F33" s="131">
        <v>595.0</v>
      </c>
      <c r="G33" s="127">
        <v>0.0</v>
      </c>
      <c r="H33" s="127" t="str">
        <f t="shared" si="1"/>
        <v>BCS-s=$595</v>
      </c>
    </row>
    <row r="34" ht="22.5" customHeight="1">
      <c r="A34" s="126" t="s">
        <v>1389</v>
      </c>
      <c r="B34" s="129" t="s">
        <v>1389</v>
      </c>
      <c r="C34" s="126" t="s">
        <v>2371</v>
      </c>
      <c r="D34" s="127">
        <v>495.0</v>
      </c>
      <c r="E34" s="130" t="s">
        <v>2372</v>
      </c>
      <c r="F34" s="131">
        <v>495.0</v>
      </c>
      <c r="G34" s="127">
        <v>0.0</v>
      </c>
      <c r="H34" s="127" t="str">
        <f t="shared" si="1"/>
        <v>BCW=$495</v>
      </c>
    </row>
    <row r="35" ht="22.5" customHeight="1">
      <c r="A35" s="126" t="s">
        <v>1389</v>
      </c>
      <c r="B35" s="129" t="s">
        <v>1392</v>
      </c>
      <c r="C35" s="126" t="s">
        <v>2371</v>
      </c>
      <c r="D35" s="127">
        <v>595.0</v>
      </c>
      <c r="E35" s="130" t="s">
        <v>2373</v>
      </c>
      <c r="F35" s="131">
        <v>595.0</v>
      </c>
      <c r="G35" s="127">
        <v>0.0</v>
      </c>
      <c r="H35" s="127" t="str">
        <f t="shared" si="1"/>
        <v>BCW-s=$595</v>
      </c>
    </row>
    <row r="36" ht="22.5" customHeight="1">
      <c r="A36" s="126" t="s">
        <v>149</v>
      </c>
      <c r="B36" s="129" t="s">
        <v>149</v>
      </c>
      <c r="C36" s="137" t="s">
        <v>2228</v>
      </c>
      <c r="D36" s="127">
        <v>295.0</v>
      </c>
      <c r="E36" s="140"/>
      <c r="F36" s="131">
        <v>295.0</v>
      </c>
      <c r="G36" s="127">
        <v>0.0</v>
      </c>
      <c r="H36" s="127" t="str">
        <f t="shared" si="1"/>
        <v>BV4=$295</v>
      </c>
    </row>
    <row r="37" ht="22.5" customHeight="1">
      <c r="A37" s="126" t="s">
        <v>154</v>
      </c>
      <c r="B37" s="129" t="s">
        <v>154</v>
      </c>
      <c r="C37" s="126" t="s">
        <v>2374</v>
      </c>
      <c r="D37" s="127">
        <v>2495.0</v>
      </c>
      <c r="E37" s="130" t="s">
        <v>1448</v>
      </c>
      <c r="F37" s="131">
        <v>2495.0</v>
      </c>
      <c r="G37" s="127">
        <v>0.0</v>
      </c>
      <c r="H37" s="127" t="str">
        <f t="shared" si="1"/>
        <v>C2Z=$2,495</v>
      </c>
    </row>
    <row r="38" ht="22.5" customHeight="1">
      <c r="A38" s="126" t="s">
        <v>1439</v>
      </c>
      <c r="B38" s="129" t="s">
        <v>1439</v>
      </c>
      <c r="C38" s="126" t="s">
        <v>2374</v>
      </c>
      <c r="D38" s="127">
        <v>0.0</v>
      </c>
      <c r="E38" s="130" t="s">
        <v>1448</v>
      </c>
      <c r="F38" s="131">
        <v>0.0</v>
      </c>
      <c r="G38" s="127">
        <v>0.0</v>
      </c>
      <c r="H38" s="127" t="str">
        <f t="shared" si="1"/>
        <v>C2Z-z=$0</v>
      </c>
    </row>
    <row r="39" ht="22.5" customHeight="1">
      <c r="A39" s="126" t="s">
        <v>158</v>
      </c>
      <c r="B39" s="129" t="s">
        <v>158</v>
      </c>
      <c r="C39" s="137" t="s">
        <v>2250</v>
      </c>
      <c r="D39" s="127">
        <v>195.0</v>
      </c>
      <c r="E39" s="140"/>
      <c r="F39" s="131">
        <v>195.0</v>
      </c>
      <c r="G39" s="127">
        <v>0.0</v>
      </c>
      <c r="H39" s="127" t="str">
        <f t="shared" si="1"/>
        <v>CAV=$195</v>
      </c>
    </row>
    <row r="40" ht="22.5" customHeight="1">
      <c r="A40" s="139"/>
      <c r="B40" s="133" t="s">
        <v>1394</v>
      </c>
      <c r="C40" s="132" t="s">
        <v>2375</v>
      </c>
      <c r="D40" s="134">
        <v>395.0</v>
      </c>
      <c r="E40" s="135" t="s">
        <v>2376</v>
      </c>
      <c r="F40" s="136" t="s">
        <v>2348</v>
      </c>
      <c r="G40" s="134" t="s">
        <v>2348</v>
      </c>
      <c r="H40" s="134" t="str">
        <f t="shared" si="1"/>
        <v>CBF=$395</v>
      </c>
    </row>
    <row r="41" ht="22.5" customHeight="1">
      <c r="A41" s="126" t="s">
        <v>161</v>
      </c>
      <c r="B41" s="129" t="s">
        <v>161</v>
      </c>
      <c r="C41" s="126" t="s">
        <v>2377</v>
      </c>
      <c r="D41" s="127">
        <v>995.0</v>
      </c>
      <c r="E41" s="130" t="s">
        <v>1448</v>
      </c>
      <c r="F41" s="131">
        <v>995.0</v>
      </c>
      <c r="G41" s="127">
        <v>0.0</v>
      </c>
      <c r="H41" s="127" t="str">
        <f t="shared" si="1"/>
        <v>CC3=$995</v>
      </c>
    </row>
    <row r="42" ht="22.5" customHeight="1">
      <c r="A42" s="139"/>
      <c r="B42" s="133" t="s">
        <v>167</v>
      </c>
      <c r="C42" s="132" t="s">
        <v>2320</v>
      </c>
      <c r="D42" s="134">
        <v>3000.0</v>
      </c>
      <c r="E42" s="135" t="s">
        <v>2321</v>
      </c>
      <c r="F42" s="136" t="s">
        <v>2348</v>
      </c>
      <c r="G42" s="134" t="s">
        <v>2348</v>
      </c>
      <c r="H42" s="134" t="str">
        <f t="shared" si="1"/>
        <v>CF8=$3,000</v>
      </c>
    </row>
    <row r="43" ht="22.5" customHeight="1">
      <c r="A43" s="126" t="s">
        <v>1323</v>
      </c>
      <c r="B43" s="129" t="s">
        <v>1323</v>
      </c>
      <c r="C43" s="126" t="s">
        <v>2378</v>
      </c>
      <c r="D43" s="127">
        <v>3995.0</v>
      </c>
      <c r="E43" s="130" t="s">
        <v>2356</v>
      </c>
      <c r="F43" s="131">
        <v>3995.0</v>
      </c>
      <c r="G43" s="127">
        <v>0.0</v>
      </c>
      <c r="H43" s="127" t="str">
        <f t="shared" si="1"/>
        <v>CFV=$3,995</v>
      </c>
    </row>
    <row r="44" ht="22.5" customHeight="1">
      <c r="A44" s="126" t="s">
        <v>1326</v>
      </c>
      <c r="B44" s="129" t="s">
        <v>1326</v>
      </c>
      <c r="C44" s="126" t="s">
        <v>2379</v>
      </c>
      <c r="D44" s="127">
        <v>2995.0</v>
      </c>
      <c r="E44" s="130" t="s">
        <v>2356</v>
      </c>
      <c r="F44" s="131">
        <v>2995.0</v>
      </c>
      <c r="G44" s="127">
        <v>0.0</v>
      </c>
      <c r="H44" s="127" t="str">
        <f t="shared" si="1"/>
        <v>CFZ=$2,995</v>
      </c>
    </row>
    <row r="45" ht="22.5" customHeight="1">
      <c r="A45" s="126" t="s">
        <v>946</v>
      </c>
      <c r="B45" s="129" t="s">
        <v>946</v>
      </c>
      <c r="C45" s="126" t="s">
        <v>947</v>
      </c>
      <c r="D45" s="127">
        <v>695.0</v>
      </c>
      <c r="E45" s="128"/>
      <c r="F45" s="131">
        <v>695.0</v>
      </c>
      <c r="G45" s="127">
        <v>0.0</v>
      </c>
      <c r="H45" s="127" t="str">
        <f t="shared" si="1"/>
        <v>D30=$695</v>
      </c>
    </row>
    <row r="46" ht="22.5" customHeight="1">
      <c r="A46" s="126" t="s">
        <v>173</v>
      </c>
      <c r="B46" s="129" t="s">
        <v>173</v>
      </c>
      <c r="C46" s="126" t="s">
        <v>2380</v>
      </c>
      <c r="D46" s="127">
        <v>100.0</v>
      </c>
      <c r="E46" s="130" t="s">
        <v>1448</v>
      </c>
      <c r="F46" s="131">
        <v>100.0</v>
      </c>
      <c r="G46" s="127">
        <v>0.0</v>
      </c>
      <c r="H46" s="127" t="str">
        <f t="shared" si="1"/>
        <v>D3V=$100</v>
      </c>
    </row>
    <row r="47" ht="22.5" customHeight="1">
      <c r="A47" s="126" t="s">
        <v>176</v>
      </c>
      <c r="B47" s="129" t="s">
        <v>176</v>
      </c>
      <c r="C47" s="126" t="s">
        <v>2381</v>
      </c>
      <c r="D47" s="127">
        <v>1295.0</v>
      </c>
      <c r="E47" s="130" t="s">
        <v>2382</v>
      </c>
      <c r="F47" s="131">
        <v>1295.0</v>
      </c>
      <c r="G47" s="127">
        <v>0.0</v>
      </c>
      <c r="H47" s="127" t="str">
        <f t="shared" si="1"/>
        <v>D84=$1,295</v>
      </c>
    </row>
    <row r="48" ht="22.5" customHeight="1">
      <c r="A48" s="126" t="s">
        <v>179</v>
      </c>
      <c r="B48" s="129" t="s">
        <v>179</v>
      </c>
      <c r="C48" s="126" t="s">
        <v>2383</v>
      </c>
      <c r="D48" s="127">
        <v>1295.0</v>
      </c>
      <c r="E48" s="130" t="s">
        <v>2382</v>
      </c>
      <c r="F48" s="131">
        <v>1295.0</v>
      </c>
      <c r="G48" s="127">
        <v>0.0</v>
      </c>
      <c r="H48" s="127" t="str">
        <f t="shared" si="1"/>
        <v>D86=$1,295</v>
      </c>
    </row>
    <row r="49" ht="22.5" customHeight="1">
      <c r="A49" s="126" t="s">
        <v>181</v>
      </c>
      <c r="B49" s="129" t="s">
        <v>181</v>
      </c>
      <c r="C49" s="126" t="s">
        <v>2332</v>
      </c>
      <c r="D49" s="127">
        <v>1195.0</v>
      </c>
      <c r="E49" s="128"/>
      <c r="F49" s="131">
        <v>1195.0</v>
      </c>
      <c r="G49" s="127">
        <v>0.0</v>
      </c>
      <c r="H49" s="127" t="str">
        <f t="shared" si="1"/>
        <v>DPB=$1,195</v>
      </c>
    </row>
    <row r="50" ht="22.5" customHeight="1">
      <c r="A50" s="126" t="s">
        <v>185</v>
      </c>
      <c r="B50" s="129" t="s">
        <v>185</v>
      </c>
      <c r="C50" s="126" t="s">
        <v>2333</v>
      </c>
      <c r="D50" s="127">
        <v>1195.0</v>
      </c>
      <c r="E50" s="128"/>
      <c r="F50" s="131">
        <v>1195.0</v>
      </c>
      <c r="G50" s="127">
        <v>0.0</v>
      </c>
      <c r="H50" s="127" t="str">
        <f t="shared" si="1"/>
        <v>DPC=$1,195</v>
      </c>
    </row>
    <row r="51" ht="22.5" customHeight="1">
      <c r="A51" s="126" t="s">
        <v>188</v>
      </c>
      <c r="B51" s="129" t="s">
        <v>188</v>
      </c>
      <c r="C51" s="126" t="s">
        <v>189</v>
      </c>
      <c r="D51" s="127">
        <v>1195.0</v>
      </c>
      <c r="E51" s="128"/>
      <c r="F51" s="131">
        <v>1195.0</v>
      </c>
      <c r="G51" s="127">
        <v>0.0</v>
      </c>
      <c r="H51" s="127" t="str">
        <f t="shared" si="1"/>
        <v>DPG=$1,195</v>
      </c>
    </row>
    <row r="52" ht="22.5" customHeight="1">
      <c r="A52" s="126" t="s">
        <v>191</v>
      </c>
      <c r="B52" s="129" t="s">
        <v>191</v>
      </c>
      <c r="C52" s="126" t="s">
        <v>192</v>
      </c>
      <c r="D52" s="127">
        <v>1195.0</v>
      </c>
      <c r="E52" s="128"/>
      <c r="F52" s="131">
        <v>1195.0</v>
      </c>
      <c r="G52" s="127">
        <v>0.0</v>
      </c>
      <c r="H52" s="127" t="str">
        <f t="shared" si="1"/>
        <v>DPL=$1,195</v>
      </c>
    </row>
    <row r="53" ht="22.5" customHeight="1">
      <c r="A53" s="126" t="s">
        <v>194</v>
      </c>
      <c r="B53" s="129" t="s">
        <v>194</v>
      </c>
      <c r="C53" s="126" t="s">
        <v>195</v>
      </c>
      <c r="D53" s="127">
        <v>1195.0</v>
      </c>
      <c r="E53" s="128"/>
      <c r="F53" s="131">
        <v>1195.0</v>
      </c>
      <c r="G53" s="127">
        <v>0.0</v>
      </c>
      <c r="H53" s="127" t="str">
        <f t="shared" si="1"/>
        <v>DPT=$1,195</v>
      </c>
    </row>
    <row r="54" ht="22.5" customHeight="1">
      <c r="A54" s="126" t="s">
        <v>196</v>
      </c>
      <c r="B54" s="129" t="s">
        <v>196</v>
      </c>
      <c r="C54" s="126" t="s">
        <v>2334</v>
      </c>
      <c r="D54" s="127">
        <v>1195.0</v>
      </c>
      <c r="E54" s="128"/>
      <c r="F54" s="131">
        <v>1195.0</v>
      </c>
      <c r="G54" s="127">
        <v>0.0</v>
      </c>
      <c r="H54" s="127" t="str">
        <f t="shared" si="1"/>
        <v>DSY=$1,195</v>
      </c>
    </row>
    <row r="55" ht="22.5" customHeight="1">
      <c r="A55" s="126" t="s">
        <v>198</v>
      </c>
      <c r="B55" s="129" t="s">
        <v>198</v>
      </c>
      <c r="C55" s="126" t="s">
        <v>2335</v>
      </c>
      <c r="D55" s="127">
        <v>1195.0</v>
      </c>
      <c r="E55" s="128"/>
      <c r="F55" s="131">
        <v>1195.0</v>
      </c>
      <c r="G55" s="127">
        <v>0.0</v>
      </c>
      <c r="H55" s="127" t="str">
        <f t="shared" si="1"/>
        <v>DSZ=$1,195</v>
      </c>
    </row>
    <row r="56" ht="22.5" customHeight="1">
      <c r="A56" s="126" t="s">
        <v>200</v>
      </c>
      <c r="B56" s="129" t="s">
        <v>200</v>
      </c>
      <c r="C56" s="126" t="s">
        <v>2336</v>
      </c>
      <c r="D56" s="127">
        <v>1195.0</v>
      </c>
      <c r="E56" s="128"/>
      <c r="F56" s="131">
        <v>1195.0</v>
      </c>
      <c r="G56" s="127">
        <v>0.0</v>
      </c>
      <c r="H56" s="127" t="str">
        <f t="shared" si="1"/>
        <v>DT0=$1,195</v>
      </c>
    </row>
    <row r="57" ht="22.5" customHeight="1">
      <c r="A57" s="126" t="s">
        <v>1358</v>
      </c>
      <c r="B57" s="129" t="s">
        <v>1358</v>
      </c>
      <c r="C57" s="126" t="s">
        <v>1359</v>
      </c>
      <c r="D57" s="127">
        <v>1195.0</v>
      </c>
      <c r="E57" s="130" t="s">
        <v>2384</v>
      </c>
      <c r="F57" s="131">
        <v>1195.0</v>
      </c>
      <c r="G57" s="127">
        <v>0.0</v>
      </c>
      <c r="H57" s="127" t="str">
        <f t="shared" si="1"/>
        <v>DTB=$1,195</v>
      </c>
    </row>
    <row r="58" ht="22.5" customHeight="1">
      <c r="A58" s="126" t="s">
        <v>202</v>
      </c>
      <c r="B58" s="129" t="s">
        <v>202</v>
      </c>
      <c r="C58" s="126" t="s">
        <v>2337</v>
      </c>
      <c r="D58" s="127">
        <v>1195.0</v>
      </c>
      <c r="E58" s="128"/>
      <c r="F58" s="131">
        <v>1195.0</v>
      </c>
      <c r="G58" s="127">
        <v>0.0</v>
      </c>
      <c r="H58" s="127" t="str">
        <f t="shared" si="1"/>
        <v>DTH=$1,195</v>
      </c>
    </row>
    <row r="59" ht="22.5" customHeight="1">
      <c r="A59" s="126" t="s">
        <v>204</v>
      </c>
      <c r="B59" s="129" t="s">
        <v>204</v>
      </c>
      <c r="C59" s="126" t="s">
        <v>2338</v>
      </c>
      <c r="D59" s="127">
        <v>1195.0</v>
      </c>
      <c r="E59" s="128"/>
      <c r="F59" s="131">
        <v>1195.0</v>
      </c>
      <c r="G59" s="127">
        <v>0.0</v>
      </c>
      <c r="H59" s="127" t="str">
        <f t="shared" si="1"/>
        <v>DUB=$1,195</v>
      </c>
    </row>
    <row r="60" ht="22.5" customHeight="1">
      <c r="A60" s="139"/>
      <c r="B60" s="133" t="s">
        <v>206</v>
      </c>
      <c r="C60" s="132" t="s">
        <v>207</v>
      </c>
      <c r="D60" s="134">
        <v>1195.0</v>
      </c>
      <c r="E60" s="141"/>
      <c r="F60" s="136" t="s">
        <v>2348</v>
      </c>
      <c r="G60" s="134" t="s">
        <v>2348</v>
      </c>
      <c r="H60" s="134" t="str">
        <f t="shared" si="1"/>
        <v>DUK=$1,195</v>
      </c>
    </row>
    <row r="61" ht="22.5" customHeight="1">
      <c r="A61" s="126" t="s">
        <v>209</v>
      </c>
      <c r="B61" s="129" t="s">
        <v>209</v>
      </c>
      <c r="C61" s="126" t="s">
        <v>2339</v>
      </c>
      <c r="D61" s="127">
        <v>1195.0</v>
      </c>
      <c r="E61" s="128"/>
      <c r="F61" s="131">
        <v>1195.0</v>
      </c>
      <c r="G61" s="127">
        <v>0.0</v>
      </c>
      <c r="H61" s="127" t="str">
        <f t="shared" si="1"/>
        <v>DUW=$1,195</v>
      </c>
    </row>
    <row r="62" ht="22.5" customHeight="1">
      <c r="A62" s="139"/>
      <c r="B62" s="133" t="s">
        <v>1517</v>
      </c>
      <c r="C62" s="132" t="s">
        <v>1518</v>
      </c>
      <c r="D62" s="134">
        <v>695.0</v>
      </c>
      <c r="E62" s="135" t="s">
        <v>2385</v>
      </c>
      <c r="F62" s="136" t="s">
        <v>2348</v>
      </c>
      <c r="G62" s="134" t="s">
        <v>2348</v>
      </c>
      <c r="H62" s="134" t="str">
        <f t="shared" si="1"/>
        <v>DY0=$695</v>
      </c>
    </row>
    <row r="63" ht="22.5" customHeight="1">
      <c r="A63" s="126" t="s">
        <v>211</v>
      </c>
      <c r="B63" s="129" t="s">
        <v>211</v>
      </c>
      <c r="C63" s="126" t="s">
        <v>2386</v>
      </c>
      <c r="D63" s="127">
        <v>500.0</v>
      </c>
      <c r="E63" s="128"/>
      <c r="F63" s="131">
        <v>500.0</v>
      </c>
      <c r="G63" s="127">
        <v>0.0</v>
      </c>
      <c r="H63" s="127" t="str">
        <f t="shared" si="1"/>
        <v>DZU=$500</v>
      </c>
    </row>
    <row r="64" ht="22.5" customHeight="1">
      <c r="A64" s="126" t="s">
        <v>213</v>
      </c>
      <c r="B64" s="129" t="s">
        <v>213</v>
      </c>
      <c r="C64" s="126" t="s">
        <v>2387</v>
      </c>
      <c r="D64" s="127">
        <v>500.0</v>
      </c>
      <c r="E64" s="128"/>
      <c r="F64" s="131">
        <v>500.0</v>
      </c>
      <c r="G64" s="127">
        <v>0.0</v>
      </c>
      <c r="H64" s="127" t="str">
        <f t="shared" si="1"/>
        <v>DZV=$500</v>
      </c>
    </row>
    <row r="65" ht="22.5" customHeight="1">
      <c r="A65" s="126" t="s">
        <v>215</v>
      </c>
      <c r="B65" s="129" t="s">
        <v>215</v>
      </c>
      <c r="C65" s="126" t="s">
        <v>2388</v>
      </c>
      <c r="D65" s="127">
        <v>500.0</v>
      </c>
      <c r="E65" s="128"/>
      <c r="F65" s="131">
        <v>500.0</v>
      </c>
      <c r="G65" s="127">
        <v>0.0</v>
      </c>
      <c r="H65" s="127" t="str">
        <f t="shared" si="1"/>
        <v>DZX=$500</v>
      </c>
    </row>
    <row r="66" ht="22.5" customHeight="1">
      <c r="A66" s="126" t="s">
        <v>10</v>
      </c>
      <c r="B66" s="129" t="s">
        <v>10</v>
      </c>
      <c r="C66" s="126" t="s">
        <v>2229</v>
      </c>
      <c r="D66" s="127">
        <v>2595.0</v>
      </c>
      <c r="E66" s="130" t="s">
        <v>2230</v>
      </c>
      <c r="F66" s="131">
        <v>2595.0</v>
      </c>
      <c r="G66" s="127">
        <v>0.0</v>
      </c>
      <c r="H66" s="127" t="str">
        <f t="shared" si="1"/>
        <v>E60=$2,595</v>
      </c>
    </row>
    <row r="67" ht="22.5" customHeight="1">
      <c r="A67" s="126" t="s">
        <v>220</v>
      </c>
      <c r="B67" s="129" t="s">
        <v>220</v>
      </c>
      <c r="C67" s="126" t="s">
        <v>2389</v>
      </c>
      <c r="D67" s="127">
        <v>0.0</v>
      </c>
      <c r="E67" s="130" t="s">
        <v>2384</v>
      </c>
      <c r="F67" s="131">
        <v>0.0</v>
      </c>
      <c r="G67" s="127">
        <v>0.0</v>
      </c>
      <c r="H67" s="127" t="str">
        <f t="shared" si="1"/>
        <v>EFR=$0</v>
      </c>
    </row>
    <row r="68" ht="22.5" customHeight="1">
      <c r="A68" s="126" t="s">
        <v>224</v>
      </c>
      <c r="B68" s="129" t="s">
        <v>224</v>
      </c>
      <c r="C68" s="126" t="s">
        <v>2390</v>
      </c>
      <c r="D68" s="127">
        <v>995.0</v>
      </c>
      <c r="E68" s="130" t="s">
        <v>2391</v>
      </c>
      <c r="F68" s="131">
        <v>995.0</v>
      </c>
      <c r="G68" s="127">
        <v>0.0</v>
      </c>
      <c r="H68" s="127" t="str">
        <f t="shared" si="1"/>
        <v>EFY=$995</v>
      </c>
    </row>
    <row r="69" ht="22.5" customHeight="1">
      <c r="A69" s="126" t="s">
        <v>228</v>
      </c>
      <c r="B69" s="129" t="s">
        <v>228</v>
      </c>
      <c r="C69" s="126" t="s">
        <v>229</v>
      </c>
      <c r="D69" s="127">
        <v>100.0</v>
      </c>
      <c r="E69" s="128"/>
      <c r="F69" s="131">
        <v>100.0</v>
      </c>
      <c r="G69" s="127">
        <v>0.0</v>
      </c>
      <c r="H69" s="127" t="str">
        <f t="shared" si="1"/>
        <v>ERI=$100</v>
      </c>
    </row>
    <row r="70" ht="22.5" customHeight="1">
      <c r="A70" s="126" t="s">
        <v>11</v>
      </c>
      <c r="B70" s="129" t="s">
        <v>11</v>
      </c>
      <c r="C70" s="126" t="s">
        <v>2281</v>
      </c>
      <c r="D70" s="127">
        <v>995.0</v>
      </c>
      <c r="E70" s="130" t="s">
        <v>1451</v>
      </c>
      <c r="F70" s="131">
        <v>995.0</v>
      </c>
      <c r="G70" s="127">
        <v>0.0</v>
      </c>
      <c r="H70" s="127" t="str">
        <f t="shared" si="1"/>
        <v>ETV=$995</v>
      </c>
    </row>
    <row r="71" ht="22.5" customHeight="1">
      <c r="A71" s="126" t="s">
        <v>231</v>
      </c>
      <c r="B71" s="129" t="s">
        <v>231</v>
      </c>
      <c r="C71" s="126" t="s">
        <v>232</v>
      </c>
      <c r="D71" s="127">
        <v>295.0</v>
      </c>
      <c r="E71" s="128"/>
      <c r="F71" s="131">
        <v>295.0</v>
      </c>
      <c r="G71" s="127">
        <v>0.0</v>
      </c>
      <c r="H71" s="127" t="str">
        <f t="shared" si="1"/>
        <v>EYK=$295</v>
      </c>
    </row>
    <row r="72" ht="22.5" customHeight="1">
      <c r="A72" s="126" t="s">
        <v>953</v>
      </c>
      <c r="B72" s="129" t="s">
        <v>953</v>
      </c>
      <c r="C72" s="126" t="s">
        <v>2305</v>
      </c>
      <c r="D72" s="127">
        <v>1500.0</v>
      </c>
      <c r="E72" s="130" t="s">
        <v>2230</v>
      </c>
      <c r="F72" s="131">
        <v>1500.0</v>
      </c>
      <c r="G72" s="127">
        <v>0.0</v>
      </c>
      <c r="H72" s="127" t="str">
        <f t="shared" si="1"/>
        <v>FA5=$1,500</v>
      </c>
    </row>
    <row r="73" ht="22.5" customHeight="1">
      <c r="A73" s="126" t="s">
        <v>12</v>
      </c>
      <c r="B73" s="129" t="s">
        <v>12</v>
      </c>
      <c r="C73" s="126" t="s">
        <v>2306</v>
      </c>
      <c r="D73" s="127">
        <v>4995.0</v>
      </c>
      <c r="E73" s="130" t="s">
        <v>2307</v>
      </c>
      <c r="F73" s="131">
        <v>4995.0</v>
      </c>
      <c r="G73" s="127">
        <v>0.0</v>
      </c>
      <c r="H73" s="127" t="str">
        <f t="shared" si="1"/>
        <v>FA6=$4,995</v>
      </c>
    </row>
    <row r="74" ht="22.5" customHeight="1">
      <c r="A74" s="126" t="s">
        <v>238</v>
      </c>
      <c r="B74" s="129" t="s">
        <v>238</v>
      </c>
      <c r="C74" s="126" t="s">
        <v>2392</v>
      </c>
      <c r="D74" s="127">
        <v>1895.0</v>
      </c>
      <c r="E74" s="130" t="s">
        <v>2393</v>
      </c>
      <c r="F74" s="131">
        <v>1895.0</v>
      </c>
      <c r="G74" s="127">
        <v>0.0</v>
      </c>
      <c r="H74" s="127" t="str">
        <f t="shared" si="1"/>
        <v>FE2=$1,895</v>
      </c>
    </row>
    <row r="75" ht="22.5" customHeight="1">
      <c r="A75" s="126" t="s">
        <v>242</v>
      </c>
      <c r="B75" s="129" t="s">
        <v>242</v>
      </c>
      <c r="C75" s="126" t="s">
        <v>2394</v>
      </c>
      <c r="D75" s="127">
        <v>1895.0</v>
      </c>
      <c r="E75" s="130" t="s">
        <v>2395</v>
      </c>
      <c r="F75" s="131">
        <v>1895.0</v>
      </c>
      <c r="G75" s="127">
        <v>0.0</v>
      </c>
      <c r="H75" s="127" t="str">
        <f t="shared" si="1"/>
        <v>FE4=$1,895</v>
      </c>
    </row>
    <row r="76" ht="22.5" customHeight="1">
      <c r="A76" s="126" t="s">
        <v>246</v>
      </c>
      <c r="B76" s="129" t="s">
        <v>246</v>
      </c>
      <c r="C76" s="126" t="s">
        <v>247</v>
      </c>
      <c r="D76" s="127">
        <v>995.0</v>
      </c>
      <c r="E76" s="128"/>
      <c r="F76" s="131">
        <v>995.0</v>
      </c>
      <c r="G76" s="127">
        <v>0.0</v>
      </c>
      <c r="H76" s="127" t="str">
        <f t="shared" si="1"/>
        <v>G26=$995</v>
      </c>
    </row>
    <row r="77" ht="22.5" customHeight="1">
      <c r="A77" s="132" t="s">
        <v>257</v>
      </c>
      <c r="B77" s="133" t="s">
        <v>250</v>
      </c>
      <c r="C77" s="132" t="s">
        <v>2314</v>
      </c>
      <c r="D77" s="134">
        <v>500.0</v>
      </c>
      <c r="E77" s="141"/>
      <c r="F77" s="136" t="s">
        <v>2348</v>
      </c>
      <c r="G77" s="134" t="s">
        <v>2348</v>
      </c>
      <c r="H77" s="134" t="str">
        <f t="shared" si="1"/>
        <v>G4Z=$500</v>
      </c>
    </row>
    <row r="78" ht="22.5" customHeight="1">
      <c r="A78" s="126" t="s">
        <v>2396</v>
      </c>
      <c r="B78" s="129" t="s">
        <v>257</v>
      </c>
      <c r="C78" s="126" t="s">
        <v>2315</v>
      </c>
      <c r="D78" s="127">
        <v>995.0</v>
      </c>
      <c r="E78" s="128"/>
      <c r="F78" s="131">
        <v>995.0</v>
      </c>
      <c r="G78" s="127">
        <v>0.0</v>
      </c>
      <c r="H78" s="127" t="str">
        <f t="shared" si="1"/>
        <v>GBK=$995</v>
      </c>
    </row>
    <row r="79" ht="22.5" customHeight="1">
      <c r="A79" s="126" t="s">
        <v>266</v>
      </c>
      <c r="B79" s="129" t="s">
        <v>266</v>
      </c>
      <c r="C79" s="126" t="s">
        <v>267</v>
      </c>
      <c r="D79" s="127">
        <v>995.0</v>
      </c>
      <c r="E79" s="128"/>
      <c r="F79" s="131">
        <v>995.0</v>
      </c>
      <c r="G79" s="127">
        <v>0.0</v>
      </c>
      <c r="H79" s="127" t="str">
        <f t="shared" si="1"/>
        <v>GPH=$995</v>
      </c>
    </row>
    <row r="80" ht="22.5" customHeight="1">
      <c r="A80" s="132" t="s">
        <v>1397</v>
      </c>
      <c r="B80" s="133" t="s">
        <v>1397</v>
      </c>
      <c r="C80" s="132" t="s">
        <v>1398</v>
      </c>
      <c r="D80" s="134">
        <v>9000.0</v>
      </c>
      <c r="E80" s="135" t="s">
        <v>2397</v>
      </c>
      <c r="F80" s="136">
        <v>8495.0</v>
      </c>
      <c r="G80" s="134">
        <v>505.0</v>
      </c>
      <c r="H80" s="134" t="str">
        <f t="shared" si="1"/>
        <v>J57=$9,000</v>
      </c>
    </row>
    <row r="81" ht="22.5" customHeight="1">
      <c r="A81" s="126" t="s">
        <v>13</v>
      </c>
      <c r="B81" s="129" t="s">
        <v>1314</v>
      </c>
      <c r="C81" s="126" t="s">
        <v>2236</v>
      </c>
      <c r="D81" s="127">
        <v>695.0</v>
      </c>
      <c r="E81" s="130" t="s">
        <v>2398</v>
      </c>
      <c r="F81" s="131">
        <v>695.0</v>
      </c>
      <c r="G81" s="127">
        <v>0.0</v>
      </c>
      <c r="H81" s="127" t="str">
        <f t="shared" si="1"/>
        <v>J6B=$695</v>
      </c>
    </row>
    <row r="82" ht="22.5" customHeight="1">
      <c r="A82" s="126" t="s">
        <v>278</v>
      </c>
      <c r="B82" s="129" t="s">
        <v>13</v>
      </c>
      <c r="C82" s="126" t="s">
        <v>2237</v>
      </c>
      <c r="D82" s="127">
        <v>695.0</v>
      </c>
      <c r="E82" s="128"/>
      <c r="F82" s="131">
        <v>695.0</v>
      </c>
      <c r="G82" s="127">
        <v>0.0</v>
      </c>
      <c r="H82" s="127" t="str">
        <f t="shared" si="1"/>
        <v>J6E=$695</v>
      </c>
    </row>
    <row r="83" ht="22.5" customHeight="1">
      <c r="A83" s="126" t="s">
        <v>1320</v>
      </c>
      <c r="B83" s="129" t="s">
        <v>278</v>
      </c>
      <c r="C83" s="126" t="s">
        <v>2238</v>
      </c>
      <c r="D83" s="127">
        <v>695.0</v>
      </c>
      <c r="E83" s="128"/>
      <c r="F83" s="131">
        <v>695.0</v>
      </c>
      <c r="G83" s="127">
        <v>0.0</v>
      </c>
      <c r="H83" s="127" t="str">
        <f t="shared" si="1"/>
        <v>J6F=$695</v>
      </c>
    </row>
    <row r="84" ht="22.5" customHeight="1">
      <c r="A84" s="126" t="s">
        <v>280</v>
      </c>
      <c r="B84" s="129" t="s">
        <v>1320</v>
      </c>
      <c r="C84" s="126" t="s">
        <v>2239</v>
      </c>
      <c r="D84" s="127">
        <v>695.0</v>
      </c>
      <c r="E84" s="130" t="s">
        <v>2399</v>
      </c>
      <c r="F84" s="131">
        <v>695.0</v>
      </c>
      <c r="G84" s="127">
        <v>0.0</v>
      </c>
      <c r="H84" s="127" t="str">
        <f t="shared" si="1"/>
        <v>J6L=$695</v>
      </c>
    </row>
    <row r="85" ht="22.5" customHeight="1">
      <c r="A85" s="126" t="s">
        <v>1314</v>
      </c>
      <c r="B85" s="129" t="s">
        <v>280</v>
      </c>
      <c r="C85" s="126" t="s">
        <v>2240</v>
      </c>
      <c r="D85" s="127">
        <v>695.0</v>
      </c>
      <c r="E85" s="128"/>
      <c r="F85" s="131">
        <v>695.0</v>
      </c>
      <c r="G85" s="127">
        <v>0.0</v>
      </c>
      <c r="H85" s="127" t="str">
        <f t="shared" si="1"/>
        <v>J6N=$695</v>
      </c>
    </row>
    <row r="86" ht="22.5" customHeight="1">
      <c r="A86" s="126" t="s">
        <v>1449</v>
      </c>
      <c r="B86" s="129" t="s">
        <v>1449</v>
      </c>
      <c r="C86" s="126" t="s">
        <v>2241</v>
      </c>
      <c r="D86" s="127">
        <v>695.0</v>
      </c>
      <c r="E86" s="130" t="s">
        <v>1451</v>
      </c>
      <c r="F86" s="131">
        <v>695.0</v>
      </c>
      <c r="G86" s="127">
        <v>0.0</v>
      </c>
      <c r="H86" s="127" t="str">
        <f t="shared" si="1"/>
        <v>J6O=$695</v>
      </c>
    </row>
    <row r="87" ht="22.5" customHeight="1">
      <c r="A87" s="126" t="s">
        <v>728</v>
      </c>
      <c r="B87" s="129" t="s">
        <v>728</v>
      </c>
      <c r="C87" s="126" t="s">
        <v>2308</v>
      </c>
      <c r="D87" s="127">
        <v>695.0</v>
      </c>
      <c r="E87" s="130" t="s">
        <v>2309</v>
      </c>
      <c r="F87" s="131">
        <v>695.0</v>
      </c>
      <c r="G87" s="127">
        <v>0.0</v>
      </c>
      <c r="H87" s="127" t="str">
        <f t="shared" si="1"/>
        <v>N26=$695</v>
      </c>
    </row>
    <row r="88" ht="22.5" customHeight="1">
      <c r="A88" s="126" t="s">
        <v>1479</v>
      </c>
      <c r="B88" s="129" t="s">
        <v>1479</v>
      </c>
      <c r="C88" s="126" t="s">
        <v>2310</v>
      </c>
      <c r="D88" s="127">
        <v>695.0</v>
      </c>
      <c r="E88" s="130" t="s">
        <v>2307</v>
      </c>
      <c r="F88" s="131">
        <v>695.0</v>
      </c>
      <c r="G88" s="127">
        <v>0.0</v>
      </c>
      <c r="H88" s="127" t="str">
        <f t="shared" si="1"/>
        <v>N2Z=$695</v>
      </c>
    </row>
    <row r="89" ht="22.5" customHeight="1">
      <c r="A89" s="126" t="s">
        <v>6</v>
      </c>
      <c r="B89" s="129" t="s">
        <v>6</v>
      </c>
      <c r="C89" s="126" t="s">
        <v>283</v>
      </c>
      <c r="D89" s="127">
        <v>395.0</v>
      </c>
      <c r="E89" s="130" t="s">
        <v>2400</v>
      </c>
      <c r="F89" s="131">
        <v>395.0</v>
      </c>
      <c r="G89" s="127">
        <v>0.0</v>
      </c>
      <c r="H89" s="127" t="str">
        <f t="shared" si="1"/>
        <v>NGA=$395</v>
      </c>
    </row>
    <row r="90" ht="22.5" customHeight="1">
      <c r="A90" s="126" t="s">
        <v>286</v>
      </c>
      <c r="B90" s="129" t="s">
        <v>286</v>
      </c>
      <c r="C90" s="126" t="s">
        <v>287</v>
      </c>
      <c r="D90" s="127">
        <v>1195.0</v>
      </c>
      <c r="E90" s="130" t="s">
        <v>2401</v>
      </c>
      <c r="F90" s="131">
        <v>1195.0</v>
      </c>
      <c r="G90" s="127">
        <v>0.0</v>
      </c>
      <c r="H90" s="127" t="str">
        <f t="shared" si="1"/>
        <v>NPP=$1,195</v>
      </c>
    </row>
    <row r="91" ht="22.5" customHeight="1">
      <c r="A91" s="132" t="s">
        <v>289</v>
      </c>
      <c r="B91" s="133" t="s">
        <v>289</v>
      </c>
      <c r="C91" s="132" t="s">
        <v>290</v>
      </c>
      <c r="D91" s="134">
        <v>1195.0</v>
      </c>
      <c r="E91" s="141"/>
      <c r="F91" s="136">
        <v>795.0</v>
      </c>
      <c r="G91" s="134">
        <v>400.0</v>
      </c>
      <c r="H91" s="134" t="str">
        <f t="shared" si="1"/>
        <v>PCU=$1,195</v>
      </c>
    </row>
    <row r="92" ht="22.5" customHeight="1">
      <c r="A92" s="132" t="s">
        <v>293</v>
      </c>
      <c r="B92" s="133" t="s">
        <v>293</v>
      </c>
      <c r="C92" s="132" t="s">
        <v>294</v>
      </c>
      <c r="D92" s="134">
        <v>4395.0</v>
      </c>
      <c r="E92" s="135" t="s">
        <v>2350</v>
      </c>
      <c r="F92" s="136">
        <v>4095.0</v>
      </c>
      <c r="G92" s="134">
        <v>300.0</v>
      </c>
      <c r="H92" s="134" t="str">
        <f t="shared" si="1"/>
        <v>PCX=$4,395</v>
      </c>
    </row>
    <row r="93" ht="22.5" customHeight="1">
      <c r="A93" s="132" t="s">
        <v>1400</v>
      </c>
      <c r="B93" s="133" t="s">
        <v>1400</v>
      </c>
      <c r="C93" s="132" t="s">
        <v>294</v>
      </c>
      <c r="D93" s="134">
        <v>5050.0</v>
      </c>
      <c r="E93" s="135" t="s">
        <v>2352</v>
      </c>
      <c r="F93" s="136">
        <v>4775.0</v>
      </c>
      <c r="G93" s="134">
        <v>275.0</v>
      </c>
      <c r="H93" s="134" t="str">
        <f t="shared" si="1"/>
        <v>PCZ=$5,050</v>
      </c>
    </row>
    <row r="94" ht="22.5" customHeight="1">
      <c r="A94" s="132" t="s">
        <v>1340</v>
      </c>
      <c r="B94" s="133" t="s">
        <v>1340</v>
      </c>
      <c r="C94" s="132" t="s">
        <v>1341</v>
      </c>
      <c r="D94" s="134">
        <v>925.0</v>
      </c>
      <c r="E94" s="135" t="s">
        <v>2356</v>
      </c>
      <c r="F94" s="136">
        <v>895.0</v>
      </c>
      <c r="G94" s="134">
        <v>30.0</v>
      </c>
      <c r="H94" s="134" t="str">
        <f t="shared" si="1"/>
        <v>PDA=$925</v>
      </c>
    </row>
    <row r="95" ht="22.5" customHeight="1">
      <c r="A95" s="139"/>
      <c r="B95" s="133" t="s">
        <v>2402</v>
      </c>
      <c r="C95" s="132" t="s">
        <v>2403</v>
      </c>
      <c r="D95" s="134">
        <v>16000.0</v>
      </c>
      <c r="E95" s="135" t="s">
        <v>2404</v>
      </c>
      <c r="F95" s="136" t="s">
        <v>2348</v>
      </c>
      <c r="G95" s="134" t="s">
        <v>2348</v>
      </c>
      <c r="H95" s="134" t="str">
        <f t="shared" si="1"/>
        <v>PDB=$16,000</v>
      </c>
    </row>
    <row r="96" ht="22.5" customHeight="1">
      <c r="A96" s="139"/>
      <c r="B96" s="133" t="s">
        <v>2402</v>
      </c>
      <c r="C96" s="132" t="s">
        <v>2403</v>
      </c>
      <c r="D96" s="134">
        <v>17000.0</v>
      </c>
      <c r="E96" s="135" t="s">
        <v>2405</v>
      </c>
      <c r="F96" s="136" t="s">
        <v>2348</v>
      </c>
      <c r="G96" s="134" t="s">
        <v>2348</v>
      </c>
      <c r="H96" s="134" t="str">
        <f t="shared" si="1"/>
        <v>PDB=$17,000</v>
      </c>
    </row>
    <row r="97" ht="22.5" customHeight="1">
      <c r="A97" s="139"/>
      <c r="B97" s="133" t="s">
        <v>2402</v>
      </c>
      <c r="C97" s="132" t="s">
        <v>2403</v>
      </c>
      <c r="D97" s="134">
        <v>17500.0</v>
      </c>
      <c r="E97" s="135" t="s">
        <v>2406</v>
      </c>
      <c r="F97" s="136" t="s">
        <v>2348</v>
      </c>
      <c r="G97" s="134" t="s">
        <v>2348</v>
      </c>
      <c r="H97" s="134" t="str">
        <f t="shared" si="1"/>
        <v>PDB=$17,500</v>
      </c>
    </row>
    <row r="98" ht="22.5" customHeight="1">
      <c r="A98" s="139"/>
      <c r="B98" s="133" t="s">
        <v>2407</v>
      </c>
      <c r="C98" s="132" t="s">
        <v>2408</v>
      </c>
      <c r="D98" s="134">
        <v>24995.0</v>
      </c>
      <c r="E98" s="135" t="s">
        <v>2404</v>
      </c>
      <c r="F98" s="136" t="s">
        <v>2348</v>
      </c>
      <c r="G98" s="134" t="s">
        <v>2348</v>
      </c>
      <c r="H98" s="134" t="str">
        <f t="shared" si="1"/>
        <v>PDD=$24,995</v>
      </c>
    </row>
    <row r="99" ht="22.5" customHeight="1">
      <c r="A99" s="139"/>
      <c r="B99" s="133" t="s">
        <v>2407</v>
      </c>
      <c r="C99" s="132" t="s">
        <v>2408</v>
      </c>
      <c r="D99" s="134">
        <v>25995.0</v>
      </c>
      <c r="E99" s="135" t="s">
        <v>2405</v>
      </c>
      <c r="F99" s="136" t="s">
        <v>2348</v>
      </c>
      <c r="G99" s="134" t="s">
        <v>2348</v>
      </c>
      <c r="H99" s="134" t="str">
        <f t="shared" si="1"/>
        <v>PDD=$25,995</v>
      </c>
    </row>
    <row r="100" ht="22.5" customHeight="1">
      <c r="A100" s="139"/>
      <c r="B100" s="133" t="s">
        <v>2407</v>
      </c>
      <c r="C100" s="132" t="s">
        <v>2408</v>
      </c>
      <c r="D100" s="134">
        <v>26495.0</v>
      </c>
      <c r="E100" s="135" t="s">
        <v>2406</v>
      </c>
      <c r="F100" s="136" t="s">
        <v>2348</v>
      </c>
      <c r="G100" s="134" t="s">
        <v>2348</v>
      </c>
      <c r="H100" s="134" t="str">
        <f t="shared" si="1"/>
        <v>PDD=$26,495</v>
      </c>
    </row>
    <row r="101" ht="22.5" customHeight="1">
      <c r="A101" s="139"/>
      <c r="B101" s="133" t="s">
        <v>2409</v>
      </c>
      <c r="C101" s="132" t="s">
        <v>2410</v>
      </c>
      <c r="D101" s="134">
        <v>25995.0</v>
      </c>
      <c r="E101" s="135" t="s">
        <v>2404</v>
      </c>
      <c r="F101" s="136" t="s">
        <v>2348</v>
      </c>
      <c r="G101" s="134" t="s">
        <v>2348</v>
      </c>
      <c r="H101" s="134" t="str">
        <f t="shared" si="1"/>
        <v>PDF=$25,995</v>
      </c>
    </row>
    <row r="102" ht="22.5" customHeight="1">
      <c r="A102" s="139"/>
      <c r="B102" s="133" t="s">
        <v>2409</v>
      </c>
      <c r="C102" s="132" t="s">
        <v>2410</v>
      </c>
      <c r="D102" s="134">
        <v>26995.0</v>
      </c>
      <c r="E102" s="135" t="s">
        <v>2405</v>
      </c>
      <c r="F102" s="136" t="s">
        <v>2348</v>
      </c>
      <c r="G102" s="134" t="s">
        <v>2348</v>
      </c>
      <c r="H102" s="134" t="str">
        <f t="shared" si="1"/>
        <v>PDF=$26,995</v>
      </c>
    </row>
    <row r="103" ht="22.5" customHeight="1">
      <c r="A103" s="139"/>
      <c r="B103" s="133" t="s">
        <v>2409</v>
      </c>
      <c r="C103" s="132" t="s">
        <v>2410</v>
      </c>
      <c r="D103" s="134">
        <v>27495.0</v>
      </c>
      <c r="E103" s="135" t="s">
        <v>2406</v>
      </c>
      <c r="F103" s="136" t="s">
        <v>2348</v>
      </c>
      <c r="G103" s="134" t="s">
        <v>2348</v>
      </c>
      <c r="H103" s="134" t="str">
        <f t="shared" si="1"/>
        <v>PDF=$27,495</v>
      </c>
    </row>
    <row r="104" ht="22.5" customHeight="1">
      <c r="A104" s="132" t="s">
        <v>298</v>
      </c>
      <c r="B104" s="133" t="s">
        <v>298</v>
      </c>
      <c r="C104" s="132" t="s">
        <v>299</v>
      </c>
      <c r="D104" s="134">
        <v>750.0</v>
      </c>
      <c r="E104" s="135" t="s">
        <v>2350</v>
      </c>
      <c r="F104" s="136">
        <v>695.0</v>
      </c>
      <c r="G104" s="134">
        <v>55.0</v>
      </c>
      <c r="H104" s="134" t="str">
        <f t="shared" si="1"/>
        <v>PDV=$750</v>
      </c>
    </row>
    <row r="105" ht="22.5" customHeight="1">
      <c r="A105" s="126" t="s">
        <v>302</v>
      </c>
      <c r="B105" s="129" t="s">
        <v>302</v>
      </c>
      <c r="C105" s="126" t="s">
        <v>303</v>
      </c>
      <c r="D105" s="127">
        <v>195.0</v>
      </c>
      <c r="E105" s="130" t="s">
        <v>2251</v>
      </c>
      <c r="F105" s="131">
        <v>195.0</v>
      </c>
      <c r="G105" s="127">
        <v>0.0</v>
      </c>
      <c r="H105" s="127" t="str">
        <f t="shared" si="1"/>
        <v>PDY=$195</v>
      </c>
    </row>
    <row r="106" ht="22.5" customHeight="1">
      <c r="A106" s="132" t="s">
        <v>7</v>
      </c>
      <c r="B106" s="133" t="s">
        <v>7</v>
      </c>
      <c r="C106" s="132" t="s">
        <v>305</v>
      </c>
      <c r="D106" s="134">
        <v>475.0</v>
      </c>
      <c r="E106" s="141"/>
      <c r="F106" s="136">
        <v>425.0</v>
      </c>
      <c r="G106" s="134">
        <v>50.0</v>
      </c>
      <c r="H106" s="134" t="str">
        <f t="shared" si="1"/>
        <v>PEF=$475</v>
      </c>
    </row>
    <row r="107" ht="22.5" customHeight="1">
      <c r="A107" s="126" t="s">
        <v>307</v>
      </c>
      <c r="B107" s="129" t="s">
        <v>307</v>
      </c>
      <c r="C107" s="126" t="s">
        <v>2231</v>
      </c>
      <c r="D107" s="127">
        <v>5000.0</v>
      </c>
      <c r="E107" s="128"/>
      <c r="F107" s="131">
        <v>5000.0</v>
      </c>
      <c r="G107" s="127">
        <v>0.0</v>
      </c>
      <c r="H107" s="127" t="str">
        <f t="shared" si="1"/>
        <v>PIN=$5,000</v>
      </c>
    </row>
    <row r="108" ht="22.5" customHeight="1">
      <c r="A108" s="139"/>
      <c r="B108" s="133" t="s">
        <v>1166</v>
      </c>
      <c r="C108" s="132" t="s">
        <v>2243</v>
      </c>
      <c r="D108" s="134">
        <v>800.0</v>
      </c>
      <c r="E108" s="141"/>
      <c r="F108" s="136" t="s">
        <v>2348</v>
      </c>
      <c r="G108" s="134" t="s">
        <v>2348</v>
      </c>
      <c r="H108" s="134" t="str">
        <f t="shared" si="1"/>
        <v>PRB=$800</v>
      </c>
    </row>
    <row r="109" ht="22.5" customHeight="1">
      <c r="A109" s="126" t="s">
        <v>310</v>
      </c>
      <c r="B109" s="129" t="s">
        <v>310</v>
      </c>
      <c r="C109" s="126" t="s">
        <v>2411</v>
      </c>
      <c r="D109" s="127">
        <v>1995.0</v>
      </c>
      <c r="E109" s="130" t="s">
        <v>2350</v>
      </c>
      <c r="F109" s="131">
        <v>1995.0</v>
      </c>
      <c r="G109" s="127">
        <v>0.0</v>
      </c>
      <c r="H109" s="127" t="str">
        <f t="shared" si="1"/>
        <v>Q99=$1,995</v>
      </c>
    </row>
    <row r="110" ht="22.5" customHeight="1">
      <c r="A110" s="126" t="s">
        <v>314</v>
      </c>
      <c r="B110" s="129" t="s">
        <v>314</v>
      </c>
      <c r="C110" s="126" t="s">
        <v>2412</v>
      </c>
      <c r="D110" s="127">
        <v>1495.0</v>
      </c>
      <c r="E110" s="130" t="s">
        <v>2350</v>
      </c>
      <c r="F110" s="131">
        <v>1495.0</v>
      </c>
      <c r="G110" s="127">
        <v>0.0</v>
      </c>
      <c r="H110" s="127" t="str">
        <f t="shared" si="1"/>
        <v>Q9A=$1,495</v>
      </c>
    </row>
    <row r="111" ht="22.5" customHeight="1">
      <c r="A111" s="126" t="s">
        <v>316</v>
      </c>
      <c r="B111" s="129" t="s">
        <v>316</v>
      </c>
      <c r="C111" s="126" t="s">
        <v>2413</v>
      </c>
      <c r="D111" s="127">
        <v>995.0</v>
      </c>
      <c r="E111" s="130" t="s">
        <v>2350</v>
      </c>
      <c r="F111" s="131">
        <v>995.0</v>
      </c>
      <c r="G111" s="127">
        <v>0.0</v>
      </c>
      <c r="H111" s="127" t="str">
        <f t="shared" si="1"/>
        <v>Q9I=$995</v>
      </c>
    </row>
    <row r="112" ht="22.5" customHeight="1">
      <c r="A112" s="126" t="s">
        <v>318</v>
      </c>
      <c r="B112" s="129" t="s">
        <v>318</v>
      </c>
      <c r="C112" s="126" t="s">
        <v>2414</v>
      </c>
      <c r="D112" s="127">
        <v>995.0</v>
      </c>
      <c r="E112" s="130" t="s">
        <v>2350</v>
      </c>
      <c r="F112" s="131">
        <v>995.0</v>
      </c>
      <c r="G112" s="127">
        <v>0.0</v>
      </c>
      <c r="H112" s="127" t="str">
        <f t="shared" si="1"/>
        <v>Q9O=$995</v>
      </c>
    </row>
    <row r="113" ht="22.5" customHeight="1">
      <c r="A113" s="126" t="s">
        <v>320</v>
      </c>
      <c r="B113" s="129" t="s">
        <v>320</v>
      </c>
      <c r="C113" s="126" t="s">
        <v>2415</v>
      </c>
      <c r="D113" s="127">
        <v>995.0</v>
      </c>
      <c r="E113" s="130" t="s">
        <v>2350</v>
      </c>
      <c r="F113" s="131">
        <v>995.0</v>
      </c>
      <c r="G113" s="127">
        <v>0.0</v>
      </c>
      <c r="H113" s="127" t="str">
        <f t="shared" si="1"/>
        <v>Q9Y=$995</v>
      </c>
    </row>
    <row r="114" ht="22.5" customHeight="1">
      <c r="A114" s="126" t="s">
        <v>322</v>
      </c>
      <c r="B114" s="129" t="s">
        <v>322</v>
      </c>
      <c r="C114" s="126" t="s">
        <v>2416</v>
      </c>
      <c r="D114" s="127">
        <v>995.0</v>
      </c>
      <c r="E114" s="130" t="s">
        <v>2350</v>
      </c>
      <c r="F114" s="131">
        <v>995.0</v>
      </c>
      <c r="G114" s="127">
        <v>0.0</v>
      </c>
      <c r="H114" s="127" t="str">
        <f t="shared" si="1"/>
        <v>QE5=$995</v>
      </c>
    </row>
    <row r="115" ht="22.5" customHeight="1">
      <c r="A115" s="126" t="s">
        <v>1177</v>
      </c>
      <c r="B115" s="129" t="s">
        <v>1177</v>
      </c>
      <c r="C115" s="126" t="s">
        <v>2244</v>
      </c>
      <c r="D115" s="127">
        <v>299.0</v>
      </c>
      <c r="E115" s="128"/>
      <c r="F115" s="131">
        <v>299.0</v>
      </c>
      <c r="G115" s="127">
        <v>0.0</v>
      </c>
      <c r="H115" s="127" t="str">
        <f t="shared" si="1"/>
        <v>R6P=$299</v>
      </c>
    </row>
    <row r="116" ht="22.5" customHeight="1">
      <c r="A116" s="126" t="s">
        <v>1179</v>
      </c>
      <c r="B116" s="129" t="s">
        <v>1179</v>
      </c>
      <c r="C116" s="137" t="s">
        <v>2232</v>
      </c>
      <c r="D116" s="127">
        <v>695.0</v>
      </c>
      <c r="E116" s="138" t="s">
        <v>2233</v>
      </c>
      <c r="F116" s="131">
        <v>695.0</v>
      </c>
      <c r="G116" s="127">
        <v>0.0</v>
      </c>
      <c r="H116" s="127" t="str">
        <f t="shared" si="1"/>
        <v>R6X=$695</v>
      </c>
    </row>
    <row r="117" ht="22.5" customHeight="1">
      <c r="A117" s="139"/>
      <c r="B117" s="133" t="s">
        <v>327</v>
      </c>
      <c r="C117" s="132" t="s">
        <v>2252</v>
      </c>
      <c r="D117" s="134">
        <v>495.0</v>
      </c>
      <c r="E117" s="141"/>
      <c r="F117" s="136" t="s">
        <v>2348</v>
      </c>
      <c r="G117" s="134" t="s">
        <v>2348</v>
      </c>
      <c r="H117" s="134" t="str">
        <f t="shared" si="1"/>
        <v>R88=$495</v>
      </c>
    </row>
    <row r="118" ht="22.5" customHeight="1">
      <c r="A118" s="126" t="s">
        <v>331</v>
      </c>
      <c r="B118" s="129" t="s">
        <v>331</v>
      </c>
      <c r="C118" s="126" t="s">
        <v>332</v>
      </c>
      <c r="D118" s="127">
        <v>1495.0</v>
      </c>
      <c r="E118" s="128"/>
      <c r="F118" s="131">
        <v>1495.0</v>
      </c>
      <c r="G118" s="127">
        <v>0.0</v>
      </c>
      <c r="H118" s="127" t="str">
        <f t="shared" si="1"/>
        <v>R8C=$1,495</v>
      </c>
    </row>
    <row r="119" ht="22.5" customHeight="1">
      <c r="A119" s="126" t="s">
        <v>24</v>
      </c>
      <c r="B119" s="142" t="s">
        <v>4</v>
      </c>
      <c r="C119" s="137" t="s">
        <v>1405</v>
      </c>
      <c r="D119" s="123">
        <v>2600.0</v>
      </c>
      <c r="E119" s="143" t="s">
        <v>2352</v>
      </c>
      <c r="F119" s="131">
        <v>3000.0</v>
      </c>
      <c r="G119" s="127">
        <v>-3000.0</v>
      </c>
      <c r="H119" s="127" t="str">
        <f t="shared" si="1"/>
        <v>R8E T0E=$2,600</v>
      </c>
    </row>
    <row r="120" ht="22.5" customHeight="1">
      <c r="A120" s="122" t="s">
        <v>2417</v>
      </c>
      <c r="B120" s="142" t="s">
        <v>2418</v>
      </c>
      <c r="C120" s="137" t="s">
        <v>1405</v>
      </c>
      <c r="D120" s="123">
        <v>3000.0</v>
      </c>
      <c r="E120" s="143" t="s">
        <v>2419</v>
      </c>
      <c r="F120" s="131"/>
      <c r="G120" s="127"/>
      <c r="H120" s="127" t="str">
        <f t="shared" si="1"/>
        <v>R8E High Wing=$3,000</v>
      </c>
    </row>
    <row r="121" ht="22.5" customHeight="1">
      <c r="A121" s="126" t="s">
        <v>1193</v>
      </c>
      <c r="B121" s="129" t="s">
        <v>1193</v>
      </c>
      <c r="C121" s="126" t="s">
        <v>2245</v>
      </c>
      <c r="D121" s="127">
        <v>599.0</v>
      </c>
      <c r="E121" s="128"/>
      <c r="F121" s="131">
        <v>599.0</v>
      </c>
      <c r="G121" s="127">
        <v>0.0</v>
      </c>
      <c r="H121" s="127" t="str">
        <f t="shared" si="1"/>
        <v>R9V=$599</v>
      </c>
    </row>
    <row r="122" ht="22.5" customHeight="1">
      <c r="A122" s="139"/>
      <c r="B122" s="133" t="s">
        <v>1197</v>
      </c>
      <c r="C122" s="132" t="s">
        <v>2246</v>
      </c>
      <c r="D122" s="134">
        <v>199.0</v>
      </c>
      <c r="E122" s="141"/>
      <c r="F122" s="136" t="s">
        <v>2348</v>
      </c>
      <c r="G122" s="134" t="s">
        <v>2348</v>
      </c>
      <c r="H122" s="134" t="str">
        <f t="shared" si="1"/>
        <v>R9Y=$199</v>
      </c>
    </row>
    <row r="123" ht="22.5" customHeight="1">
      <c r="A123" s="132" t="s">
        <v>334</v>
      </c>
      <c r="B123" s="133" t="s">
        <v>334</v>
      </c>
      <c r="C123" s="132" t="s">
        <v>2253</v>
      </c>
      <c r="D123" s="134">
        <v>265.0</v>
      </c>
      <c r="E123" s="141"/>
      <c r="F123" s="136">
        <v>250.0</v>
      </c>
      <c r="G123" s="134">
        <v>15.0</v>
      </c>
      <c r="H123" s="134" t="str">
        <f t="shared" si="1"/>
        <v>RIA=$265</v>
      </c>
    </row>
    <row r="124" ht="22.5" customHeight="1">
      <c r="A124" s="132" t="s">
        <v>337</v>
      </c>
      <c r="B124" s="133" t="s">
        <v>337</v>
      </c>
      <c r="C124" s="132" t="s">
        <v>2254</v>
      </c>
      <c r="D124" s="134">
        <v>425.0</v>
      </c>
      <c r="E124" s="141"/>
      <c r="F124" s="136">
        <v>395.0</v>
      </c>
      <c r="G124" s="134">
        <v>30.0</v>
      </c>
      <c r="H124" s="134" t="str">
        <f t="shared" si="1"/>
        <v>RIK=$425</v>
      </c>
    </row>
    <row r="125" ht="22.5" customHeight="1">
      <c r="A125" s="126" t="s">
        <v>340</v>
      </c>
      <c r="B125" s="129" t="s">
        <v>340</v>
      </c>
      <c r="C125" s="126" t="s">
        <v>2255</v>
      </c>
      <c r="D125" s="127">
        <v>395.0</v>
      </c>
      <c r="E125" s="128"/>
      <c r="F125" s="131">
        <v>395.0</v>
      </c>
      <c r="G125" s="127">
        <v>0.0</v>
      </c>
      <c r="H125" s="127" t="str">
        <f t="shared" si="1"/>
        <v>RIN=$395</v>
      </c>
    </row>
    <row r="126" ht="22.5" customHeight="1">
      <c r="A126" s="132" t="s">
        <v>343</v>
      </c>
      <c r="B126" s="133" t="s">
        <v>343</v>
      </c>
      <c r="C126" s="132" t="s">
        <v>2420</v>
      </c>
      <c r="D126" s="134">
        <v>495.0</v>
      </c>
      <c r="E126" s="135" t="s">
        <v>2350</v>
      </c>
      <c r="F126" s="136">
        <v>475.0</v>
      </c>
      <c r="G126" s="134">
        <v>20.0</v>
      </c>
      <c r="H126" s="134" t="str">
        <f t="shared" si="1"/>
        <v>RNX=$495</v>
      </c>
    </row>
    <row r="127" ht="22.5" customHeight="1">
      <c r="A127" s="126" t="s">
        <v>1369</v>
      </c>
      <c r="B127" s="129" t="s">
        <v>1369</v>
      </c>
      <c r="C127" s="126" t="s">
        <v>2421</v>
      </c>
      <c r="D127" s="127">
        <v>995.0</v>
      </c>
      <c r="E127" s="130" t="s">
        <v>2384</v>
      </c>
      <c r="F127" s="131">
        <v>995.0</v>
      </c>
      <c r="G127" s="127">
        <v>0.0</v>
      </c>
      <c r="H127" s="127" t="str">
        <f t="shared" si="1"/>
        <v>ROX=$995</v>
      </c>
    </row>
    <row r="128" ht="22.5" customHeight="1">
      <c r="A128" s="126" t="s">
        <v>1372</v>
      </c>
      <c r="B128" s="129" t="s">
        <v>1372</v>
      </c>
      <c r="C128" s="126" t="s">
        <v>2422</v>
      </c>
      <c r="D128" s="127">
        <v>11995.0</v>
      </c>
      <c r="E128" s="130" t="s">
        <v>2356</v>
      </c>
      <c r="F128" s="131">
        <v>11995.0</v>
      </c>
      <c r="G128" s="127">
        <v>0.0</v>
      </c>
      <c r="H128" s="127" t="str">
        <f t="shared" si="1"/>
        <v>ROY=$11,995</v>
      </c>
    </row>
    <row r="129" ht="22.5" customHeight="1">
      <c r="A129" s="126" t="s">
        <v>1376</v>
      </c>
      <c r="B129" s="129" t="s">
        <v>1376</v>
      </c>
      <c r="C129" s="126" t="s">
        <v>2423</v>
      </c>
      <c r="D129" s="127">
        <v>13995.0</v>
      </c>
      <c r="E129" s="130" t="s">
        <v>2356</v>
      </c>
      <c r="F129" s="131">
        <v>13995.0</v>
      </c>
      <c r="G129" s="127">
        <v>0.0</v>
      </c>
      <c r="H129" s="127" t="str">
        <f t="shared" si="1"/>
        <v>ROZ=$13,995</v>
      </c>
    </row>
    <row r="130" ht="22.5" customHeight="1">
      <c r="A130" s="132" t="s">
        <v>346</v>
      </c>
      <c r="B130" s="133" t="s">
        <v>346</v>
      </c>
      <c r="C130" s="132" t="s">
        <v>2256</v>
      </c>
      <c r="D130" s="134">
        <v>495.0</v>
      </c>
      <c r="E130" s="141"/>
      <c r="F130" s="136">
        <v>475.0</v>
      </c>
      <c r="G130" s="134">
        <v>20.0</v>
      </c>
      <c r="H130" s="134" t="str">
        <f t="shared" si="1"/>
        <v>RWH=$495</v>
      </c>
    </row>
    <row r="131" ht="22.5" customHeight="1">
      <c r="A131" s="132" t="s">
        <v>348</v>
      </c>
      <c r="B131" s="133" t="s">
        <v>348</v>
      </c>
      <c r="C131" s="132" t="s">
        <v>2257</v>
      </c>
      <c r="D131" s="134">
        <v>495.0</v>
      </c>
      <c r="E131" s="135" t="s">
        <v>2350</v>
      </c>
      <c r="F131" s="136">
        <v>475.0</v>
      </c>
      <c r="G131" s="134">
        <v>20.0</v>
      </c>
      <c r="H131" s="134" t="str">
        <f t="shared" si="1"/>
        <v>RWJ=$495</v>
      </c>
    </row>
    <row r="132" ht="22.5" customHeight="1">
      <c r="A132" s="126" t="s">
        <v>350</v>
      </c>
      <c r="B132" s="129" t="s">
        <v>350</v>
      </c>
      <c r="C132" s="126" t="s">
        <v>2258</v>
      </c>
      <c r="D132" s="127">
        <v>175.0</v>
      </c>
      <c r="E132" s="128"/>
      <c r="F132" s="131">
        <v>175.0</v>
      </c>
      <c r="G132" s="127">
        <v>0.0</v>
      </c>
      <c r="H132" s="127" t="str">
        <f t="shared" si="1"/>
        <v>RWU=$175</v>
      </c>
    </row>
    <row r="133" ht="22.5" customHeight="1">
      <c r="A133" s="126" t="s">
        <v>352</v>
      </c>
      <c r="B133" s="129" t="s">
        <v>352</v>
      </c>
      <c r="C133" s="126" t="s">
        <v>2424</v>
      </c>
      <c r="D133" s="127">
        <v>250.0</v>
      </c>
      <c r="E133" s="130" t="s">
        <v>2350</v>
      </c>
      <c r="F133" s="131">
        <v>250.0</v>
      </c>
      <c r="G133" s="127">
        <v>0.0</v>
      </c>
      <c r="H133" s="127" t="str">
        <f t="shared" si="1"/>
        <v>RXH=$250</v>
      </c>
    </row>
    <row r="134" ht="22.5" customHeight="1">
      <c r="A134" s="126" t="s">
        <v>1406</v>
      </c>
      <c r="B134" s="129" t="s">
        <v>1406</v>
      </c>
      <c r="C134" s="126" t="s">
        <v>2425</v>
      </c>
      <c r="D134" s="127">
        <v>2395.0</v>
      </c>
      <c r="E134" s="130" t="s">
        <v>2352</v>
      </c>
      <c r="F134" s="131">
        <v>2395.0</v>
      </c>
      <c r="G134" s="127">
        <v>0.0</v>
      </c>
      <c r="H134" s="127" t="str">
        <f t="shared" si="1"/>
        <v>RXI=$2,395</v>
      </c>
    </row>
    <row r="135" ht="22.5" customHeight="1">
      <c r="A135" s="126" t="s">
        <v>354</v>
      </c>
      <c r="B135" s="129" t="s">
        <v>354</v>
      </c>
      <c r="C135" s="126" t="s">
        <v>2426</v>
      </c>
      <c r="D135" s="127">
        <v>250.0</v>
      </c>
      <c r="E135" s="130" t="s">
        <v>2350</v>
      </c>
      <c r="F135" s="131">
        <v>250.0</v>
      </c>
      <c r="G135" s="127">
        <v>0.0</v>
      </c>
      <c r="H135" s="127" t="str">
        <f t="shared" si="1"/>
        <v>RXJ=$250</v>
      </c>
    </row>
    <row r="136" ht="22.5" customHeight="1">
      <c r="A136" s="132" t="s">
        <v>356</v>
      </c>
      <c r="B136" s="133" t="s">
        <v>356</v>
      </c>
      <c r="C136" s="132" t="s">
        <v>357</v>
      </c>
      <c r="D136" s="134">
        <v>3995.0</v>
      </c>
      <c r="E136" s="135" t="s">
        <v>2427</v>
      </c>
      <c r="F136" s="136">
        <v>3225.0</v>
      </c>
      <c r="G136" s="134">
        <v>770.0</v>
      </c>
      <c r="H136" s="134" t="str">
        <f t="shared" si="1"/>
        <v>RYQ=$3,995</v>
      </c>
    </row>
    <row r="137" ht="22.5" customHeight="1">
      <c r="A137" s="132" t="s">
        <v>359</v>
      </c>
      <c r="B137" s="133" t="s">
        <v>359</v>
      </c>
      <c r="C137" s="132" t="s">
        <v>2259</v>
      </c>
      <c r="D137" s="134">
        <v>60.0</v>
      </c>
      <c r="E137" s="141"/>
      <c r="F137" s="136">
        <v>50.0</v>
      </c>
      <c r="G137" s="134">
        <v>10.0</v>
      </c>
      <c r="H137" s="134" t="str">
        <f t="shared" si="1"/>
        <v>RYT=$60</v>
      </c>
    </row>
    <row r="138" ht="22.5" customHeight="1">
      <c r="A138" s="126" t="s">
        <v>362</v>
      </c>
      <c r="B138" s="129" t="s">
        <v>362</v>
      </c>
      <c r="C138" s="126" t="s">
        <v>363</v>
      </c>
      <c r="D138" s="127">
        <v>2495.0</v>
      </c>
      <c r="E138" s="130" t="s">
        <v>2350</v>
      </c>
      <c r="F138" s="131">
        <v>2495.0</v>
      </c>
      <c r="G138" s="127">
        <v>0.0</v>
      </c>
      <c r="H138" s="127" t="str">
        <f t="shared" si="1"/>
        <v>RZ9=$2,495</v>
      </c>
    </row>
    <row r="139" ht="22.5" customHeight="1">
      <c r="A139" s="126" t="s">
        <v>365</v>
      </c>
      <c r="B139" s="129" t="s">
        <v>365</v>
      </c>
      <c r="C139" s="137" t="s">
        <v>2260</v>
      </c>
      <c r="D139" s="127">
        <v>150.0</v>
      </c>
      <c r="E139" s="140"/>
      <c r="F139" s="131">
        <v>150.0</v>
      </c>
      <c r="G139" s="127">
        <v>0.0</v>
      </c>
      <c r="H139" s="127" t="str">
        <f t="shared" si="1"/>
        <v>S08=$150</v>
      </c>
    </row>
    <row r="140" ht="22.5" customHeight="1">
      <c r="A140" s="126" t="s">
        <v>367</v>
      </c>
      <c r="B140" s="129" t="s">
        <v>367</v>
      </c>
      <c r="C140" s="126" t="s">
        <v>2261</v>
      </c>
      <c r="D140" s="127">
        <v>1695.0</v>
      </c>
      <c r="E140" s="128"/>
      <c r="F140" s="131">
        <v>1695.0</v>
      </c>
      <c r="G140" s="127">
        <v>0.0</v>
      </c>
      <c r="H140" s="127" t="str">
        <f t="shared" si="1"/>
        <v>S2L=$1,695</v>
      </c>
    </row>
    <row r="141" ht="22.5" customHeight="1">
      <c r="A141" s="132" t="s">
        <v>370</v>
      </c>
      <c r="B141" s="133" t="s">
        <v>370</v>
      </c>
      <c r="C141" s="144" t="s">
        <v>2262</v>
      </c>
      <c r="D141" s="134">
        <v>275.0</v>
      </c>
      <c r="E141" s="145"/>
      <c r="F141" s="136">
        <v>250.0</v>
      </c>
      <c r="G141" s="134">
        <v>25.0</v>
      </c>
      <c r="H141" s="134" t="str">
        <f t="shared" si="1"/>
        <v>S47=$275</v>
      </c>
    </row>
    <row r="142" ht="22.5" customHeight="1">
      <c r="A142" s="126" t="s">
        <v>372</v>
      </c>
      <c r="B142" s="129" t="s">
        <v>372</v>
      </c>
      <c r="C142" s="126" t="s">
        <v>2428</v>
      </c>
      <c r="D142" s="127">
        <v>495.0</v>
      </c>
      <c r="E142" s="130" t="s">
        <v>2350</v>
      </c>
      <c r="F142" s="131">
        <v>495.0</v>
      </c>
      <c r="G142" s="127">
        <v>0.0</v>
      </c>
      <c r="H142" s="127" t="str">
        <f t="shared" si="1"/>
        <v>SB7=$495</v>
      </c>
    </row>
    <row r="143" ht="22.5" customHeight="1">
      <c r="A143" s="132" t="s">
        <v>8</v>
      </c>
      <c r="B143" s="133" t="s">
        <v>8</v>
      </c>
      <c r="C143" s="144" t="s">
        <v>2263</v>
      </c>
      <c r="D143" s="134">
        <v>2350.0</v>
      </c>
      <c r="E143" s="146" t="s">
        <v>2356</v>
      </c>
      <c r="F143" s="136">
        <v>2295.0</v>
      </c>
      <c r="G143" s="134">
        <v>55.0</v>
      </c>
      <c r="H143" s="134" t="str">
        <f t="shared" si="1"/>
        <v>SBT=$2,350</v>
      </c>
    </row>
    <row r="144" ht="22.5" customHeight="1">
      <c r="A144" s="126" t="s">
        <v>375</v>
      </c>
      <c r="B144" s="129" t="s">
        <v>375</v>
      </c>
      <c r="C144" s="126" t="s">
        <v>2264</v>
      </c>
      <c r="D144" s="127">
        <v>195.0</v>
      </c>
      <c r="E144" s="128"/>
      <c r="F144" s="131">
        <v>195.0</v>
      </c>
      <c r="G144" s="127">
        <v>0.0</v>
      </c>
      <c r="H144" s="127" t="str">
        <f t="shared" si="1"/>
        <v>SC7=$195</v>
      </c>
    </row>
    <row r="145" ht="22.5" customHeight="1">
      <c r="A145" s="126" t="s">
        <v>379</v>
      </c>
      <c r="B145" s="129" t="s">
        <v>379</v>
      </c>
      <c r="C145" s="126" t="s">
        <v>2265</v>
      </c>
      <c r="D145" s="127">
        <v>125.0</v>
      </c>
      <c r="E145" s="128"/>
      <c r="F145" s="131">
        <v>125.0</v>
      </c>
      <c r="G145" s="127">
        <v>0.0</v>
      </c>
      <c r="H145" s="127" t="str">
        <f t="shared" si="1"/>
        <v>SDA=$125</v>
      </c>
    </row>
    <row r="146" ht="22.5" customHeight="1">
      <c r="A146" s="132" t="s">
        <v>381</v>
      </c>
      <c r="B146" s="133" t="s">
        <v>381</v>
      </c>
      <c r="C146" s="132" t="s">
        <v>2266</v>
      </c>
      <c r="D146" s="134">
        <v>125.0</v>
      </c>
      <c r="E146" s="141"/>
      <c r="F146" s="136">
        <v>120.0</v>
      </c>
      <c r="G146" s="134">
        <v>5.0</v>
      </c>
      <c r="H146" s="134" t="str">
        <f t="shared" si="1"/>
        <v>SFE=$125</v>
      </c>
    </row>
    <row r="147" ht="22.5" customHeight="1">
      <c r="A147" s="132" t="s">
        <v>383</v>
      </c>
      <c r="B147" s="133" t="s">
        <v>383</v>
      </c>
      <c r="C147" s="132" t="s">
        <v>384</v>
      </c>
      <c r="D147" s="134">
        <v>275.0</v>
      </c>
      <c r="E147" s="141"/>
      <c r="F147" s="136">
        <v>125.0</v>
      </c>
      <c r="G147" s="134">
        <v>150.0</v>
      </c>
      <c r="H147" s="134" t="str">
        <f t="shared" si="1"/>
        <v>SFZ=$275</v>
      </c>
    </row>
    <row r="148" ht="22.5" customHeight="1">
      <c r="A148" s="126" t="s">
        <v>1411</v>
      </c>
      <c r="B148" s="129" t="s">
        <v>1411</v>
      </c>
      <c r="C148" s="126" t="s">
        <v>1412</v>
      </c>
      <c r="D148" s="127">
        <v>275.0</v>
      </c>
      <c r="E148" s="130" t="s">
        <v>2352</v>
      </c>
      <c r="F148" s="131">
        <v>275.0</v>
      </c>
      <c r="G148" s="127">
        <v>0.0</v>
      </c>
      <c r="H148" s="127" t="str">
        <f t="shared" si="1"/>
        <v>SG1=$275</v>
      </c>
    </row>
    <row r="149" ht="22.5" customHeight="1">
      <c r="A149" s="126" t="s">
        <v>386</v>
      </c>
      <c r="B149" s="129" t="s">
        <v>386</v>
      </c>
      <c r="C149" s="126" t="s">
        <v>2429</v>
      </c>
      <c r="D149" s="127">
        <v>275.0</v>
      </c>
      <c r="E149" s="130" t="s">
        <v>2350</v>
      </c>
      <c r="F149" s="131">
        <v>275.0</v>
      </c>
      <c r="G149" s="127">
        <v>0.0</v>
      </c>
      <c r="H149" s="127" t="str">
        <f t="shared" si="1"/>
        <v>SHQ=$275</v>
      </c>
    </row>
    <row r="150" ht="22.5" customHeight="1">
      <c r="A150" s="126" t="s">
        <v>388</v>
      </c>
      <c r="B150" s="129" t="s">
        <v>388</v>
      </c>
      <c r="C150" s="126" t="s">
        <v>2430</v>
      </c>
      <c r="D150" s="127">
        <v>495.0</v>
      </c>
      <c r="E150" s="128"/>
      <c r="F150" s="131">
        <v>495.0</v>
      </c>
      <c r="G150" s="127">
        <v>0.0</v>
      </c>
      <c r="H150" s="127" t="str">
        <f t="shared" si="1"/>
        <v>SHT=$495</v>
      </c>
    </row>
    <row r="151" ht="22.5" customHeight="1">
      <c r="A151" s="126" t="s">
        <v>390</v>
      </c>
      <c r="B151" s="129" t="s">
        <v>390</v>
      </c>
      <c r="C151" s="126" t="s">
        <v>2431</v>
      </c>
      <c r="D151" s="127">
        <v>275.0</v>
      </c>
      <c r="E151" s="130" t="s">
        <v>2350</v>
      </c>
      <c r="F151" s="131">
        <v>275.0</v>
      </c>
      <c r="G151" s="127">
        <v>0.0</v>
      </c>
      <c r="H151" s="127" t="str">
        <f t="shared" si="1"/>
        <v>SHW=$275</v>
      </c>
    </row>
    <row r="152" ht="22.5" customHeight="1">
      <c r="A152" s="132" t="s">
        <v>1334</v>
      </c>
      <c r="B152" s="133" t="s">
        <v>1334</v>
      </c>
      <c r="C152" s="132" t="s">
        <v>2432</v>
      </c>
      <c r="D152" s="134">
        <v>425.0</v>
      </c>
      <c r="E152" s="141"/>
      <c r="F152" s="136">
        <v>395.0</v>
      </c>
      <c r="G152" s="134">
        <v>30.0</v>
      </c>
      <c r="H152" s="134" t="str">
        <f t="shared" si="1"/>
        <v>SIG=$425</v>
      </c>
    </row>
    <row r="153" ht="22.5" customHeight="1">
      <c r="A153" s="126" t="s">
        <v>392</v>
      </c>
      <c r="B153" s="129" t="s">
        <v>392</v>
      </c>
      <c r="C153" s="126" t="s">
        <v>2433</v>
      </c>
      <c r="D153" s="127">
        <v>475.0</v>
      </c>
      <c r="E153" s="130" t="s">
        <v>2350</v>
      </c>
      <c r="F153" s="131">
        <v>475.0</v>
      </c>
      <c r="G153" s="127">
        <v>0.0</v>
      </c>
      <c r="H153" s="127" t="str">
        <f t="shared" si="1"/>
        <v>SL1=$475</v>
      </c>
    </row>
    <row r="154" ht="22.5" customHeight="1">
      <c r="A154" s="126" t="s">
        <v>394</v>
      </c>
      <c r="B154" s="129" t="s">
        <v>394</v>
      </c>
      <c r="C154" s="126" t="s">
        <v>2267</v>
      </c>
      <c r="D154" s="127">
        <v>395.0</v>
      </c>
      <c r="E154" s="128"/>
      <c r="F154" s="131">
        <v>395.0</v>
      </c>
      <c r="G154" s="127">
        <v>0.0</v>
      </c>
      <c r="H154" s="127" t="str">
        <f t="shared" si="1"/>
        <v>SL8=$395</v>
      </c>
    </row>
    <row r="155" ht="22.5" customHeight="1">
      <c r="A155" s="126" t="s">
        <v>397</v>
      </c>
      <c r="B155" s="129" t="s">
        <v>397</v>
      </c>
      <c r="C155" s="126" t="s">
        <v>398</v>
      </c>
      <c r="D155" s="127">
        <v>95.0</v>
      </c>
      <c r="E155" s="128"/>
      <c r="F155" s="131">
        <v>95.0</v>
      </c>
      <c r="G155" s="127">
        <v>0.0</v>
      </c>
      <c r="H155" s="127" t="str">
        <f t="shared" si="1"/>
        <v>SL9=$95</v>
      </c>
    </row>
    <row r="156" ht="22.5" customHeight="1">
      <c r="A156" s="132" t="s">
        <v>400</v>
      </c>
      <c r="B156" s="133" t="s">
        <v>400</v>
      </c>
      <c r="C156" s="132" t="s">
        <v>2268</v>
      </c>
      <c r="D156" s="134">
        <v>1995.0</v>
      </c>
      <c r="E156" s="141"/>
      <c r="F156" s="136">
        <v>1795.0</v>
      </c>
      <c r="G156" s="134">
        <v>200.0</v>
      </c>
      <c r="H156" s="134" t="str">
        <f t="shared" si="1"/>
        <v>SLK=$1,995</v>
      </c>
    </row>
    <row r="157" ht="22.5" customHeight="1">
      <c r="A157" s="126" t="s">
        <v>403</v>
      </c>
      <c r="B157" s="129" t="s">
        <v>403</v>
      </c>
      <c r="C157" s="126" t="s">
        <v>2269</v>
      </c>
      <c r="D157" s="127">
        <v>2895.0</v>
      </c>
      <c r="E157" s="128"/>
      <c r="F157" s="131">
        <v>2895.0</v>
      </c>
      <c r="G157" s="127">
        <v>0.0</v>
      </c>
      <c r="H157" s="127" t="str">
        <f t="shared" si="1"/>
        <v>SLN=$2,895</v>
      </c>
    </row>
    <row r="158" ht="22.5" customHeight="1">
      <c r="A158" s="132" t="s">
        <v>1360</v>
      </c>
      <c r="B158" s="133" t="s">
        <v>1360</v>
      </c>
      <c r="C158" s="132" t="s">
        <v>1361</v>
      </c>
      <c r="D158" s="134">
        <v>595.0</v>
      </c>
      <c r="E158" s="135" t="s">
        <v>2356</v>
      </c>
      <c r="F158" s="136">
        <v>495.0</v>
      </c>
      <c r="G158" s="134">
        <v>100.0</v>
      </c>
      <c r="H158" s="134" t="str">
        <f t="shared" si="1"/>
        <v>SNE=$595</v>
      </c>
    </row>
    <row r="159" ht="22.5" customHeight="1">
      <c r="A159" s="132" t="s">
        <v>407</v>
      </c>
      <c r="B159" s="133" t="s">
        <v>407</v>
      </c>
      <c r="C159" s="144" t="s">
        <v>2434</v>
      </c>
      <c r="D159" s="134">
        <v>320.0</v>
      </c>
      <c r="E159" s="146" t="s">
        <v>2350</v>
      </c>
      <c r="F159" s="136">
        <v>275.0</v>
      </c>
      <c r="G159" s="134">
        <v>45.0</v>
      </c>
      <c r="H159" s="134" t="str">
        <f t="shared" si="1"/>
        <v>SNG=$320</v>
      </c>
    </row>
    <row r="160" ht="22.5" customHeight="1">
      <c r="A160" s="126" t="s">
        <v>1413</v>
      </c>
      <c r="B160" s="129" t="s">
        <v>1413</v>
      </c>
      <c r="C160" s="126" t="s">
        <v>2435</v>
      </c>
      <c r="D160" s="127">
        <v>995.0</v>
      </c>
      <c r="E160" s="130" t="s">
        <v>2352</v>
      </c>
      <c r="F160" s="131">
        <v>995.0</v>
      </c>
      <c r="G160" s="127">
        <v>0.0</v>
      </c>
      <c r="H160" s="127" t="str">
        <f t="shared" si="1"/>
        <v>SOA=$995</v>
      </c>
    </row>
    <row r="161" ht="22.5" customHeight="1">
      <c r="A161" s="126" t="s">
        <v>1452</v>
      </c>
      <c r="B161" s="129" t="s">
        <v>1452</v>
      </c>
      <c r="C161" s="126" t="s">
        <v>2341</v>
      </c>
      <c r="D161" s="127">
        <v>1495.0</v>
      </c>
      <c r="E161" s="130" t="s">
        <v>1451</v>
      </c>
      <c r="F161" s="131">
        <v>1495.0</v>
      </c>
      <c r="G161" s="127">
        <v>0.0</v>
      </c>
      <c r="H161" s="127" t="str">
        <f t="shared" si="1"/>
        <v>SOF=$1,495</v>
      </c>
    </row>
    <row r="162" ht="22.5" customHeight="1">
      <c r="A162" s="132" t="s">
        <v>16</v>
      </c>
      <c r="B162" s="133" t="s">
        <v>16</v>
      </c>
      <c r="C162" s="132" t="s">
        <v>2342</v>
      </c>
      <c r="D162" s="134">
        <v>1495.0</v>
      </c>
      <c r="E162" s="135" t="s">
        <v>1451</v>
      </c>
      <c r="F162" s="136">
        <v>995.0</v>
      </c>
      <c r="G162" s="134">
        <v>500.0</v>
      </c>
      <c r="H162" s="134" t="str">
        <f t="shared" si="1"/>
        <v>SOG=$1,495</v>
      </c>
    </row>
    <row r="163" ht="22.5" customHeight="1">
      <c r="A163" s="126" t="s">
        <v>1455</v>
      </c>
      <c r="B163" s="129" t="s">
        <v>1455</v>
      </c>
      <c r="C163" s="126" t="s">
        <v>2343</v>
      </c>
      <c r="D163" s="127">
        <v>1995.0</v>
      </c>
      <c r="E163" s="130" t="s">
        <v>1451</v>
      </c>
      <c r="F163" s="131">
        <v>1995.0</v>
      </c>
      <c r="G163" s="127">
        <v>0.0</v>
      </c>
      <c r="H163" s="127" t="str">
        <f t="shared" si="1"/>
        <v>SOH=$1,995</v>
      </c>
    </row>
    <row r="164" ht="22.5" customHeight="1">
      <c r="A164" s="126" t="s">
        <v>1378</v>
      </c>
      <c r="B164" s="129" t="s">
        <v>1378</v>
      </c>
      <c r="C164" s="137" t="s">
        <v>2436</v>
      </c>
      <c r="D164" s="127">
        <v>1495.0</v>
      </c>
      <c r="E164" s="138" t="s">
        <v>2384</v>
      </c>
      <c r="F164" s="131">
        <v>1495.0</v>
      </c>
      <c r="G164" s="127">
        <v>0.0</v>
      </c>
      <c r="H164" s="127" t="str">
        <f t="shared" si="1"/>
        <v>SOM=$1,495</v>
      </c>
    </row>
    <row r="165" ht="22.5" customHeight="1">
      <c r="A165" s="126" t="s">
        <v>1380</v>
      </c>
      <c r="B165" s="129" t="s">
        <v>1380</v>
      </c>
      <c r="C165" s="126" t="s">
        <v>2437</v>
      </c>
      <c r="D165" s="127">
        <v>995.0</v>
      </c>
      <c r="E165" s="130" t="s">
        <v>2384</v>
      </c>
      <c r="F165" s="131">
        <v>995.0</v>
      </c>
      <c r="G165" s="127">
        <v>0.0</v>
      </c>
      <c r="H165" s="127" t="str">
        <f t="shared" si="1"/>
        <v>SON=$995</v>
      </c>
    </row>
    <row r="166" ht="22.5" customHeight="1">
      <c r="A166" s="132" t="s">
        <v>15</v>
      </c>
      <c r="B166" s="133" t="s">
        <v>15</v>
      </c>
      <c r="C166" s="132" t="s">
        <v>2270</v>
      </c>
      <c r="D166" s="134">
        <v>295.0</v>
      </c>
      <c r="E166" s="141"/>
      <c r="F166" s="136">
        <v>275.0</v>
      </c>
      <c r="G166" s="134">
        <v>20.0</v>
      </c>
      <c r="H166" s="134" t="str">
        <f t="shared" si="1"/>
        <v>SPY=$295</v>
      </c>
    </row>
    <row r="167" ht="22.5" customHeight="1">
      <c r="A167" s="132" t="s">
        <v>410</v>
      </c>
      <c r="B167" s="133" t="s">
        <v>410</v>
      </c>
      <c r="C167" s="132" t="s">
        <v>2271</v>
      </c>
      <c r="D167" s="134">
        <v>175.0</v>
      </c>
      <c r="E167" s="141"/>
      <c r="F167" s="136">
        <v>130.0</v>
      </c>
      <c r="G167" s="134">
        <v>45.0</v>
      </c>
      <c r="H167" s="134" t="str">
        <f t="shared" si="1"/>
        <v>SPZ=$175</v>
      </c>
    </row>
    <row r="168" ht="22.5" customHeight="1">
      <c r="A168" s="126" t="s">
        <v>1417</v>
      </c>
      <c r="B168" s="129" t="s">
        <v>1417</v>
      </c>
      <c r="C168" s="126" t="s">
        <v>2438</v>
      </c>
      <c r="D168" s="127">
        <v>995.0</v>
      </c>
      <c r="E168" s="130" t="s">
        <v>2352</v>
      </c>
      <c r="F168" s="131">
        <v>995.0</v>
      </c>
      <c r="G168" s="127">
        <v>0.0</v>
      </c>
      <c r="H168" s="127" t="str">
        <f t="shared" si="1"/>
        <v>SRK=$995</v>
      </c>
    </row>
    <row r="169" ht="22.5" customHeight="1">
      <c r="A169" s="126" t="s">
        <v>1420</v>
      </c>
      <c r="B169" s="129" t="s">
        <v>1420</v>
      </c>
      <c r="C169" s="137" t="s">
        <v>2439</v>
      </c>
      <c r="D169" s="127">
        <v>995.0</v>
      </c>
      <c r="E169" s="138" t="s">
        <v>2352</v>
      </c>
      <c r="F169" s="131">
        <v>995.0</v>
      </c>
      <c r="G169" s="127">
        <v>0.0</v>
      </c>
      <c r="H169" s="127" t="str">
        <f t="shared" si="1"/>
        <v>SRN=$995</v>
      </c>
    </row>
    <row r="170" ht="22.5" customHeight="1">
      <c r="A170" s="126" t="s">
        <v>1422</v>
      </c>
      <c r="B170" s="129" t="s">
        <v>1422</v>
      </c>
      <c r="C170" s="126" t="s">
        <v>2440</v>
      </c>
      <c r="D170" s="127">
        <v>1995.0</v>
      </c>
      <c r="E170" s="130" t="s">
        <v>2352</v>
      </c>
      <c r="F170" s="131">
        <v>1995.0</v>
      </c>
      <c r="G170" s="127">
        <v>0.0</v>
      </c>
      <c r="H170" s="127" t="str">
        <f t="shared" si="1"/>
        <v>STE=$1,995</v>
      </c>
    </row>
    <row r="171" ht="22.5" customHeight="1">
      <c r="A171" s="132" t="s">
        <v>413</v>
      </c>
      <c r="B171" s="133" t="s">
        <v>413</v>
      </c>
      <c r="C171" s="132" t="s">
        <v>2441</v>
      </c>
      <c r="D171" s="134">
        <v>625.0</v>
      </c>
      <c r="E171" s="135" t="s">
        <v>2350</v>
      </c>
      <c r="F171" s="136">
        <v>595.0</v>
      </c>
      <c r="G171" s="134">
        <v>30.0</v>
      </c>
      <c r="H171" s="134" t="str">
        <f t="shared" si="1"/>
        <v>STI=$625</v>
      </c>
    </row>
    <row r="172" ht="22.5" customHeight="1">
      <c r="A172" s="126" t="s">
        <v>1424</v>
      </c>
      <c r="B172" s="129" t="s">
        <v>1424</v>
      </c>
      <c r="C172" s="126" t="s">
        <v>2442</v>
      </c>
      <c r="D172" s="127">
        <v>1995.0</v>
      </c>
      <c r="E172" s="130" t="s">
        <v>2352</v>
      </c>
      <c r="F172" s="131">
        <v>1995.0</v>
      </c>
      <c r="G172" s="127">
        <v>0.0</v>
      </c>
      <c r="H172" s="127" t="str">
        <f t="shared" si="1"/>
        <v>STX=$1,995</v>
      </c>
    </row>
    <row r="173" ht="22.5" customHeight="1">
      <c r="A173" s="126" t="s">
        <v>1382</v>
      </c>
      <c r="B173" s="129" t="s">
        <v>1382</v>
      </c>
      <c r="C173" s="126" t="s">
        <v>2443</v>
      </c>
      <c r="D173" s="127">
        <v>15500.0</v>
      </c>
      <c r="E173" s="130" t="s">
        <v>2356</v>
      </c>
      <c r="F173" s="131">
        <v>15500.0</v>
      </c>
      <c r="G173" s="127">
        <v>0.0</v>
      </c>
      <c r="H173" s="127" t="str">
        <f t="shared" si="1"/>
        <v>STZ=$15,500</v>
      </c>
    </row>
    <row r="174" ht="22.5" customHeight="1">
      <c r="A174" s="126" t="s">
        <v>1459</v>
      </c>
      <c r="B174" s="129" t="s">
        <v>1459</v>
      </c>
      <c r="C174" s="137" t="s">
        <v>2344</v>
      </c>
      <c r="D174" s="127">
        <v>13995.0</v>
      </c>
      <c r="E174" s="138" t="s">
        <v>1451</v>
      </c>
      <c r="F174" s="131">
        <v>13995.0</v>
      </c>
      <c r="G174" s="127">
        <v>0.0</v>
      </c>
      <c r="H174" s="127" t="str">
        <f t="shared" si="1"/>
        <v>SU1=$13,995</v>
      </c>
    </row>
    <row r="175" ht="22.5" customHeight="1">
      <c r="A175" s="126" t="s">
        <v>1337</v>
      </c>
      <c r="B175" s="129" t="s">
        <v>1337</v>
      </c>
      <c r="C175" s="126" t="s">
        <v>2444</v>
      </c>
      <c r="D175" s="127">
        <v>275.0</v>
      </c>
      <c r="E175" s="128"/>
      <c r="F175" s="131">
        <v>275.0</v>
      </c>
      <c r="G175" s="127">
        <v>0.0</v>
      </c>
      <c r="H175" s="127" t="str">
        <f t="shared" si="1"/>
        <v>SUF=$275</v>
      </c>
    </row>
    <row r="176" ht="22.5" customHeight="1">
      <c r="A176" s="126" t="s">
        <v>416</v>
      </c>
      <c r="B176" s="129" t="s">
        <v>416</v>
      </c>
      <c r="C176" s="126" t="s">
        <v>2272</v>
      </c>
      <c r="D176" s="127">
        <v>1950.0</v>
      </c>
      <c r="E176" s="130" t="s">
        <v>2445</v>
      </c>
      <c r="F176" s="131">
        <v>1995.0</v>
      </c>
      <c r="G176" s="127">
        <v>-45.0</v>
      </c>
      <c r="H176" s="127" t="str">
        <f t="shared" si="1"/>
        <v>SXB=$1,950</v>
      </c>
    </row>
    <row r="177" ht="22.5" customHeight="1">
      <c r="A177" s="132" t="s">
        <v>418</v>
      </c>
      <c r="B177" s="133" t="s">
        <v>418</v>
      </c>
      <c r="C177" s="132" t="s">
        <v>2273</v>
      </c>
      <c r="D177" s="134">
        <v>1950.0</v>
      </c>
      <c r="E177" s="141"/>
      <c r="F177" s="136">
        <v>1750.0</v>
      </c>
      <c r="G177" s="134">
        <v>200.0</v>
      </c>
      <c r="H177" s="134" t="str">
        <f t="shared" si="1"/>
        <v>SXR=$1,950</v>
      </c>
    </row>
    <row r="178" ht="22.5" customHeight="1">
      <c r="A178" s="132" t="s">
        <v>420</v>
      </c>
      <c r="B178" s="133" t="s">
        <v>420</v>
      </c>
      <c r="C178" s="132" t="s">
        <v>2274</v>
      </c>
      <c r="D178" s="134">
        <v>2295.0</v>
      </c>
      <c r="E178" s="141"/>
      <c r="F178" s="136">
        <v>1995.0</v>
      </c>
      <c r="G178" s="134">
        <v>300.0</v>
      </c>
      <c r="H178" s="134" t="str">
        <f t="shared" si="1"/>
        <v>SXT=$2,295</v>
      </c>
    </row>
    <row r="179" ht="22.5" customHeight="1">
      <c r="A179" s="126" t="s">
        <v>1426</v>
      </c>
      <c r="B179" s="129" t="s">
        <v>1426</v>
      </c>
      <c r="C179" s="126" t="s">
        <v>2446</v>
      </c>
      <c r="D179" s="127">
        <v>8495.0</v>
      </c>
      <c r="E179" s="130" t="s">
        <v>2447</v>
      </c>
      <c r="F179" s="131">
        <v>8495.0</v>
      </c>
      <c r="G179" s="127">
        <v>0.0</v>
      </c>
      <c r="H179" s="127" t="str">
        <f t="shared" si="1"/>
        <v>T0F=$8,495</v>
      </c>
    </row>
    <row r="180" ht="22.5" customHeight="1">
      <c r="A180" s="126" t="s">
        <v>1429</v>
      </c>
      <c r="B180" s="129" t="s">
        <v>1429</v>
      </c>
      <c r="C180" s="137" t="s">
        <v>2448</v>
      </c>
      <c r="D180" s="127">
        <v>10495.0</v>
      </c>
      <c r="E180" s="138" t="s">
        <v>2449</v>
      </c>
      <c r="F180" s="131">
        <v>10495.0</v>
      </c>
      <c r="G180" s="127">
        <v>0.0</v>
      </c>
      <c r="H180" s="127" t="str">
        <f t="shared" si="1"/>
        <v>T0G=$10,495</v>
      </c>
    </row>
    <row r="181" ht="22.5" customHeight="1">
      <c r="A181" s="132" t="s">
        <v>1462</v>
      </c>
      <c r="B181" s="133" t="s">
        <v>1462</v>
      </c>
      <c r="C181" s="132" t="s">
        <v>1463</v>
      </c>
      <c r="D181" s="134">
        <v>10495.0</v>
      </c>
      <c r="E181" s="135" t="s">
        <v>1451</v>
      </c>
      <c r="F181" s="136">
        <v>8495.0</v>
      </c>
      <c r="G181" s="134">
        <v>2000.0</v>
      </c>
      <c r="H181" s="134" t="str">
        <f t="shared" si="1"/>
        <v>TOM=$10,495</v>
      </c>
    </row>
    <row r="182" ht="22.5" customHeight="1">
      <c r="A182" s="126" t="s">
        <v>767</v>
      </c>
      <c r="B182" s="129" t="s">
        <v>767</v>
      </c>
      <c r="C182" s="126" t="s">
        <v>2311</v>
      </c>
      <c r="D182" s="127">
        <v>595.0</v>
      </c>
      <c r="E182" s="130" t="s">
        <v>2312</v>
      </c>
      <c r="F182" s="131">
        <v>595.0</v>
      </c>
      <c r="G182" s="127">
        <v>0.0</v>
      </c>
      <c r="H182" s="127" t="str">
        <f t="shared" si="1"/>
        <v>TU7=$595</v>
      </c>
    </row>
    <row r="183" ht="22.5" customHeight="1">
      <c r="A183" s="126" t="s">
        <v>426</v>
      </c>
      <c r="B183" s="129" t="s">
        <v>426</v>
      </c>
      <c r="C183" s="126" t="s">
        <v>2450</v>
      </c>
      <c r="D183" s="127">
        <v>595.0</v>
      </c>
      <c r="E183" s="130" t="s">
        <v>2350</v>
      </c>
      <c r="F183" s="131">
        <v>595.0</v>
      </c>
      <c r="G183" s="127">
        <v>0.0</v>
      </c>
      <c r="H183" s="127" t="str">
        <f t="shared" si="1"/>
        <v>TVS=$595</v>
      </c>
    </row>
    <row r="184" ht="22.5" customHeight="1">
      <c r="A184" s="126" t="s">
        <v>960</v>
      </c>
      <c r="B184" s="129" t="s">
        <v>960</v>
      </c>
      <c r="C184" s="126" t="s">
        <v>550</v>
      </c>
      <c r="D184" s="127">
        <v>1300.0</v>
      </c>
      <c r="E184" s="130" t="s">
        <v>2451</v>
      </c>
      <c r="F184" s="131">
        <v>1300.0</v>
      </c>
      <c r="G184" s="127">
        <v>0.0</v>
      </c>
      <c r="H184" s="127" t="str">
        <f t="shared" si="1"/>
        <v>UQT=$1,300</v>
      </c>
    </row>
    <row r="185" ht="22.5" customHeight="1">
      <c r="A185" s="126" t="s">
        <v>429</v>
      </c>
      <c r="B185" s="129" t="s">
        <v>429</v>
      </c>
      <c r="C185" s="126" t="s">
        <v>2275</v>
      </c>
      <c r="D185" s="127">
        <v>1995.0</v>
      </c>
      <c r="E185" s="128"/>
      <c r="F185" s="131">
        <v>1995.0</v>
      </c>
      <c r="G185" s="127">
        <v>0.0</v>
      </c>
      <c r="H185" s="127" t="str">
        <f t="shared" si="1"/>
        <v>V8X=$1,995</v>
      </c>
    </row>
    <row r="186" ht="22.5" customHeight="1">
      <c r="A186" s="126" t="s">
        <v>432</v>
      </c>
      <c r="B186" s="129" t="s">
        <v>432</v>
      </c>
      <c r="C186" s="126" t="s">
        <v>2286</v>
      </c>
      <c r="D186" s="127">
        <v>40.0</v>
      </c>
      <c r="E186" s="130" t="s">
        <v>2287</v>
      </c>
      <c r="F186" s="131">
        <v>40.0</v>
      </c>
      <c r="G186" s="127">
        <v>0.0</v>
      </c>
      <c r="H186" s="127" t="str">
        <f t="shared" si="1"/>
        <v>VK3=$40</v>
      </c>
    </row>
    <row r="187" ht="22.5" customHeight="1">
      <c r="A187" s="132" t="s">
        <v>1362</v>
      </c>
      <c r="B187" s="133" t="s">
        <v>1362</v>
      </c>
      <c r="C187" s="132" t="s">
        <v>2452</v>
      </c>
      <c r="D187" s="134">
        <v>650.0</v>
      </c>
      <c r="E187" s="141"/>
      <c r="F187" s="136">
        <v>550.0</v>
      </c>
      <c r="G187" s="134">
        <v>100.0</v>
      </c>
      <c r="H187" s="134" t="str">
        <f t="shared" si="1"/>
        <v>VPO=$650</v>
      </c>
    </row>
    <row r="188" ht="22.5" customHeight="1">
      <c r="A188" s="126" t="s">
        <v>1364</v>
      </c>
      <c r="B188" s="129" t="s">
        <v>1364</v>
      </c>
      <c r="C188" s="126" t="s">
        <v>1365</v>
      </c>
      <c r="D188" s="127">
        <v>550.0</v>
      </c>
      <c r="E188" s="130" t="s">
        <v>2356</v>
      </c>
      <c r="F188" s="131">
        <v>550.0</v>
      </c>
      <c r="G188" s="127">
        <v>0.0</v>
      </c>
      <c r="H188" s="127" t="str">
        <f t="shared" si="1"/>
        <v>VPW=$550</v>
      </c>
    </row>
    <row r="189" ht="22.5" customHeight="1">
      <c r="A189" s="132" t="s">
        <v>435</v>
      </c>
      <c r="B189" s="133" t="s">
        <v>435</v>
      </c>
      <c r="C189" s="132" t="s">
        <v>2453</v>
      </c>
      <c r="D189" s="134">
        <v>255.0</v>
      </c>
      <c r="E189" s="135" t="s">
        <v>2350</v>
      </c>
      <c r="F189" s="136">
        <v>250.0</v>
      </c>
      <c r="G189" s="134">
        <v>5.0</v>
      </c>
      <c r="H189" s="134" t="str">
        <f t="shared" si="1"/>
        <v>VQK=$255</v>
      </c>
    </row>
    <row r="190" ht="22.5" customHeight="1">
      <c r="A190" s="132" t="s">
        <v>437</v>
      </c>
      <c r="B190" s="133" t="s">
        <v>437</v>
      </c>
      <c r="C190" s="132" t="s">
        <v>2276</v>
      </c>
      <c r="D190" s="134">
        <v>150.0</v>
      </c>
      <c r="E190" s="141"/>
      <c r="F190" s="136">
        <v>125.0</v>
      </c>
      <c r="G190" s="134">
        <v>25.0</v>
      </c>
      <c r="H190" s="134" t="str">
        <f t="shared" si="1"/>
        <v>VTB=$150</v>
      </c>
    </row>
    <row r="191" ht="22.5" customHeight="1">
      <c r="A191" s="132" t="s">
        <v>439</v>
      </c>
      <c r="B191" s="133" t="s">
        <v>439</v>
      </c>
      <c r="C191" s="132" t="s">
        <v>440</v>
      </c>
      <c r="D191" s="134">
        <v>570.0</v>
      </c>
      <c r="E191" s="141"/>
      <c r="F191" s="136">
        <v>295.0</v>
      </c>
      <c r="G191" s="134">
        <v>275.0</v>
      </c>
      <c r="H191" s="134" t="str">
        <f t="shared" si="1"/>
        <v>VUP=$570</v>
      </c>
    </row>
    <row r="192" ht="22.5" customHeight="1">
      <c r="A192" s="126" t="s">
        <v>442</v>
      </c>
      <c r="B192" s="129" t="s">
        <v>442</v>
      </c>
      <c r="C192" s="126" t="s">
        <v>2454</v>
      </c>
      <c r="D192" s="127">
        <v>250.0</v>
      </c>
      <c r="E192" s="130" t="s">
        <v>2350</v>
      </c>
      <c r="F192" s="131">
        <v>250.0</v>
      </c>
      <c r="G192" s="127">
        <v>0.0</v>
      </c>
      <c r="H192" s="127" t="str">
        <f t="shared" si="1"/>
        <v>VWD=$250</v>
      </c>
    </row>
    <row r="193" ht="22.5" customHeight="1">
      <c r="A193" s="126" t="s">
        <v>444</v>
      </c>
      <c r="B193" s="129" t="s">
        <v>444</v>
      </c>
      <c r="C193" s="126" t="s">
        <v>2455</v>
      </c>
      <c r="D193" s="127">
        <v>525.0</v>
      </c>
      <c r="E193" s="130" t="s">
        <v>2350</v>
      </c>
      <c r="F193" s="131">
        <v>525.0</v>
      </c>
      <c r="G193" s="127">
        <v>0.0</v>
      </c>
      <c r="H193" s="127" t="str">
        <f t="shared" si="1"/>
        <v>VWE=$525</v>
      </c>
    </row>
    <row r="194" ht="22.5" customHeight="1">
      <c r="A194" s="126" t="s">
        <v>444</v>
      </c>
      <c r="B194" s="129" t="s">
        <v>1339</v>
      </c>
      <c r="C194" s="126" t="s">
        <v>2455</v>
      </c>
      <c r="D194" s="127">
        <v>650.0</v>
      </c>
      <c r="E194" s="130" t="s">
        <v>2356</v>
      </c>
      <c r="F194" s="131">
        <v>895.0</v>
      </c>
      <c r="G194" s="127">
        <v>-245.0</v>
      </c>
      <c r="H194" s="127" t="str">
        <f t="shared" si="1"/>
        <v>VWE-z=$650</v>
      </c>
    </row>
    <row r="195" ht="22.5" customHeight="1">
      <c r="A195" s="132" t="s">
        <v>446</v>
      </c>
      <c r="B195" s="133" t="s">
        <v>446</v>
      </c>
      <c r="C195" s="132" t="s">
        <v>2277</v>
      </c>
      <c r="D195" s="134">
        <v>298.0</v>
      </c>
      <c r="E195" s="141"/>
      <c r="F195" s="136">
        <v>275.0</v>
      </c>
      <c r="G195" s="134">
        <v>23.0</v>
      </c>
      <c r="H195" s="134" t="str">
        <f t="shared" si="1"/>
        <v>VYW=$298</v>
      </c>
    </row>
    <row r="196" ht="22.5" customHeight="1">
      <c r="A196" s="132" t="s">
        <v>449</v>
      </c>
      <c r="B196" s="133" t="s">
        <v>449</v>
      </c>
      <c r="C196" s="132" t="s">
        <v>2278</v>
      </c>
      <c r="D196" s="134">
        <v>95.0</v>
      </c>
      <c r="E196" s="141"/>
      <c r="F196" s="136">
        <v>75.0</v>
      </c>
      <c r="G196" s="134">
        <v>20.0</v>
      </c>
      <c r="H196" s="134" t="str">
        <f t="shared" si="1"/>
        <v>W2D=$95</v>
      </c>
    </row>
    <row r="197" ht="22.5" customHeight="1">
      <c r="A197" s="132" t="s">
        <v>453</v>
      </c>
      <c r="B197" s="133" t="s">
        <v>453</v>
      </c>
      <c r="C197" s="144" t="s">
        <v>2456</v>
      </c>
      <c r="D197" s="134">
        <v>495.0</v>
      </c>
      <c r="E197" s="146" t="s">
        <v>2350</v>
      </c>
      <c r="F197" s="136">
        <v>475.0</v>
      </c>
      <c r="G197" s="134">
        <v>20.0</v>
      </c>
      <c r="H197" s="134" t="str">
        <f t="shared" si="1"/>
        <v>WKQ=$495</v>
      </c>
    </row>
    <row r="198" ht="22.5" customHeight="1">
      <c r="A198" s="132" t="s">
        <v>1432</v>
      </c>
      <c r="B198" s="133" t="s">
        <v>1432</v>
      </c>
      <c r="C198" s="132" t="s">
        <v>2457</v>
      </c>
      <c r="D198" s="134">
        <v>495.0</v>
      </c>
      <c r="E198" s="135" t="s">
        <v>2352</v>
      </c>
      <c r="F198" s="136">
        <v>475.0</v>
      </c>
      <c r="G198" s="134">
        <v>20.0</v>
      </c>
      <c r="H198" s="134" t="str">
        <f t="shared" si="1"/>
        <v>WKS=$495</v>
      </c>
    </row>
    <row r="199" ht="22.5" customHeight="1">
      <c r="A199" s="132" t="s">
        <v>1434</v>
      </c>
      <c r="B199" s="133" t="s">
        <v>1434</v>
      </c>
      <c r="C199" s="132" t="s">
        <v>2458</v>
      </c>
      <c r="D199" s="134">
        <v>9500.0</v>
      </c>
      <c r="E199" s="135" t="s">
        <v>2459</v>
      </c>
      <c r="F199" s="136">
        <v>8995.0</v>
      </c>
      <c r="G199" s="134">
        <v>505.0</v>
      </c>
      <c r="H199" s="134" t="str">
        <f t="shared" si="1"/>
        <v>Z07=$9,500</v>
      </c>
    </row>
    <row r="200" ht="22.5" customHeight="1">
      <c r="A200" s="126" t="s">
        <v>457</v>
      </c>
      <c r="B200" s="129" t="s">
        <v>457</v>
      </c>
      <c r="C200" s="137" t="s">
        <v>458</v>
      </c>
      <c r="D200" s="127">
        <v>6345.0</v>
      </c>
      <c r="E200" s="138" t="s">
        <v>2350</v>
      </c>
      <c r="F200" s="131">
        <v>6345.0</v>
      </c>
      <c r="G200" s="127">
        <v>0.0</v>
      </c>
      <c r="H200" s="127" t="str">
        <f t="shared" si="1"/>
        <v>Z51=$6,345</v>
      </c>
    </row>
    <row r="201" ht="22.5" customHeight="1">
      <c r="A201" s="126" t="s">
        <v>1345</v>
      </c>
      <c r="B201" s="129" t="s">
        <v>1345</v>
      </c>
      <c r="C201" s="126" t="s">
        <v>530</v>
      </c>
      <c r="D201" s="127">
        <v>500.0</v>
      </c>
      <c r="E201" s="130" t="s">
        <v>2384</v>
      </c>
      <c r="F201" s="131">
        <v>500.0</v>
      </c>
      <c r="G201" s="127">
        <v>0.0</v>
      </c>
      <c r="H201" s="127" t="str">
        <f t="shared" si="1"/>
        <v>ZER=$500</v>
      </c>
    </row>
    <row r="202" ht="22.5" customHeight="1">
      <c r="A202" s="132" t="s">
        <v>1465</v>
      </c>
      <c r="B202" s="133" t="s">
        <v>1465</v>
      </c>
      <c r="C202" s="132" t="s">
        <v>2317</v>
      </c>
      <c r="D202" s="134">
        <v>4395.0</v>
      </c>
      <c r="E202" s="135" t="s">
        <v>2460</v>
      </c>
      <c r="F202" s="136">
        <v>1500.0</v>
      </c>
      <c r="G202" s="134">
        <v>2895.0</v>
      </c>
      <c r="H202" s="134" t="str">
        <f t="shared" si="1"/>
        <v>ZTK=$4,395</v>
      </c>
    </row>
    <row r="203" ht="22.5" customHeight="1">
      <c r="A203" s="126" t="s">
        <v>14</v>
      </c>
      <c r="B203" s="129" t="s">
        <v>14</v>
      </c>
      <c r="C203" s="126" t="s">
        <v>2283</v>
      </c>
      <c r="D203" s="127">
        <v>195.0</v>
      </c>
      <c r="E203" s="130" t="s">
        <v>2284</v>
      </c>
      <c r="F203" s="131">
        <v>195.0</v>
      </c>
      <c r="G203" s="127">
        <v>0.0</v>
      </c>
      <c r="H203" s="127" t="str">
        <f t="shared" si="1"/>
        <v>ZYC=$195</v>
      </c>
    </row>
    <row r="204" ht="22.5" customHeight="1">
      <c r="A204" s="126" t="s">
        <v>465</v>
      </c>
      <c r="B204" s="129" t="s">
        <v>465</v>
      </c>
      <c r="C204" s="126" t="s">
        <v>466</v>
      </c>
      <c r="D204" s="127">
        <v>1095.0</v>
      </c>
      <c r="E204" s="128"/>
      <c r="F204" s="131">
        <v>1095.0</v>
      </c>
      <c r="G204" s="127">
        <v>0.0</v>
      </c>
      <c r="H204" s="127" t="str">
        <f t="shared" si="1"/>
        <v>ZZ3=$1,095</v>
      </c>
    </row>
    <row r="205" ht="22.5" customHeight="1">
      <c r="A205" s="147" t="s">
        <v>2234</v>
      </c>
      <c r="B205" s="148"/>
      <c r="C205" s="149"/>
      <c r="D205" s="150"/>
      <c r="E205" s="151"/>
      <c r="F205" s="150"/>
      <c r="G205" s="150"/>
      <c r="H205" s="150" t="str">
        <f t="shared" si="1"/>
        <v/>
      </c>
    </row>
    <row r="206" ht="22.5" customHeight="1">
      <c r="A206" s="147" t="s">
        <v>2235</v>
      </c>
      <c r="B206" s="148"/>
      <c r="C206" s="149"/>
      <c r="D206" s="150"/>
      <c r="E206" s="151"/>
      <c r="F206" s="150"/>
      <c r="G206" s="150"/>
      <c r="H206" s="150" t="str">
        <f t="shared" si="1"/>
        <v/>
      </c>
    </row>
    <row r="207" ht="22.5" customHeight="1">
      <c r="A207" s="147" t="s">
        <v>2242</v>
      </c>
      <c r="B207" s="148"/>
      <c r="C207" s="149"/>
      <c r="D207" s="150"/>
      <c r="E207" s="151"/>
      <c r="F207" s="150"/>
      <c r="G207" s="150"/>
      <c r="H207" s="150" t="str">
        <f t="shared" si="1"/>
        <v/>
      </c>
    </row>
    <row r="208" ht="22.5" customHeight="1">
      <c r="A208" s="147" t="s">
        <v>2461</v>
      </c>
      <c r="B208" s="148"/>
      <c r="C208" s="149"/>
      <c r="D208" s="150"/>
      <c r="E208" s="151"/>
      <c r="F208" s="150"/>
      <c r="G208" s="150"/>
      <c r="H208" s="150" t="str">
        <f t="shared" si="1"/>
        <v/>
      </c>
    </row>
    <row r="209" ht="22.5" customHeight="1">
      <c r="A209" s="147" t="s">
        <v>2247</v>
      </c>
      <c r="B209" s="148"/>
      <c r="C209" s="149"/>
      <c r="D209" s="150"/>
      <c r="E209" s="151"/>
      <c r="F209" s="150"/>
      <c r="G209" s="150"/>
      <c r="H209" s="150" t="str">
        <f t="shared" si="1"/>
        <v/>
      </c>
    </row>
    <row r="210" ht="22.5" customHeight="1">
      <c r="A210" s="147" t="s">
        <v>2279</v>
      </c>
      <c r="B210" s="148"/>
      <c r="C210" s="149"/>
      <c r="D210" s="150"/>
      <c r="E210" s="151"/>
      <c r="F210" s="150"/>
      <c r="G210" s="150"/>
      <c r="H210" s="150" t="str">
        <f t="shared" si="1"/>
        <v/>
      </c>
    </row>
    <row r="211" ht="22.5" customHeight="1">
      <c r="A211" s="147" t="s">
        <v>2280</v>
      </c>
      <c r="B211" s="148"/>
      <c r="C211" s="149"/>
      <c r="D211" s="150"/>
      <c r="E211" s="151"/>
      <c r="F211" s="150"/>
      <c r="G211" s="150"/>
      <c r="H211" s="150" t="str">
        <f t="shared" si="1"/>
        <v/>
      </c>
    </row>
    <row r="212" ht="22.5" customHeight="1">
      <c r="A212" s="147" t="s">
        <v>2285</v>
      </c>
      <c r="B212" s="148"/>
      <c r="C212" s="149"/>
      <c r="D212" s="150"/>
      <c r="E212" s="151"/>
      <c r="F212" s="150"/>
      <c r="G212" s="150"/>
      <c r="H212" s="150" t="str">
        <f t="shared" si="1"/>
        <v/>
      </c>
    </row>
    <row r="213" ht="22.5" customHeight="1">
      <c r="A213" s="147" t="s">
        <v>1405</v>
      </c>
      <c r="B213" s="148"/>
      <c r="C213" s="149"/>
      <c r="D213" s="150"/>
      <c r="E213" s="151"/>
      <c r="F213" s="150"/>
      <c r="G213" s="150"/>
      <c r="H213" s="150" t="str">
        <f t="shared" si="1"/>
        <v/>
      </c>
    </row>
    <row r="214" ht="22.5" customHeight="1">
      <c r="A214" s="147" t="s">
        <v>2289</v>
      </c>
      <c r="B214" s="148"/>
      <c r="C214" s="149"/>
      <c r="D214" s="150"/>
      <c r="E214" s="151"/>
      <c r="F214" s="150"/>
      <c r="G214" s="150"/>
      <c r="H214" s="150" t="str">
        <f t="shared" si="1"/>
        <v/>
      </c>
    </row>
    <row r="215" ht="22.5" customHeight="1">
      <c r="A215" s="147" t="s">
        <v>2313</v>
      </c>
      <c r="B215" s="148"/>
      <c r="C215" s="149"/>
      <c r="D215" s="150"/>
      <c r="E215" s="151"/>
      <c r="F215" s="150"/>
      <c r="G215" s="150"/>
      <c r="H215" s="150" t="str">
        <f t="shared" si="1"/>
        <v/>
      </c>
    </row>
    <row r="216" ht="22.5" customHeight="1">
      <c r="A216" s="147" t="s">
        <v>2316</v>
      </c>
      <c r="B216" s="148"/>
      <c r="C216" s="149"/>
      <c r="D216" s="150"/>
      <c r="E216" s="151"/>
      <c r="F216" s="150"/>
      <c r="G216" s="150"/>
      <c r="H216" s="150" t="str">
        <f t="shared" si="1"/>
        <v/>
      </c>
    </row>
    <row r="217" ht="22.5" customHeight="1">
      <c r="A217" s="147" t="s">
        <v>2319</v>
      </c>
      <c r="B217" s="148"/>
      <c r="C217" s="149"/>
      <c r="D217" s="150"/>
      <c r="E217" s="151"/>
      <c r="F217" s="150"/>
      <c r="G217" s="150"/>
      <c r="H217" s="150" t="str">
        <f t="shared" si="1"/>
        <v/>
      </c>
    </row>
    <row r="218" ht="22.5" customHeight="1">
      <c r="A218" s="147" t="s">
        <v>2322</v>
      </c>
      <c r="B218" s="148"/>
      <c r="C218" s="149"/>
      <c r="D218" s="150"/>
      <c r="E218" s="151"/>
      <c r="F218" s="150"/>
      <c r="G218" s="150"/>
      <c r="H218" s="150" t="str">
        <f t="shared" si="1"/>
        <v/>
      </c>
    </row>
    <row r="219" ht="22.5" customHeight="1">
      <c r="A219" s="147" t="s">
        <v>2331</v>
      </c>
      <c r="B219" s="148"/>
      <c r="C219" s="149"/>
      <c r="D219" s="150"/>
      <c r="E219" s="151"/>
      <c r="F219" s="150"/>
      <c r="G219" s="150"/>
      <c r="H219" s="150" t="str">
        <f t="shared" si="1"/>
        <v/>
      </c>
    </row>
    <row r="220" ht="22.5" customHeight="1">
      <c r="A220" s="147" t="s">
        <v>2462</v>
      </c>
      <c r="B220" s="148"/>
      <c r="C220" s="149"/>
      <c r="D220" s="150"/>
      <c r="E220" s="151"/>
      <c r="F220" s="150"/>
      <c r="G220" s="150"/>
      <c r="H220" s="150" t="str">
        <f t="shared" si="1"/>
        <v/>
      </c>
    </row>
    <row r="221" ht="22.5" customHeight="1">
      <c r="A221" s="147" t="s">
        <v>2340</v>
      </c>
      <c r="B221" s="148"/>
      <c r="C221" s="149"/>
      <c r="D221" s="150"/>
      <c r="E221" s="151"/>
      <c r="F221" s="150"/>
      <c r="G221" s="150"/>
      <c r="H221" s="150" t="str">
        <f t="shared" si="1"/>
        <v/>
      </c>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2" width="13.57"/>
    <col customWidth="1" min="3" max="3" width="15.0"/>
    <col customWidth="1" min="4" max="4" width="90.29"/>
    <col customWidth="1" min="5" max="7" width="11.86"/>
    <col customWidth="1" min="8" max="10" width="16.29"/>
    <col customWidth="1" min="11" max="11" width="108.29"/>
  </cols>
  <sheetData>
    <row r="1" ht="22.5" customHeight="1">
      <c r="A1" s="152" t="s">
        <v>2463</v>
      </c>
      <c r="B1" s="152" t="s">
        <v>2464</v>
      </c>
      <c r="C1" s="152" t="s">
        <v>2465</v>
      </c>
      <c r="D1" s="152" t="s">
        <v>977</v>
      </c>
      <c r="E1" s="152" t="s">
        <v>2466</v>
      </c>
      <c r="F1" s="152" t="s">
        <v>2467</v>
      </c>
      <c r="G1" s="152" t="s">
        <v>2468</v>
      </c>
      <c r="H1" s="152" t="s">
        <v>2469</v>
      </c>
      <c r="I1" s="152" t="s">
        <v>2470</v>
      </c>
      <c r="J1" s="152" t="s">
        <v>2471</v>
      </c>
      <c r="K1" s="153" t="s">
        <v>2472</v>
      </c>
    </row>
    <row r="2" ht="22.5" customHeight="1">
      <c r="A2" s="154"/>
      <c r="B2" s="154"/>
      <c r="C2" s="155" t="s">
        <v>999</v>
      </c>
      <c r="D2" s="156" t="s">
        <v>2473</v>
      </c>
      <c r="E2" s="157" t="s">
        <v>2474</v>
      </c>
      <c r="F2" s="157" t="s">
        <v>2474</v>
      </c>
      <c r="G2" s="157" t="s">
        <v>2475</v>
      </c>
      <c r="H2" s="157" t="s">
        <v>2474</v>
      </c>
      <c r="I2" s="157" t="s">
        <v>2474</v>
      </c>
      <c r="J2" s="157" t="s">
        <v>2476</v>
      </c>
      <c r="K2" s="73"/>
    </row>
    <row r="3" ht="22.5" customHeight="1">
      <c r="A3" s="158"/>
      <c r="B3" s="158"/>
      <c r="C3" s="155" t="s">
        <v>1001</v>
      </c>
      <c r="D3" s="156" t="s">
        <v>2477</v>
      </c>
      <c r="E3" s="157" t="s">
        <v>2474</v>
      </c>
      <c r="F3" s="157" t="s">
        <v>2474</v>
      </c>
      <c r="G3" s="157" t="s">
        <v>2474</v>
      </c>
      <c r="H3" s="157" t="s">
        <v>2474</v>
      </c>
      <c r="I3" s="157" t="s">
        <v>2474</v>
      </c>
      <c r="J3" s="157" t="s">
        <v>2474</v>
      </c>
      <c r="K3" s="73"/>
    </row>
    <row r="4" ht="22.5" customHeight="1">
      <c r="A4" s="154"/>
      <c r="B4" s="154"/>
      <c r="C4" s="155" t="s">
        <v>1003</v>
      </c>
      <c r="D4" s="156" t="s">
        <v>2478</v>
      </c>
      <c r="E4" s="157" t="s">
        <v>2474</v>
      </c>
      <c r="F4" s="157" t="s">
        <v>2474</v>
      </c>
      <c r="G4" s="157" t="s">
        <v>2474</v>
      </c>
      <c r="H4" s="157" t="s">
        <v>2474</v>
      </c>
      <c r="I4" s="157" t="s">
        <v>2474</v>
      </c>
      <c r="J4" s="157" t="s">
        <v>2474</v>
      </c>
      <c r="K4" s="73"/>
    </row>
    <row r="5" ht="22.5" customHeight="1">
      <c r="A5" s="158"/>
      <c r="B5" s="158"/>
      <c r="C5" s="159" t="s">
        <v>1007</v>
      </c>
      <c r="D5" s="160" t="s">
        <v>2479</v>
      </c>
      <c r="E5" s="161" t="s">
        <v>2480</v>
      </c>
      <c r="F5" s="161" t="s">
        <v>2481</v>
      </c>
      <c r="G5" s="161" t="s">
        <v>2481</v>
      </c>
      <c r="H5" s="161" t="s">
        <v>2480</v>
      </c>
      <c r="I5" s="161" t="s">
        <v>2481</v>
      </c>
      <c r="J5" s="161" t="s">
        <v>2481</v>
      </c>
      <c r="K5" s="73"/>
    </row>
    <row r="6" ht="22.5" customHeight="1">
      <c r="A6" s="154"/>
      <c r="B6" s="154"/>
      <c r="C6" s="159" t="s">
        <v>1009</v>
      </c>
      <c r="D6" s="162" t="s">
        <v>2482</v>
      </c>
      <c r="E6" s="163" t="s">
        <v>2480</v>
      </c>
      <c r="F6" s="163" t="s">
        <v>2481</v>
      </c>
      <c r="G6" s="163" t="s">
        <v>2481</v>
      </c>
      <c r="H6" s="163" t="s">
        <v>2480</v>
      </c>
      <c r="I6" s="163" t="s">
        <v>2481</v>
      </c>
      <c r="J6" s="163" t="s">
        <v>2481</v>
      </c>
      <c r="K6" s="73"/>
    </row>
    <row r="7" ht="22.5" customHeight="1">
      <c r="A7" s="158"/>
      <c r="B7" s="158"/>
      <c r="C7" s="155" t="s">
        <v>1011</v>
      </c>
      <c r="D7" s="156" t="s">
        <v>2483</v>
      </c>
      <c r="E7" s="157" t="s">
        <v>2484</v>
      </c>
      <c r="F7" s="157" t="s">
        <v>2485</v>
      </c>
      <c r="G7" s="157" t="s">
        <v>2486</v>
      </c>
      <c r="H7" s="157" t="s">
        <v>2487</v>
      </c>
      <c r="I7" s="157" t="s">
        <v>2488</v>
      </c>
      <c r="J7" s="157" t="s">
        <v>2489</v>
      </c>
      <c r="K7" s="73"/>
    </row>
    <row r="8" ht="22.5" customHeight="1">
      <c r="A8" s="158"/>
      <c r="B8" s="158"/>
      <c r="C8" s="159" t="s">
        <v>1013</v>
      </c>
      <c r="D8" s="162" t="s">
        <v>2490</v>
      </c>
      <c r="E8" s="163" t="s">
        <v>2480</v>
      </c>
      <c r="F8" s="163" t="s">
        <v>2481</v>
      </c>
      <c r="G8" s="163" t="s">
        <v>2481</v>
      </c>
      <c r="H8" s="163" t="s">
        <v>2480</v>
      </c>
      <c r="I8" s="163" t="s">
        <v>2481</v>
      </c>
      <c r="J8" s="163" t="s">
        <v>2481</v>
      </c>
      <c r="K8" s="73"/>
    </row>
    <row r="9" ht="22.5" customHeight="1">
      <c r="A9" s="164"/>
      <c r="B9" s="164"/>
      <c r="C9" s="159" t="s">
        <v>1015</v>
      </c>
      <c r="D9" s="160" t="s">
        <v>2491</v>
      </c>
      <c r="E9" s="161" t="s">
        <v>2480</v>
      </c>
      <c r="F9" s="161" t="s">
        <v>2481</v>
      </c>
      <c r="G9" s="161" t="s">
        <v>2481</v>
      </c>
      <c r="H9" s="161" t="s">
        <v>2480</v>
      </c>
      <c r="I9" s="161" t="s">
        <v>2481</v>
      </c>
      <c r="J9" s="161" t="s">
        <v>2481</v>
      </c>
      <c r="K9" s="73"/>
    </row>
    <row r="10" ht="22.5" customHeight="1">
      <c r="A10" s="158"/>
      <c r="B10" s="158"/>
      <c r="C10" s="155" t="s">
        <v>721</v>
      </c>
      <c r="D10" s="156" t="s">
        <v>2492</v>
      </c>
      <c r="E10" s="157" t="s">
        <v>2474</v>
      </c>
      <c r="F10" s="157" t="s">
        <v>2474</v>
      </c>
      <c r="G10" s="157" t="s">
        <v>2480</v>
      </c>
      <c r="H10" s="157" t="s">
        <v>2474</v>
      </c>
      <c r="I10" s="157" t="s">
        <v>2474</v>
      </c>
      <c r="J10" s="157" t="s">
        <v>2480</v>
      </c>
      <c r="K10" s="73"/>
    </row>
    <row r="11" ht="22.5" customHeight="1">
      <c r="A11" s="165"/>
      <c r="B11" s="165"/>
      <c r="C11" s="159" t="s">
        <v>1018</v>
      </c>
      <c r="D11" s="160" t="s">
        <v>2493</v>
      </c>
      <c r="E11" s="161" t="s">
        <v>2480</v>
      </c>
      <c r="F11" s="161" t="s">
        <v>2481</v>
      </c>
      <c r="G11" s="161" t="s">
        <v>2481</v>
      </c>
      <c r="H11" s="161" t="s">
        <v>2480</v>
      </c>
      <c r="I11" s="161" t="s">
        <v>2481</v>
      </c>
      <c r="J11" s="161" t="s">
        <v>2481</v>
      </c>
      <c r="K11" s="73"/>
    </row>
    <row r="12" ht="22.5" customHeight="1">
      <c r="A12" s="154"/>
      <c r="B12" s="154"/>
      <c r="C12" s="159" t="s">
        <v>1020</v>
      </c>
      <c r="D12" s="162" t="s">
        <v>2494</v>
      </c>
      <c r="E12" s="163" t="s">
        <v>2480</v>
      </c>
      <c r="F12" s="163" t="s">
        <v>2481</v>
      </c>
      <c r="G12" s="163" t="s">
        <v>2481</v>
      </c>
      <c r="H12" s="163" t="s">
        <v>2480</v>
      </c>
      <c r="I12" s="163" t="s">
        <v>2481</v>
      </c>
      <c r="J12" s="163" t="s">
        <v>2481</v>
      </c>
      <c r="K12" s="73"/>
    </row>
    <row r="13" ht="22.5" customHeight="1">
      <c r="A13" s="158"/>
      <c r="B13" s="158"/>
      <c r="C13" s="155" t="s">
        <v>1023</v>
      </c>
      <c r="D13" s="156" t="s">
        <v>2495</v>
      </c>
      <c r="E13" s="157" t="s">
        <v>2496</v>
      </c>
      <c r="F13" s="157" t="s">
        <v>2497</v>
      </c>
      <c r="G13" s="157" t="s">
        <v>2498</v>
      </c>
      <c r="H13" s="157" t="s">
        <v>2499</v>
      </c>
      <c r="I13" s="157" t="s">
        <v>2500</v>
      </c>
      <c r="J13" s="157" t="s">
        <v>2501</v>
      </c>
      <c r="K13" s="73"/>
    </row>
    <row r="14" ht="22.5" customHeight="1">
      <c r="A14" s="158"/>
      <c r="B14" s="158"/>
      <c r="C14" s="155" t="s">
        <v>128</v>
      </c>
      <c r="D14" s="156" t="s">
        <v>2502</v>
      </c>
      <c r="E14" s="157" t="s">
        <v>2474</v>
      </c>
      <c r="F14" s="157" t="s">
        <v>2474</v>
      </c>
      <c r="G14" s="157" t="s">
        <v>2474</v>
      </c>
      <c r="H14" s="157" t="s">
        <v>2503</v>
      </c>
      <c r="I14" s="157" t="s">
        <v>2504</v>
      </c>
      <c r="J14" s="157" t="s">
        <v>2505</v>
      </c>
      <c r="K14" s="73"/>
    </row>
    <row r="15" ht="22.5" customHeight="1">
      <c r="A15" s="164"/>
      <c r="B15" s="164"/>
      <c r="C15" s="155" t="s">
        <v>164</v>
      </c>
      <c r="D15" s="156" t="s">
        <v>2506</v>
      </c>
      <c r="E15" s="157" t="s">
        <v>2474</v>
      </c>
      <c r="F15" s="157" t="s">
        <v>2474</v>
      </c>
      <c r="G15" s="157" t="s">
        <v>2474</v>
      </c>
      <c r="H15" s="157" t="s">
        <v>2480</v>
      </c>
      <c r="I15" s="157" t="s">
        <v>2480</v>
      </c>
      <c r="J15" s="157" t="s">
        <v>2480</v>
      </c>
      <c r="K15" s="73"/>
    </row>
    <row r="16" ht="22.5" customHeight="1">
      <c r="A16" s="158"/>
      <c r="B16" s="158"/>
      <c r="C16" s="159" t="s">
        <v>1036</v>
      </c>
      <c r="D16" s="160" t="s">
        <v>2507</v>
      </c>
      <c r="E16" s="161" t="s">
        <v>2508</v>
      </c>
      <c r="F16" s="161" t="s">
        <v>2509</v>
      </c>
      <c r="G16" s="161" t="s">
        <v>2510</v>
      </c>
      <c r="H16" s="161" t="s">
        <v>2511</v>
      </c>
      <c r="I16" s="161" t="s">
        <v>2512</v>
      </c>
      <c r="J16" s="161" t="s">
        <v>2513</v>
      </c>
      <c r="K16" s="73"/>
    </row>
    <row r="17" ht="22.5" customHeight="1">
      <c r="A17" s="165"/>
      <c r="B17" s="165"/>
      <c r="C17" s="155" t="s">
        <v>1038</v>
      </c>
      <c r="D17" s="156" t="s">
        <v>2514</v>
      </c>
      <c r="E17" s="157" t="s">
        <v>2474</v>
      </c>
      <c r="F17" s="157" t="s">
        <v>2474</v>
      </c>
      <c r="G17" s="157" t="s">
        <v>2474</v>
      </c>
      <c r="H17" s="157" t="s">
        <v>2474</v>
      </c>
      <c r="I17" s="157" t="s">
        <v>2474</v>
      </c>
      <c r="J17" s="157" t="s">
        <v>2474</v>
      </c>
      <c r="K17" s="73"/>
    </row>
    <row r="18" ht="22.5" customHeight="1">
      <c r="A18" s="154"/>
      <c r="B18" s="154"/>
      <c r="C18" s="155" t="s">
        <v>171</v>
      </c>
      <c r="D18" s="156" t="s">
        <v>2515</v>
      </c>
      <c r="E18" s="157" t="s">
        <v>2480</v>
      </c>
      <c r="F18" s="157" t="s">
        <v>2480</v>
      </c>
      <c r="G18" s="157" t="s">
        <v>2480</v>
      </c>
      <c r="H18" s="157" t="s">
        <v>2474</v>
      </c>
      <c r="I18" s="157" t="s">
        <v>2474</v>
      </c>
      <c r="J18" s="157" t="s">
        <v>2474</v>
      </c>
      <c r="K18" s="73"/>
    </row>
    <row r="19" ht="22.5" customHeight="1">
      <c r="A19" s="158"/>
      <c r="B19" s="158"/>
      <c r="C19" s="159" t="s">
        <v>1050</v>
      </c>
      <c r="D19" s="162" t="s">
        <v>2516</v>
      </c>
      <c r="E19" s="163" t="s">
        <v>2517</v>
      </c>
      <c r="F19" s="163" t="s">
        <v>2518</v>
      </c>
      <c r="G19" s="163" t="s">
        <v>2519</v>
      </c>
      <c r="H19" s="163" t="s">
        <v>2520</v>
      </c>
      <c r="I19" s="163" t="s">
        <v>2521</v>
      </c>
      <c r="J19" s="163" t="s">
        <v>2522</v>
      </c>
      <c r="K19" s="73"/>
    </row>
    <row r="20" ht="22.5" customHeight="1">
      <c r="A20" s="158"/>
      <c r="B20" s="158"/>
      <c r="C20" s="155" t="s">
        <v>1052</v>
      </c>
      <c r="D20" s="156" t="s">
        <v>2523</v>
      </c>
      <c r="E20" s="157" t="s">
        <v>2474</v>
      </c>
      <c r="F20" s="157" t="s">
        <v>2474</v>
      </c>
      <c r="G20" s="157" t="s">
        <v>2474</v>
      </c>
      <c r="H20" s="157" t="s">
        <v>2474</v>
      </c>
      <c r="I20" s="157" t="s">
        <v>2474</v>
      </c>
      <c r="J20" s="157" t="s">
        <v>2474</v>
      </c>
      <c r="K20" s="73"/>
    </row>
    <row r="21" ht="22.5" customHeight="1">
      <c r="A21" s="164"/>
      <c r="B21" s="164"/>
      <c r="C21" s="155" t="s">
        <v>1061</v>
      </c>
      <c r="D21" s="156" t="s">
        <v>2524</v>
      </c>
      <c r="E21" s="157" t="s">
        <v>2474</v>
      </c>
      <c r="F21" s="157" t="s">
        <v>2480</v>
      </c>
      <c r="G21" s="157" t="s">
        <v>2480</v>
      </c>
      <c r="H21" s="157" t="s">
        <v>2474</v>
      </c>
      <c r="I21" s="157" t="s">
        <v>2480</v>
      </c>
      <c r="J21" s="157" t="s">
        <v>2480</v>
      </c>
      <c r="K21" s="73"/>
    </row>
    <row r="22" ht="22.5" customHeight="1">
      <c r="A22" s="158"/>
      <c r="B22" s="158"/>
      <c r="C22" s="159" t="s">
        <v>1063</v>
      </c>
      <c r="D22" s="162" t="s">
        <v>2525</v>
      </c>
      <c r="E22" s="163" t="s">
        <v>2480</v>
      </c>
      <c r="F22" s="163" t="s">
        <v>2481</v>
      </c>
      <c r="G22" s="163" t="s">
        <v>2481</v>
      </c>
      <c r="H22" s="163" t="s">
        <v>2480</v>
      </c>
      <c r="I22" s="163" t="s">
        <v>2481</v>
      </c>
      <c r="J22" s="163" t="s">
        <v>2481</v>
      </c>
      <c r="K22" s="73"/>
    </row>
    <row r="23" ht="22.5" customHeight="1">
      <c r="A23" s="165"/>
      <c r="B23" s="165"/>
      <c r="C23" s="155" t="s">
        <v>220</v>
      </c>
      <c r="D23" s="156" t="s">
        <v>2526</v>
      </c>
      <c r="E23" s="157" t="s">
        <v>2474</v>
      </c>
      <c r="F23" s="157" t="s">
        <v>2474</v>
      </c>
      <c r="G23" s="157" t="s">
        <v>2474</v>
      </c>
      <c r="H23" s="157" t="s">
        <v>2527</v>
      </c>
      <c r="I23" s="157" t="s">
        <v>2528</v>
      </c>
      <c r="J23" s="157" t="s">
        <v>2529</v>
      </c>
      <c r="K23" s="73"/>
    </row>
    <row r="24" ht="22.5" customHeight="1">
      <c r="A24" s="154"/>
      <c r="B24" s="154"/>
      <c r="C24" s="155" t="s">
        <v>235</v>
      </c>
      <c r="D24" s="156" t="s">
        <v>2530</v>
      </c>
      <c r="E24" s="157" t="s">
        <v>2474</v>
      </c>
      <c r="F24" s="157" t="s">
        <v>2474</v>
      </c>
      <c r="G24" s="157" t="s">
        <v>2474</v>
      </c>
      <c r="H24" s="157" t="s">
        <v>2474</v>
      </c>
      <c r="I24" s="157" t="s">
        <v>2474</v>
      </c>
      <c r="J24" s="157" t="s">
        <v>2474</v>
      </c>
      <c r="K24" s="73"/>
    </row>
    <row r="25" ht="22.5" customHeight="1">
      <c r="A25" s="158"/>
      <c r="B25" s="158"/>
      <c r="C25" s="155" t="s">
        <v>1075</v>
      </c>
      <c r="D25" s="156" t="s">
        <v>2531</v>
      </c>
      <c r="E25" s="157" t="s">
        <v>2474</v>
      </c>
      <c r="F25" s="157" t="s">
        <v>2474</v>
      </c>
      <c r="G25" s="157" t="s">
        <v>2474</v>
      </c>
      <c r="H25" s="157" t="s">
        <v>2474</v>
      </c>
      <c r="I25" s="157" t="s">
        <v>2474</v>
      </c>
      <c r="J25" s="157" t="s">
        <v>2474</v>
      </c>
      <c r="K25" s="73"/>
    </row>
    <row r="26" ht="22.5" customHeight="1">
      <c r="A26" s="154"/>
      <c r="B26" s="154"/>
      <c r="C26" s="159" t="s">
        <v>1078</v>
      </c>
      <c r="D26" s="160" t="s">
        <v>2532</v>
      </c>
      <c r="E26" s="161" t="s">
        <v>2533</v>
      </c>
      <c r="F26" s="161" t="s">
        <v>2534</v>
      </c>
      <c r="G26" s="161" t="s">
        <v>2535</v>
      </c>
      <c r="H26" s="161" t="s">
        <v>2536</v>
      </c>
      <c r="I26" s="161" t="s">
        <v>2537</v>
      </c>
      <c r="J26" s="161" t="s">
        <v>2538</v>
      </c>
      <c r="K26" s="73"/>
    </row>
    <row r="27" ht="22.5" customHeight="1">
      <c r="A27" s="158"/>
      <c r="B27" s="158"/>
      <c r="C27" s="155" t="s">
        <v>1083</v>
      </c>
      <c r="D27" s="156" t="s">
        <v>2539</v>
      </c>
      <c r="E27" s="157" t="s">
        <v>2474</v>
      </c>
      <c r="F27" s="157" t="s">
        <v>2474</v>
      </c>
      <c r="G27" s="157" t="s">
        <v>2474</v>
      </c>
      <c r="H27" s="157" t="s">
        <v>2474</v>
      </c>
      <c r="I27" s="157" t="s">
        <v>2474</v>
      </c>
      <c r="J27" s="157" t="s">
        <v>2474</v>
      </c>
      <c r="K27" s="73"/>
    </row>
    <row r="28" ht="22.5" customHeight="1">
      <c r="A28" s="154"/>
      <c r="B28" s="154"/>
      <c r="C28" s="159" t="s">
        <v>1085</v>
      </c>
      <c r="D28" s="160" t="s">
        <v>2540</v>
      </c>
      <c r="E28" s="161" t="s">
        <v>2541</v>
      </c>
      <c r="F28" s="161" t="s">
        <v>2542</v>
      </c>
      <c r="G28" s="161" t="s">
        <v>2543</v>
      </c>
      <c r="H28" s="161" t="s">
        <v>2544</v>
      </c>
      <c r="I28" s="161" t="s">
        <v>2545</v>
      </c>
      <c r="J28" s="161" t="s">
        <v>2546</v>
      </c>
      <c r="K28" s="73"/>
    </row>
    <row r="29" ht="22.5" customHeight="1">
      <c r="A29" s="158"/>
      <c r="B29" s="158"/>
      <c r="C29" s="155" t="s">
        <v>1087</v>
      </c>
      <c r="D29" s="156" t="s">
        <v>2547</v>
      </c>
      <c r="E29" s="157" t="s">
        <v>2548</v>
      </c>
      <c r="F29" s="157" t="s">
        <v>2549</v>
      </c>
      <c r="G29" s="157" t="s">
        <v>2550</v>
      </c>
      <c r="H29" s="157" t="s">
        <v>2551</v>
      </c>
      <c r="I29" s="157" t="s">
        <v>2552</v>
      </c>
      <c r="J29" s="157" t="s">
        <v>2553</v>
      </c>
      <c r="K29" s="73"/>
    </row>
    <row r="30" ht="22.5" customHeight="1">
      <c r="A30" s="158"/>
      <c r="B30" s="158"/>
      <c r="C30" s="155" t="s">
        <v>1089</v>
      </c>
      <c r="D30" s="156" t="s">
        <v>2554</v>
      </c>
      <c r="E30" s="157" t="s">
        <v>2474</v>
      </c>
      <c r="F30" s="157" t="s">
        <v>2474</v>
      </c>
      <c r="G30" s="157" t="s">
        <v>2474</v>
      </c>
      <c r="H30" s="157" t="s">
        <v>2474</v>
      </c>
      <c r="I30" s="157" t="s">
        <v>2474</v>
      </c>
      <c r="J30" s="157" t="s">
        <v>2474</v>
      </c>
      <c r="K30" s="73"/>
    </row>
    <row r="31" ht="22.5" customHeight="1">
      <c r="A31" s="154"/>
      <c r="B31" s="154"/>
      <c r="C31" s="159" t="s">
        <v>1091</v>
      </c>
      <c r="D31" s="160" t="s">
        <v>2555</v>
      </c>
      <c r="E31" s="161" t="s">
        <v>2480</v>
      </c>
      <c r="F31" s="161" t="s">
        <v>2480</v>
      </c>
      <c r="G31" s="161" t="s">
        <v>2481</v>
      </c>
      <c r="H31" s="161" t="s">
        <v>2480</v>
      </c>
      <c r="I31" s="161" t="s">
        <v>2480</v>
      </c>
      <c r="J31" s="161" t="s">
        <v>2481</v>
      </c>
      <c r="K31" s="73"/>
    </row>
    <row r="32" ht="22.5" customHeight="1">
      <c r="A32" s="158"/>
      <c r="B32" s="158"/>
      <c r="C32" s="159" t="s">
        <v>1093</v>
      </c>
      <c r="D32" s="160" t="s">
        <v>2556</v>
      </c>
      <c r="E32" s="161" t="s">
        <v>2557</v>
      </c>
      <c r="F32" s="161" t="s">
        <v>2558</v>
      </c>
      <c r="G32" s="161" t="s">
        <v>2559</v>
      </c>
      <c r="H32" s="161" t="s">
        <v>2560</v>
      </c>
      <c r="I32" s="161" t="s">
        <v>2561</v>
      </c>
      <c r="J32" s="161" t="s">
        <v>2562</v>
      </c>
      <c r="K32" s="73"/>
    </row>
    <row r="33" ht="22.5" customHeight="1">
      <c r="A33" s="154"/>
      <c r="B33" s="154"/>
      <c r="C33" s="155" t="s">
        <v>271</v>
      </c>
      <c r="D33" s="156" t="s">
        <v>2563</v>
      </c>
      <c r="E33" s="157" t="s">
        <v>2474</v>
      </c>
      <c r="F33" s="157" t="s">
        <v>2474</v>
      </c>
      <c r="G33" s="157" t="s">
        <v>2474</v>
      </c>
      <c r="H33" s="157" t="s">
        <v>2474</v>
      </c>
      <c r="I33" s="157" t="s">
        <v>2474</v>
      </c>
      <c r="J33" s="157" t="s">
        <v>2474</v>
      </c>
      <c r="K33" s="73"/>
    </row>
    <row r="34" ht="22.5" customHeight="1">
      <c r="A34" s="158"/>
      <c r="B34" s="158"/>
      <c r="C34" s="155" t="s">
        <v>1099</v>
      </c>
      <c r="D34" s="156" t="s">
        <v>2564</v>
      </c>
      <c r="E34" s="157" t="s">
        <v>2474</v>
      </c>
      <c r="F34" s="157" t="s">
        <v>2474</v>
      </c>
      <c r="G34" s="157" t="s">
        <v>2474</v>
      </c>
      <c r="H34" s="157" t="s">
        <v>2474</v>
      </c>
      <c r="I34" s="157" t="s">
        <v>2474</v>
      </c>
      <c r="J34" s="157" t="s">
        <v>2474</v>
      </c>
      <c r="K34" s="73"/>
    </row>
    <row r="35" ht="22.5" customHeight="1">
      <c r="A35" s="158"/>
      <c r="B35" s="158"/>
      <c r="C35" s="155" t="s">
        <v>1101</v>
      </c>
      <c r="D35" s="156" t="s">
        <v>2565</v>
      </c>
      <c r="E35" s="157" t="s">
        <v>2474</v>
      </c>
      <c r="F35" s="157" t="s">
        <v>2480</v>
      </c>
      <c r="G35" s="157" t="s">
        <v>2480</v>
      </c>
      <c r="H35" s="157" t="s">
        <v>2474</v>
      </c>
      <c r="I35" s="157" t="s">
        <v>2480</v>
      </c>
      <c r="J35" s="157" t="s">
        <v>2480</v>
      </c>
      <c r="K35" s="73"/>
    </row>
    <row r="36" ht="22.5" customHeight="1">
      <c r="A36" s="154"/>
      <c r="B36" s="154"/>
      <c r="C36" s="159" t="s">
        <v>1103</v>
      </c>
      <c r="D36" s="160" t="s">
        <v>2566</v>
      </c>
      <c r="E36" s="161" t="s">
        <v>2480</v>
      </c>
      <c r="F36" s="161" t="s">
        <v>2481</v>
      </c>
      <c r="G36" s="161" t="s">
        <v>2481</v>
      </c>
      <c r="H36" s="161" t="s">
        <v>2480</v>
      </c>
      <c r="I36" s="161" t="s">
        <v>2481</v>
      </c>
      <c r="J36" s="161" t="s">
        <v>2481</v>
      </c>
      <c r="K36" s="73"/>
    </row>
    <row r="37" ht="22.5" customHeight="1">
      <c r="A37" s="158"/>
      <c r="B37" s="158"/>
      <c r="C37" s="159" t="s">
        <v>1105</v>
      </c>
      <c r="D37" s="162" t="s">
        <v>2567</v>
      </c>
      <c r="E37" s="163" t="s">
        <v>2480</v>
      </c>
      <c r="F37" s="163" t="s">
        <v>2481</v>
      </c>
      <c r="G37" s="163" t="s">
        <v>2481</v>
      </c>
      <c r="H37" s="163" t="s">
        <v>2480</v>
      </c>
      <c r="I37" s="163" t="s">
        <v>2481</v>
      </c>
      <c r="J37" s="163" t="s">
        <v>2481</v>
      </c>
      <c r="K37" s="73"/>
    </row>
    <row r="38" ht="22.5" customHeight="1">
      <c r="A38" s="154"/>
      <c r="B38" s="154"/>
      <c r="C38" s="159" t="s">
        <v>1107</v>
      </c>
      <c r="D38" s="160" t="s">
        <v>2568</v>
      </c>
      <c r="E38" s="161" t="s">
        <v>2480</v>
      </c>
      <c r="F38" s="161" t="s">
        <v>2481</v>
      </c>
      <c r="G38" s="161" t="s">
        <v>2481</v>
      </c>
      <c r="H38" s="161" t="s">
        <v>2480</v>
      </c>
      <c r="I38" s="161" t="s">
        <v>2481</v>
      </c>
      <c r="J38" s="161" t="s">
        <v>2481</v>
      </c>
      <c r="K38" s="73"/>
    </row>
    <row r="39" ht="22.5" customHeight="1">
      <c r="A39" s="158"/>
      <c r="B39" s="158"/>
      <c r="C39" s="155" t="s">
        <v>1109</v>
      </c>
      <c r="D39" s="156" t="s">
        <v>2569</v>
      </c>
      <c r="E39" s="157" t="s">
        <v>2474</v>
      </c>
      <c r="F39" s="157" t="s">
        <v>2474</v>
      </c>
      <c r="G39" s="157" t="s">
        <v>2474</v>
      </c>
      <c r="H39" s="157" t="s">
        <v>2474</v>
      </c>
      <c r="I39" s="157" t="s">
        <v>2474</v>
      </c>
      <c r="J39" s="157" t="s">
        <v>2474</v>
      </c>
      <c r="K39" s="73"/>
    </row>
    <row r="40" ht="22.5" customHeight="1">
      <c r="A40" s="158"/>
      <c r="B40" s="158"/>
      <c r="C40" s="155" t="s">
        <v>1111</v>
      </c>
      <c r="D40" s="156" t="s">
        <v>2570</v>
      </c>
      <c r="E40" s="157" t="s">
        <v>2474</v>
      </c>
      <c r="F40" s="157" t="s">
        <v>2474</v>
      </c>
      <c r="G40" s="157" t="s">
        <v>2474</v>
      </c>
      <c r="H40" s="157" t="s">
        <v>2474</v>
      </c>
      <c r="I40" s="157" t="s">
        <v>2474</v>
      </c>
      <c r="J40" s="157" t="s">
        <v>2474</v>
      </c>
      <c r="K40" s="73"/>
    </row>
    <row r="41" ht="22.5" customHeight="1">
      <c r="A41" s="165"/>
      <c r="B41" s="165"/>
      <c r="C41" s="155" t="s">
        <v>1114</v>
      </c>
      <c r="D41" s="156" t="s">
        <v>2571</v>
      </c>
      <c r="E41" s="157" t="s">
        <v>2474</v>
      </c>
      <c r="F41" s="157" t="s">
        <v>2474</v>
      </c>
      <c r="G41" s="157" t="s">
        <v>2474</v>
      </c>
      <c r="H41" s="157" t="s">
        <v>2474</v>
      </c>
      <c r="I41" s="157" t="s">
        <v>2474</v>
      </c>
      <c r="J41" s="157" t="s">
        <v>2474</v>
      </c>
      <c r="K41" s="73"/>
    </row>
    <row r="42" ht="22.5" customHeight="1">
      <c r="A42" s="154"/>
      <c r="B42" s="154"/>
      <c r="C42" s="155" t="s">
        <v>1125</v>
      </c>
      <c r="D42" s="156" t="s">
        <v>2572</v>
      </c>
      <c r="E42" s="157" t="s">
        <v>2474</v>
      </c>
      <c r="F42" s="157" t="s">
        <v>2474</v>
      </c>
      <c r="G42" s="157" t="s">
        <v>2474</v>
      </c>
      <c r="H42" s="157" t="s">
        <v>2474</v>
      </c>
      <c r="I42" s="157" t="s">
        <v>2474</v>
      </c>
      <c r="J42" s="157" t="s">
        <v>2474</v>
      </c>
      <c r="K42" s="73"/>
    </row>
    <row r="43" ht="22.5" customHeight="1">
      <c r="A43" s="158"/>
      <c r="B43" s="158"/>
      <c r="C43" s="155" t="s">
        <v>1158</v>
      </c>
      <c r="D43" s="156" t="s">
        <v>2573</v>
      </c>
      <c r="E43" s="157" t="s">
        <v>2474</v>
      </c>
      <c r="F43" s="157" t="s">
        <v>2474</v>
      </c>
      <c r="G43" s="157" t="s">
        <v>2474</v>
      </c>
      <c r="H43" s="157" t="s">
        <v>2474</v>
      </c>
      <c r="I43" s="157" t="s">
        <v>2474</v>
      </c>
      <c r="J43" s="157" t="s">
        <v>2474</v>
      </c>
      <c r="K43" s="73"/>
    </row>
    <row r="44" ht="22.5" customHeight="1">
      <c r="A44" s="154"/>
      <c r="B44" s="154"/>
      <c r="C44" s="159" t="s">
        <v>2574</v>
      </c>
      <c r="D44" s="160" t="s">
        <v>2575</v>
      </c>
      <c r="E44" s="161" t="s">
        <v>2474</v>
      </c>
      <c r="F44" s="161" t="s">
        <v>2474</v>
      </c>
      <c r="G44" s="161" t="s">
        <v>2474</v>
      </c>
      <c r="H44" s="161" t="s">
        <v>2474</v>
      </c>
      <c r="I44" s="161" t="s">
        <v>2474</v>
      </c>
      <c r="J44" s="161" t="s">
        <v>2474</v>
      </c>
      <c r="K44" s="73"/>
    </row>
    <row r="45" ht="22.5" customHeight="1">
      <c r="A45" s="158"/>
      <c r="B45" s="158"/>
      <c r="C45" s="155" t="s">
        <v>324</v>
      </c>
      <c r="D45" s="156" t="s">
        <v>2576</v>
      </c>
      <c r="E45" s="157" t="s">
        <v>2474</v>
      </c>
      <c r="F45" s="157" t="s">
        <v>2474</v>
      </c>
      <c r="G45" s="157" t="s">
        <v>2474</v>
      </c>
      <c r="H45" s="157" t="s">
        <v>2474</v>
      </c>
      <c r="I45" s="157" t="s">
        <v>2474</v>
      </c>
      <c r="J45" s="157" t="s">
        <v>2474</v>
      </c>
      <c r="K45" s="73"/>
    </row>
    <row r="46" ht="22.5" customHeight="1">
      <c r="A46" s="154"/>
      <c r="B46" s="154"/>
      <c r="C46" s="159" t="s">
        <v>1175</v>
      </c>
      <c r="D46" s="162" t="s">
        <v>2577</v>
      </c>
      <c r="E46" s="163" t="s">
        <v>2578</v>
      </c>
      <c r="F46" s="163" t="s">
        <v>2579</v>
      </c>
      <c r="G46" s="163" t="s">
        <v>2580</v>
      </c>
      <c r="H46" s="163" t="s">
        <v>2581</v>
      </c>
      <c r="I46" s="163" t="s">
        <v>2582</v>
      </c>
      <c r="J46" s="163" t="s">
        <v>2583</v>
      </c>
      <c r="K46" s="73"/>
    </row>
    <row r="47" ht="22.5" customHeight="1">
      <c r="A47" s="158"/>
      <c r="B47" s="158"/>
      <c r="C47" s="159" t="s">
        <v>1191</v>
      </c>
      <c r="D47" s="160" t="s">
        <v>2584</v>
      </c>
      <c r="E47" s="161" t="s">
        <v>2585</v>
      </c>
      <c r="F47" s="161" t="s">
        <v>2586</v>
      </c>
      <c r="G47" s="161" t="s">
        <v>2587</v>
      </c>
      <c r="H47" s="161" t="s">
        <v>2588</v>
      </c>
      <c r="I47" s="161" t="s">
        <v>2589</v>
      </c>
      <c r="J47" s="161" t="s">
        <v>2590</v>
      </c>
      <c r="K47" s="73"/>
    </row>
    <row r="48" ht="22.5" customHeight="1">
      <c r="A48" s="158"/>
      <c r="B48" s="158"/>
      <c r="C48" s="159" t="s">
        <v>422</v>
      </c>
      <c r="D48" s="160" t="s">
        <v>2591</v>
      </c>
      <c r="E48" s="161" t="s">
        <v>2592</v>
      </c>
      <c r="F48" s="161" t="s">
        <v>2593</v>
      </c>
      <c r="G48" s="161" t="s">
        <v>2594</v>
      </c>
      <c r="H48" s="161" t="s">
        <v>2595</v>
      </c>
      <c r="I48" s="161" t="s">
        <v>2596</v>
      </c>
      <c r="J48" s="161" t="s">
        <v>2597</v>
      </c>
      <c r="K48" s="73"/>
    </row>
    <row r="49" ht="22.5" customHeight="1">
      <c r="A49" s="154"/>
      <c r="B49" s="154"/>
      <c r="C49" s="155" t="s">
        <v>1236</v>
      </c>
      <c r="D49" s="156" t="s">
        <v>2598</v>
      </c>
      <c r="E49" s="157" t="s">
        <v>2474</v>
      </c>
      <c r="F49" s="157" t="s">
        <v>2474</v>
      </c>
      <c r="G49" s="157" t="s">
        <v>2474</v>
      </c>
      <c r="H49" s="157" t="s">
        <v>2474</v>
      </c>
      <c r="I49" s="157" t="s">
        <v>2474</v>
      </c>
      <c r="J49" s="157" t="s">
        <v>2474</v>
      </c>
      <c r="K49" s="73"/>
    </row>
    <row r="50" ht="22.5" customHeight="1">
      <c r="A50" s="158"/>
      <c r="B50" s="158"/>
      <c r="C50" s="155" t="s">
        <v>1238</v>
      </c>
      <c r="D50" s="156" t="s">
        <v>2599</v>
      </c>
      <c r="E50" s="157" t="s">
        <v>2474</v>
      </c>
      <c r="F50" s="157" t="s">
        <v>2474</v>
      </c>
      <c r="G50" s="157" t="s">
        <v>2474</v>
      </c>
      <c r="H50" s="157" t="s">
        <v>2474</v>
      </c>
      <c r="I50" s="157" t="s">
        <v>2474</v>
      </c>
      <c r="J50" s="157" t="s">
        <v>2474</v>
      </c>
      <c r="K50" s="73"/>
    </row>
    <row r="51" ht="22.5" customHeight="1">
      <c r="A51" s="158"/>
      <c r="B51" s="158"/>
      <c r="C51" s="155" t="s">
        <v>1240</v>
      </c>
      <c r="D51" s="156" t="s">
        <v>2600</v>
      </c>
      <c r="E51" s="157" t="s">
        <v>2474</v>
      </c>
      <c r="F51" s="157" t="s">
        <v>2474</v>
      </c>
      <c r="G51" s="157" t="s">
        <v>2474</v>
      </c>
      <c r="H51" s="157" t="s">
        <v>2474</v>
      </c>
      <c r="I51" s="157" t="s">
        <v>2474</v>
      </c>
      <c r="J51" s="157" t="s">
        <v>2474</v>
      </c>
      <c r="K51" s="73"/>
    </row>
    <row r="52" ht="22.5" customHeight="1">
      <c r="A52" s="154"/>
      <c r="B52" s="154"/>
      <c r="C52" s="159" t="s">
        <v>1242</v>
      </c>
      <c r="D52" s="162" t="s">
        <v>2601</v>
      </c>
      <c r="E52" s="163" t="s">
        <v>2480</v>
      </c>
      <c r="F52" s="163" t="s">
        <v>2602</v>
      </c>
      <c r="G52" s="163" t="s">
        <v>2603</v>
      </c>
      <c r="H52" s="163" t="s">
        <v>2480</v>
      </c>
      <c r="I52" s="163" t="s">
        <v>2604</v>
      </c>
      <c r="J52" s="163" t="s">
        <v>2605</v>
      </c>
      <c r="K52" s="73"/>
    </row>
    <row r="53" ht="22.5" customHeight="1">
      <c r="A53" s="158"/>
      <c r="B53" s="158"/>
      <c r="C53" s="155" t="s">
        <v>1246</v>
      </c>
      <c r="D53" s="156" t="s">
        <v>2606</v>
      </c>
      <c r="E53" s="157" t="s">
        <v>2607</v>
      </c>
      <c r="F53" s="157" t="s">
        <v>2608</v>
      </c>
      <c r="G53" s="157" t="s">
        <v>2609</v>
      </c>
      <c r="H53" s="157" t="s">
        <v>2610</v>
      </c>
      <c r="I53" s="157" t="s">
        <v>2611</v>
      </c>
      <c r="J53" s="157" t="s">
        <v>2612</v>
      </c>
      <c r="K53" s="73"/>
    </row>
    <row r="54" ht="22.5" customHeight="1">
      <c r="A54" s="154"/>
      <c r="B54" s="154"/>
      <c r="C54" s="155" t="s">
        <v>1248</v>
      </c>
      <c r="D54" s="156" t="s">
        <v>2613</v>
      </c>
      <c r="E54" s="157" t="s">
        <v>2614</v>
      </c>
      <c r="F54" s="157" t="s">
        <v>2615</v>
      </c>
      <c r="G54" s="157" t="s">
        <v>2616</v>
      </c>
      <c r="H54" s="157" t="s">
        <v>2617</v>
      </c>
      <c r="I54" s="157" t="s">
        <v>2618</v>
      </c>
      <c r="J54" s="157" t="s">
        <v>2619</v>
      </c>
      <c r="K54" s="73"/>
    </row>
    <row r="55" ht="22.5" customHeight="1">
      <c r="A55" s="158"/>
      <c r="B55" s="158"/>
      <c r="C55" s="155" t="s">
        <v>1250</v>
      </c>
      <c r="D55" s="156" t="s">
        <v>2620</v>
      </c>
      <c r="E55" s="157" t="s">
        <v>2474</v>
      </c>
      <c r="F55" s="157" t="s">
        <v>2474</v>
      </c>
      <c r="G55" s="157" t="s">
        <v>2474</v>
      </c>
      <c r="H55" s="157" t="s">
        <v>2474</v>
      </c>
      <c r="I55" s="157" t="s">
        <v>2474</v>
      </c>
      <c r="J55" s="157" t="s">
        <v>2474</v>
      </c>
      <c r="K55" s="73"/>
    </row>
    <row r="56" ht="22.5" customHeight="1">
      <c r="A56" s="158"/>
      <c r="B56" s="158"/>
      <c r="C56" s="155" t="s">
        <v>1252</v>
      </c>
      <c r="D56" s="156" t="s">
        <v>2621</v>
      </c>
      <c r="E56" s="157" t="s">
        <v>2474</v>
      </c>
      <c r="F56" s="157" t="s">
        <v>2474</v>
      </c>
      <c r="G56" s="157" t="s">
        <v>2474</v>
      </c>
      <c r="H56" s="157" t="s">
        <v>2474</v>
      </c>
      <c r="I56" s="157" t="s">
        <v>2474</v>
      </c>
      <c r="J56" s="157" t="s">
        <v>2474</v>
      </c>
      <c r="K56" s="73"/>
    </row>
    <row r="57" ht="22.5" customHeight="1">
      <c r="A57" s="164"/>
      <c r="B57" s="164"/>
      <c r="C57" s="155" t="s">
        <v>1254</v>
      </c>
      <c r="D57" s="156" t="s">
        <v>2622</v>
      </c>
      <c r="E57" s="157" t="s">
        <v>2623</v>
      </c>
      <c r="F57" s="157" t="s">
        <v>2624</v>
      </c>
      <c r="G57" s="157" t="s">
        <v>2625</v>
      </c>
      <c r="H57" s="157" t="s">
        <v>2626</v>
      </c>
      <c r="I57" s="157" t="s">
        <v>2627</v>
      </c>
      <c r="J57" s="157" t="s">
        <v>2628</v>
      </c>
      <c r="K57" s="73"/>
    </row>
    <row r="58" ht="22.5" customHeight="1">
      <c r="A58" s="158"/>
      <c r="B58" s="158"/>
      <c r="C58" s="155" t="s">
        <v>1256</v>
      </c>
      <c r="D58" s="156" t="s">
        <v>2629</v>
      </c>
      <c r="E58" s="157" t="s">
        <v>2474</v>
      </c>
      <c r="F58" s="157" t="s">
        <v>2474</v>
      </c>
      <c r="G58" s="157" t="s">
        <v>2474</v>
      </c>
      <c r="H58" s="157" t="s">
        <v>2474</v>
      </c>
      <c r="I58" s="157" t="s">
        <v>2474</v>
      </c>
      <c r="J58" s="157" t="s">
        <v>2474</v>
      </c>
      <c r="K58" s="73"/>
    </row>
    <row r="59" ht="22.5" customHeight="1">
      <c r="A59" s="154"/>
      <c r="B59" s="154"/>
      <c r="C59" s="159" t="s">
        <v>1258</v>
      </c>
      <c r="D59" s="162" t="s">
        <v>2630</v>
      </c>
      <c r="E59" s="163" t="s">
        <v>2480</v>
      </c>
      <c r="F59" s="163" t="s">
        <v>2481</v>
      </c>
      <c r="G59" s="163" t="s">
        <v>2481</v>
      </c>
      <c r="H59" s="163" t="s">
        <v>2480</v>
      </c>
      <c r="I59" s="163" t="s">
        <v>2481</v>
      </c>
      <c r="J59" s="163" t="s">
        <v>2481</v>
      </c>
      <c r="K59" s="73"/>
    </row>
    <row r="60" ht="22.5" customHeight="1">
      <c r="A60" s="158"/>
      <c r="B60" s="158"/>
      <c r="C60" s="159" t="s">
        <v>1260</v>
      </c>
      <c r="D60" s="160" t="s">
        <v>2631</v>
      </c>
      <c r="E60" s="161" t="s">
        <v>2480</v>
      </c>
      <c r="F60" s="161" t="s">
        <v>2481</v>
      </c>
      <c r="G60" s="161" t="s">
        <v>2481</v>
      </c>
      <c r="H60" s="161" t="s">
        <v>2480</v>
      </c>
      <c r="I60" s="161" t="s">
        <v>2481</v>
      </c>
      <c r="J60" s="161" t="s">
        <v>2481</v>
      </c>
      <c r="K60" s="73"/>
    </row>
    <row r="61" ht="22.5" customHeight="1">
      <c r="A61" s="154"/>
      <c r="B61" s="154"/>
      <c r="C61" s="159" t="s">
        <v>1262</v>
      </c>
      <c r="D61" s="162" t="s">
        <v>2632</v>
      </c>
      <c r="E61" s="163" t="s">
        <v>2480</v>
      </c>
      <c r="F61" s="163" t="s">
        <v>2481</v>
      </c>
      <c r="G61" s="163" t="s">
        <v>2481</v>
      </c>
      <c r="H61" s="163" t="s">
        <v>2480</v>
      </c>
      <c r="I61" s="163" t="s">
        <v>2481</v>
      </c>
      <c r="J61" s="163" t="s">
        <v>2481</v>
      </c>
      <c r="K61" s="73"/>
    </row>
    <row r="62" ht="22.5" customHeight="1">
      <c r="A62" s="158"/>
      <c r="B62" s="158"/>
      <c r="C62" s="155" t="s">
        <v>1264</v>
      </c>
      <c r="D62" s="156" t="s">
        <v>2633</v>
      </c>
      <c r="E62" s="157" t="s">
        <v>2474</v>
      </c>
      <c r="F62" s="157" t="s">
        <v>2474</v>
      </c>
      <c r="G62" s="157" t="s">
        <v>2474</v>
      </c>
      <c r="H62" s="157" t="s">
        <v>2474</v>
      </c>
      <c r="I62" s="157" t="s">
        <v>2474</v>
      </c>
      <c r="J62" s="157" t="s">
        <v>2474</v>
      </c>
      <c r="K62" s="73"/>
    </row>
    <row r="63" ht="22.5" customHeight="1">
      <c r="A63" s="154"/>
      <c r="B63" s="154"/>
      <c r="C63" s="155" t="s">
        <v>1266</v>
      </c>
      <c r="D63" s="156" t="s">
        <v>2634</v>
      </c>
      <c r="E63" s="157" t="s">
        <v>2474</v>
      </c>
      <c r="F63" s="157" t="s">
        <v>2474</v>
      </c>
      <c r="G63" s="157" t="s">
        <v>2474</v>
      </c>
      <c r="H63" s="157" t="s">
        <v>2474</v>
      </c>
      <c r="I63" s="157" t="s">
        <v>2474</v>
      </c>
      <c r="J63" s="157" t="s">
        <v>2474</v>
      </c>
      <c r="K63" s="73"/>
    </row>
    <row r="64" ht="22.5" customHeight="1">
      <c r="A64" s="158"/>
      <c r="B64" s="158"/>
      <c r="C64" s="155" t="s">
        <v>1268</v>
      </c>
      <c r="D64" s="156" t="s">
        <v>2635</v>
      </c>
      <c r="E64" s="157" t="s">
        <v>2474</v>
      </c>
      <c r="F64" s="157" t="s">
        <v>2474</v>
      </c>
      <c r="G64" s="157" t="s">
        <v>2474</v>
      </c>
      <c r="H64" s="157" t="s">
        <v>2474</v>
      </c>
      <c r="I64" s="157" t="s">
        <v>2474</v>
      </c>
      <c r="J64" s="157" t="s">
        <v>2474</v>
      </c>
      <c r="K64" s="73"/>
    </row>
    <row r="65" ht="22.5" customHeight="1">
      <c r="A65" s="158"/>
      <c r="B65" s="158"/>
      <c r="C65" s="159" t="s">
        <v>1270</v>
      </c>
      <c r="D65" s="162" t="s">
        <v>2636</v>
      </c>
      <c r="E65" s="163" t="s">
        <v>2480</v>
      </c>
      <c r="F65" s="163" t="s">
        <v>2481</v>
      </c>
      <c r="G65" s="163" t="s">
        <v>2481</v>
      </c>
      <c r="H65" s="163" t="s">
        <v>2480</v>
      </c>
      <c r="I65" s="163" t="s">
        <v>2481</v>
      </c>
      <c r="J65" s="163" t="s">
        <v>2481</v>
      </c>
      <c r="K65" s="73"/>
    </row>
    <row r="66" ht="22.5" customHeight="1">
      <c r="A66" s="165"/>
      <c r="B66" s="165"/>
      <c r="C66" s="155" t="s">
        <v>1272</v>
      </c>
      <c r="D66" s="156" t="s">
        <v>2637</v>
      </c>
      <c r="E66" s="157" t="s">
        <v>2474</v>
      </c>
      <c r="F66" s="157" t="s">
        <v>2480</v>
      </c>
      <c r="G66" s="157" t="s">
        <v>2480</v>
      </c>
      <c r="H66" s="157" t="s">
        <v>2474</v>
      </c>
      <c r="I66" s="157" t="s">
        <v>2480</v>
      </c>
      <c r="J66" s="157" t="s">
        <v>2480</v>
      </c>
      <c r="K66" s="73"/>
    </row>
    <row r="67" ht="22.5" customHeight="1">
      <c r="A67" s="158"/>
      <c r="B67" s="158"/>
      <c r="C67" s="159" t="s">
        <v>1275</v>
      </c>
      <c r="D67" s="162" t="s">
        <v>2638</v>
      </c>
      <c r="E67" s="163" t="s">
        <v>2480</v>
      </c>
      <c r="F67" s="163" t="s">
        <v>2481</v>
      </c>
      <c r="G67" s="163" t="s">
        <v>2481</v>
      </c>
      <c r="H67" s="163" t="s">
        <v>2480</v>
      </c>
      <c r="I67" s="163" t="s">
        <v>2481</v>
      </c>
      <c r="J67" s="163" t="s">
        <v>2481</v>
      </c>
      <c r="K67" s="73"/>
    </row>
    <row r="68" ht="22.5" customHeight="1">
      <c r="A68" s="164"/>
      <c r="B68" s="164"/>
      <c r="C68" s="159" t="s">
        <v>1277</v>
      </c>
      <c r="D68" s="160" t="s">
        <v>2639</v>
      </c>
      <c r="E68" s="161" t="s">
        <v>2480</v>
      </c>
      <c r="F68" s="161" t="s">
        <v>2481</v>
      </c>
      <c r="G68" s="161" t="s">
        <v>2481</v>
      </c>
      <c r="H68" s="161" t="s">
        <v>2480</v>
      </c>
      <c r="I68" s="161" t="s">
        <v>2481</v>
      </c>
      <c r="J68" s="161" t="s">
        <v>2481</v>
      </c>
      <c r="K68" s="73"/>
    </row>
    <row r="69" ht="22.5" customHeight="1">
      <c r="A69" s="158"/>
      <c r="B69" s="158"/>
      <c r="C69" s="159" t="s">
        <v>1279</v>
      </c>
      <c r="D69" s="162" t="s">
        <v>2640</v>
      </c>
      <c r="E69" s="163" t="s">
        <v>2480</v>
      </c>
      <c r="F69" s="163" t="s">
        <v>2481</v>
      </c>
      <c r="G69" s="163" t="s">
        <v>2481</v>
      </c>
      <c r="H69" s="163" t="s">
        <v>2480</v>
      </c>
      <c r="I69" s="163" t="s">
        <v>2481</v>
      </c>
      <c r="J69" s="163" t="s">
        <v>2481</v>
      </c>
      <c r="K69" s="73"/>
    </row>
    <row r="70" ht="22.5" customHeight="1">
      <c r="A70" s="164"/>
      <c r="B70" s="164"/>
      <c r="C70" s="155" t="s">
        <v>1281</v>
      </c>
      <c r="D70" s="156" t="s">
        <v>2641</v>
      </c>
      <c r="E70" s="157" t="s">
        <v>2480</v>
      </c>
      <c r="F70" s="157" t="s">
        <v>2481</v>
      </c>
      <c r="G70" s="157" t="s">
        <v>2481</v>
      </c>
      <c r="H70" s="157" t="s">
        <v>2480</v>
      </c>
      <c r="I70" s="157" t="s">
        <v>2481</v>
      </c>
      <c r="J70" s="157" t="s">
        <v>2481</v>
      </c>
      <c r="K70" s="73"/>
    </row>
    <row r="71" ht="22.5" customHeight="1">
      <c r="A71" s="154"/>
      <c r="B71" s="154"/>
      <c r="C71" s="159" t="s">
        <v>1283</v>
      </c>
      <c r="D71" s="162" t="s">
        <v>2642</v>
      </c>
      <c r="E71" s="163" t="s">
        <v>2480</v>
      </c>
      <c r="F71" s="163" t="s">
        <v>2481</v>
      </c>
      <c r="G71" s="163" t="s">
        <v>2481</v>
      </c>
      <c r="H71" s="163" t="s">
        <v>2480</v>
      </c>
      <c r="I71" s="163" t="s">
        <v>2481</v>
      </c>
      <c r="J71" s="163" t="s">
        <v>2481</v>
      </c>
      <c r="K71" s="73"/>
    </row>
    <row r="72" ht="22.5" customHeight="1">
      <c r="A72" s="158"/>
      <c r="B72" s="158"/>
      <c r="C72" s="155" t="s">
        <v>1285</v>
      </c>
      <c r="D72" s="156" t="s">
        <v>2643</v>
      </c>
      <c r="E72" s="157" t="s">
        <v>2474</v>
      </c>
      <c r="F72" s="157" t="s">
        <v>2480</v>
      </c>
      <c r="G72" s="157" t="s">
        <v>2480</v>
      </c>
      <c r="H72" s="157" t="s">
        <v>2474</v>
      </c>
      <c r="I72" s="157" t="s">
        <v>2480</v>
      </c>
      <c r="J72" s="157" t="s">
        <v>2480</v>
      </c>
      <c r="K72" s="73"/>
    </row>
    <row r="73" ht="22.5" customHeight="1">
      <c r="A73" s="154"/>
      <c r="B73" s="154"/>
      <c r="C73" s="159" t="s">
        <v>1287</v>
      </c>
      <c r="D73" s="162" t="s">
        <v>2644</v>
      </c>
      <c r="E73" s="163" t="s">
        <v>2645</v>
      </c>
      <c r="F73" s="163" t="s">
        <v>2646</v>
      </c>
      <c r="G73" s="163" t="s">
        <v>2647</v>
      </c>
      <c r="H73" s="163" t="s">
        <v>2648</v>
      </c>
      <c r="I73" s="163" t="s">
        <v>2649</v>
      </c>
      <c r="J73" s="163" t="s">
        <v>2650</v>
      </c>
      <c r="K73" s="73"/>
    </row>
    <row r="74" ht="22.5" customHeight="1">
      <c r="A74" s="158"/>
      <c r="B74" s="158"/>
      <c r="C74" s="155" t="s">
        <v>1290</v>
      </c>
      <c r="D74" s="156" t="s">
        <v>2651</v>
      </c>
      <c r="E74" s="157" t="s">
        <v>2474</v>
      </c>
      <c r="F74" s="157" t="s">
        <v>2474</v>
      </c>
      <c r="G74" s="157" t="s">
        <v>2474</v>
      </c>
      <c r="H74" s="157" t="s">
        <v>2474</v>
      </c>
      <c r="I74" s="157" t="s">
        <v>2474</v>
      </c>
      <c r="J74" s="157" t="s">
        <v>2474</v>
      </c>
      <c r="K74" s="73"/>
    </row>
    <row r="75" ht="22.5" customHeight="1">
      <c r="A75" s="154"/>
      <c r="B75" s="154"/>
      <c r="C75" s="155" t="s">
        <v>1296</v>
      </c>
      <c r="D75" s="156" t="s">
        <v>2652</v>
      </c>
      <c r="E75" s="157" t="s">
        <v>2653</v>
      </c>
      <c r="F75" s="157" t="s">
        <v>2654</v>
      </c>
      <c r="G75" s="157" t="s">
        <v>2655</v>
      </c>
      <c r="H75" s="157" t="s">
        <v>2656</v>
      </c>
      <c r="I75" s="157" t="s">
        <v>2657</v>
      </c>
      <c r="J75" s="157" t="s">
        <v>2658</v>
      </c>
      <c r="K75" s="73"/>
    </row>
    <row r="76" ht="22.5" customHeight="1">
      <c r="A76" s="158"/>
      <c r="B76" s="158"/>
      <c r="C76" s="166" t="s">
        <v>1304</v>
      </c>
      <c r="D76" s="156" t="s">
        <v>2659</v>
      </c>
      <c r="E76" s="157" t="s">
        <v>2474</v>
      </c>
      <c r="F76" s="157" t="s">
        <v>2474</v>
      </c>
      <c r="G76" s="157" t="s">
        <v>2474</v>
      </c>
      <c r="H76" s="157" t="s">
        <v>2474</v>
      </c>
      <c r="I76" s="157" t="s">
        <v>2474</v>
      </c>
      <c r="J76" s="157" t="s">
        <v>2474</v>
      </c>
      <c r="K76" s="73"/>
    </row>
    <row r="77" ht="22.5" customHeight="1">
      <c r="A77" s="154"/>
      <c r="B77" s="154"/>
      <c r="C77" s="166"/>
      <c r="D77" s="156" t="s">
        <v>2660</v>
      </c>
      <c r="E77" s="157" t="s">
        <v>2474</v>
      </c>
      <c r="F77" s="157" t="s">
        <v>2474</v>
      </c>
      <c r="G77" s="157" t="s">
        <v>2474</v>
      </c>
      <c r="H77" s="157" t="s">
        <v>2474</v>
      </c>
      <c r="I77" s="157" t="s">
        <v>2474</v>
      </c>
      <c r="J77" s="157" t="s">
        <v>2474</v>
      </c>
      <c r="K77" s="73"/>
    </row>
    <row r="78" ht="22.5" customHeight="1">
      <c r="A78" s="154"/>
      <c r="B78" s="154"/>
      <c r="C78" s="166"/>
      <c r="D78" s="156" t="s">
        <v>2661</v>
      </c>
      <c r="E78" s="157" t="s">
        <v>2474</v>
      </c>
      <c r="F78" s="157" t="s">
        <v>2474</v>
      </c>
      <c r="G78" s="157" t="s">
        <v>2474</v>
      </c>
      <c r="H78" s="157" t="s">
        <v>2474</v>
      </c>
      <c r="I78" s="157" t="s">
        <v>2474</v>
      </c>
      <c r="J78" s="157" t="s">
        <v>2474</v>
      </c>
      <c r="K78" s="73"/>
    </row>
    <row r="79" ht="22.5" customHeight="1">
      <c r="A79" s="154"/>
      <c r="B79" s="154"/>
      <c r="C79" s="166"/>
      <c r="D79" s="156" t="s">
        <v>2662</v>
      </c>
      <c r="E79" s="157" t="s">
        <v>2474</v>
      </c>
      <c r="F79" s="157" t="s">
        <v>2474</v>
      </c>
      <c r="G79" s="157" t="s">
        <v>2474</v>
      </c>
      <c r="H79" s="157" t="s">
        <v>2474</v>
      </c>
      <c r="I79" s="157" t="s">
        <v>2474</v>
      </c>
      <c r="J79" s="157" t="s">
        <v>2474</v>
      </c>
      <c r="K79" s="73"/>
    </row>
    <row r="80" ht="22.5" customHeight="1">
      <c r="A80" s="154"/>
      <c r="B80" s="154"/>
      <c r="C80" s="166"/>
      <c r="D80" s="156" t="s">
        <v>2663</v>
      </c>
      <c r="E80" s="157" t="s">
        <v>2474</v>
      </c>
      <c r="F80" s="157" t="s">
        <v>2474</v>
      </c>
      <c r="G80" s="157" t="s">
        <v>2474</v>
      </c>
      <c r="H80" s="157" t="s">
        <v>2474</v>
      </c>
      <c r="I80" s="157" t="s">
        <v>2474</v>
      </c>
      <c r="J80" s="157" t="s">
        <v>2474</v>
      </c>
      <c r="K80" s="73"/>
    </row>
    <row r="81" ht="22.5" customHeight="1">
      <c r="A81" s="154"/>
      <c r="B81" s="154"/>
      <c r="C81" s="166"/>
      <c r="D81" s="156" t="s">
        <v>2664</v>
      </c>
      <c r="E81" s="157" t="s">
        <v>2474</v>
      </c>
      <c r="F81" s="157" t="s">
        <v>2474</v>
      </c>
      <c r="G81" s="157" t="s">
        <v>2474</v>
      </c>
      <c r="H81" s="157" t="s">
        <v>2474</v>
      </c>
      <c r="I81" s="157" t="s">
        <v>2474</v>
      </c>
      <c r="J81" s="157" t="s">
        <v>2474</v>
      </c>
      <c r="K81" s="73"/>
    </row>
    <row r="82" ht="22.5" customHeight="1">
      <c r="A82" s="164"/>
      <c r="B82" s="164"/>
      <c r="C82" s="167"/>
      <c r="D82" s="162" t="s">
        <v>2665</v>
      </c>
      <c r="E82" s="164" t="s">
        <v>2666</v>
      </c>
      <c r="F82" s="164" t="s">
        <v>2666</v>
      </c>
      <c r="G82" s="163" t="s">
        <v>2667</v>
      </c>
      <c r="H82" s="164" t="s">
        <v>2666</v>
      </c>
      <c r="I82" s="164" t="s">
        <v>2666</v>
      </c>
      <c r="J82" s="163" t="s">
        <v>2668</v>
      </c>
      <c r="K82" s="73"/>
    </row>
    <row r="83" ht="22.5" customHeight="1">
      <c r="A83" s="154"/>
      <c r="B83" s="154"/>
      <c r="C83" s="166"/>
      <c r="D83" s="156" t="s">
        <v>2669</v>
      </c>
      <c r="E83" s="157" t="s">
        <v>2474</v>
      </c>
      <c r="F83" s="157" t="s">
        <v>2474</v>
      </c>
      <c r="G83" s="157" t="s">
        <v>2474</v>
      </c>
      <c r="H83" s="157" t="s">
        <v>2474</v>
      </c>
      <c r="I83" s="157" t="s">
        <v>2474</v>
      </c>
      <c r="J83" s="157" t="s">
        <v>2474</v>
      </c>
      <c r="K83" s="73"/>
    </row>
    <row r="84" ht="22.5" customHeight="1">
      <c r="A84" s="154"/>
      <c r="B84" s="154"/>
      <c r="C84" s="166"/>
      <c r="D84" s="156" t="s">
        <v>2670</v>
      </c>
      <c r="E84" s="157" t="s">
        <v>2474</v>
      </c>
      <c r="F84" s="157" t="s">
        <v>2474</v>
      </c>
      <c r="G84" s="157" t="s">
        <v>2474</v>
      </c>
      <c r="H84" s="157" t="s">
        <v>2474</v>
      </c>
      <c r="I84" s="157" t="s">
        <v>2474</v>
      </c>
      <c r="J84" s="157" t="s">
        <v>2474</v>
      </c>
      <c r="K84" s="73"/>
    </row>
    <row r="85" ht="22.5" customHeight="1">
      <c r="A85" s="154"/>
      <c r="B85" s="154"/>
      <c r="C85" s="166"/>
      <c r="D85" s="156" t="s">
        <v>2671</v>
      </c>
      <c r="E85" s="157" t="s">
        <v>2474</v>
      </c>
      <c r="F85" s="157" t="s">
        <v>2474</v>
      </c>
      <c r="G85" s="157" t="s">
        <v>2474</v>
      </c>
      <c r="H85" s="157" t="s">
        <v>2474</v>
      </c>
      <c r="I85" s="157" t="s">
        <v>2474</v>
      </c>
      <c r="J85" s="157" t="s">
        <v>2474</v>
      </c>
      <c r="K85" s="73"/>
    </row>
    <row r="86" ht="22.5" customHeight="1">
      <c r="A86" s="154"/>
      <c r="B86" s="154"/>
      <c r="C86" s="166"/>
      <c r="D86" s="156" t="s">
        <v>2672</v>
      </c>
      <c r="E86" s="157" t="s">
        <v>2474</v>
      </c>
      <c r="F86" s="157" t="s">
        <v>2474</v>
      </c>
      <c r="G86" s="157" t="s">
        <v>2474</v>
      </c>
      <c r="H86" s="157" t="s">
        <v>2474</v>
      </c>
      <c r="I86" s="157" t="s">
        <v>2474</v>
      </c>
      <c r="J86" s="157" t="s">
        <v>2474</v>
      </c>
      <c r="K86" s="73"/>
    </row>
    <row r="87" ht="22.5" customHeight="1">
      <c r="A87" s="154"/>
      <c r="B87" s="154"/>
      <c r="C87" s="166"/>
      <c r="D87" s="156" t="s">
        <v>2673</v>
      </c>
      <c r="E87" s="157" t="s">
        <v>2474</v>
      </c>
      <c r="F87" s="157" t="s">
        <v>2474</v>
      </c>
      <c r="G87" s="157" t="s">
        <v>2474</v>
      </c>
      <c r="H87" s="157" t="s">
        <v>2474</v>
      </c>
      <c r="I87" s="157" t="s">
        <v>2474</v>
      </c>
      <c r="J87" s="157" t="s">
        <v>2474</v>
      </c>
      <c r="K87" s="73"/>
    </row>
    <row r="88" ht="22.5" customHeight="1">
      <c r="A88" s="154"/>
      <c r="B88" s="154"/>
      <c r="C88" s="166"/>
      <c r="D88" s="156" t="s">
        <v>2674</v>
      </c>
      <c r="E88" s="157" t="s">
        <v>2474</v>
      </c>
      <c r="F88" s="157" t="s">
        <v>2474</v>
      </c>
      <c r="G88" s="157" t="s">
        <v>2474</v>
      </c>
      <c r="H88" s="157" t="s">
        <v>2474</v>
      </c>
      <c r="I88" s="157" t="s">
        <v>2474</v>
      </c>
      <c r="J88" s="157" t="s">
        <v>2474</v>
      </c>
      <c r="K88" s="73"/>
    </row>
    <row r="89" ht="22.5" customHeight="1">
      <c r="A89" s="154"/>
      <c r="B89" s="154"/>
      <c r="C89" s="166"/>
      <c r="D89" s="156" t="s">
        <v>2675</v>
      </c>
      <c r="E89" s="157" t="s">
        <v>2474</v>
      </c>
      <c r="F89" s="157" t="s">
        <v>2474</v>
      </c>
      <c r="G89" s="157" t="s">
        <v>2474</v>
      </c>
      <c r="H89" s="157" t="s">
        <v>2480</v>
      </c>
      <c r="I89" s="157" t="s">
        <v>2480</v>
      </c>
      <c r="J89" s="157" t="s">
        <v>2480</v>
      </c>
      <c r="K89" s="73"/>
    </row>
    <row r="90" ht="22.5" customHeight="1">
      <c r="A90" s="154"/>
      <c r="B90" s="154"/>
      <c r="C90" s="166"/>
      <c r="D90" s="156" t="s">
        <v>2676</v>
      </c>
      <c r="E90" s="157" t="s">
        <v>2474</v>
      </c>
      <c r="F90" s="157" t="s">
        <v>2474</v>
      </c>
      <c r="G90" s="157" t="s">
        <v>2474</v>
      </c>
      <c r="H90" s="157" t="s">
        <v>2474</v>
      </c>
      <c r="I90" s="157" t="s">
        <v>2474</v>
      </c>
      <c r="J90" s="157" t="s">
        <v>2474</v>
      </c>
      <c r="K90" s="73"/>
    </row>
    <row r="91" ht="22.5" customHeight="1">
      <c r="A91" s="154"/>
      <c r="B91" s="154"/>
      <c r="C91" s="166"/>
      <c r="D91" s="156" t="s">
        <v>2677</v>
      </c>
      <c r="E91" s="157" t="s">
        <v>2474</v>
      </c>
      <c r="F91" s="157" t="s">
        <v>2474</v>
      </c>
      <c r="G91" s="157" t="s">
        <v>2474</v>
      </c>
      <c r="H91" s="157" t="s">
        <v>2474</v>
      </c>
      <c r="I91" s="157" t="s">
        <v>2474</v>
      </c>
      <c r="J91" s="157" t="s">
        <v>2474</v>
      </c>
      <c r="K91" s="73"/>
    </row>
    <row r="92" ht="22.5" customHeight="1">
      <c r="A92" s="154"/>
      <c r="B92" s="154"/>
      <c r="C92" s="166"/>
      <c r="D92" s="156" t="s">
        <v>2678</v>
      </c>
      <c r="E92" s="157" t="s">
        <v>2474</v>
      </c>
      <c r="F92" s="157" t="s">
        <v>2474</v>
      </c>
      <c r="G92" s="157" t="s">
        <v>2474</v>
      </c>
      <c r="H92" s="157" t="s">
        <v>2474</v>
      </c>
      <c r="I92" s="157" t="s">
        <v>2474</v>
      </c>
      <c r="J92" s="157" t="s">
        <v>2474</v>
      </c>
      <c r="K92" s="73"/>
    </row>
    <row r="93" ht="22.5" customHeight="1">
      <c r="A93" s="154"/>
      <c r="B93" s="154"/>
      <c r="C93" s="166"/>
      <c r="D93" s="156" t="s">
        <v>2679</v>
      </c>
      <c r="E93" s="157" t="s">
        <v>2680</v>
      </c>
      <c r="F93" s="157" t="s">
        <v>2681</v>
      </c>
      <c r="G93" s="157" t="s">
        <v>2682</v>
      </c>
      <c r="H93" s="157" t="s">
        <v>2683</v>
      </c>
      <c r="I93" s="157" t="s">
        <v>2684</v>
      </c>
      <c r="J93" s="157" t="s">
        <v>2685</v>
      </c>
      <c r="K93" s="73"/>
    </row>
    <row r="94" ht="22.5" customHeight="1">
      <c r="A94" s="157" t="s">
        <v>960</v>
      </c>
      <c r="B94" s="157"/>
      <c r="C94" s="166"/>
      <c r="D94" s="156" t="s">
        <v>2686</v>
      </c>
      <c r="E94" s="157" t="s">
        <v>2687</v>
      </c>
      <c r="F94" s="157" t="s">
        <v>2481</v>
      </c>
      <c r="G94" s="157" t="s">
        <v>2481</v>
      </c>
      <c r="H94" s="157" t="s">
        <v>2687</v>
      </c>
      <c r="I94" s="157" t="s">
        <v>2481</v>
      </c>
      <c r="J94" s="157" t="s">
        <v>2481</v>
      </c>
      <c r="K94" s="73"/>
    </row>
    <row r="95" ht="22.5" customHeight="1">
      <c r="A95" s="154"/>
      <c r="B95" s="154"/>
      <c r="C95" s="166"/>
      <c r="D95" s="156" t="s">
        <v>2688</v>
      </c>
      <c r="E95" s="157" t="s">
        <v>2474</v>
      </c>
      <c r="F95" s="157" t="s">
        <v>2474</v>
      </c>
      <c r="G95" s="157" t="s">
        <v>2474</v>
      </c>
      <c r="H95" s="157" t="s">
        <v>2474</v>
      </c>
      <c r="I95" s="157" t="s">
        <v>2474</v>
      </c>
      <c r="J95" s="157" t="s">
        <v>2474</v>
      </c>
      <c r="K95" s="73"/>
    </row>
    <row r="96" ht="22.5" customHeight="1">
      <c r="A96" s="161" t="s">
        <v>753</v>
      </c>
      <c r="B96" s="161"/>
      <c r="C96" s="167"/>
      <c r="D96" s="160" t="s">
        <v>2689</v>
      </c>
      <c r="E96" s="165" t="s">
        <v>2666</v>
      </c>
      <c r="F96" s="165" t="s">
        <v>2666</v>
      </c>
      <c r="G96" s="161" t="s">
        <v>2481</v>
      </c>
      <c r="H96" s="165" t="s">
        <v>2666</v>
      </c>
      <c r="I96" s="165" t="s">
        <v>2666</v>
      </c>
      <c r="J96" s="161" t="s">
        <v>2481</v>
      </c>
      <c r="K96" s="73"/>
    </row>
    <row r="97" ht="22.5" customHeight="1">
      <c r="A97" s="154"/>
      <c r="B97" s="154"/>
      <c r="C97" s="166"/>
      <c r="D97" s="156" t="s">
        <v>2690</v>
      </c>
      <c r="E97" s="157" t="s">
        <v>2474</v>
      </c>
      <c r="F97" s="157" t="s">
        <v>2474</v>
      </c>
      <c r="G97" s="157" t="s">
        <v>2474</v>
      </c>
      <c r="H97" s="157" t="s">
        <v>2474</v>
      </c>
      <c r="I97" s="157" t="s">
        <v>2474</v>
      </c>
      <c r="J97" s="157" t="s">
        <v>2474</v>
      </c>
      <c r="K97" s="73"/>
    </row>
    <row r="98" ht="22.5" customHeight="1">
      <c r="A98" s="154"/>
      <c r="B98" s="154"/>
      <c r="C98" s="166"/>
      <c r="D98" s="156" t="s">
        <v>2691</v>
      </c>
      <c r="E98" s="157" t="s">
        <v>2474</v>
      </c>
      <c r="F98" s="157" t="s">
        <v>2474</v>
      </c>
      <c r="G98" s="157" t="s">
        <v>2474</v>
      </c>
      <c r="H98" s="157" t="s">
        <v>2474</v>
      </c>
      <c r="I98" s="157" t="s">
        <v>2474</v>
      </c>
      <c r="J98" s="157" t="s">
        <v>2474</v>
      </c>
      <c r="K98" s="73"/>
    </row>
    <row r="99" ht="22.5" customHeight="1">
      <c r="A99" s="154"/>
      <c r="B99" s="154"/>
      <c r="C99" s="166"/>
      <c r="D99" s="156" t="s">
        <v>2692</v>
      </c>
      <c r="E99" s="157" t="s">
        <v>2474</v>
      </c>
      <c r="F99" s="157" t="s">
        <v>2474</v>
      </c>
      <c r="G99" s="157" t="s">
        <v>2474</v>
      </c>
      <c r="H99" s="157" t="s">
        <v>2474</v>
      </c>
      <c r="I99" s="157" t="s">
        <v>2474</v>
      </c>
      <c r="J99" s="157" t="s">
        <v>2474</v>
      </c>
      <c r="K99" s="73"/>
    </row>
    <row r="100" ht="22.5" customHeight="1">
      <c r="A100" s="154"/>
      <c r="B100" s="154"/>
      <c r="C100" s="166"/>
      <c r="D100" s="156" t="s">
        <v>2693</v>
      </c>
      <c r="E100" s="157" t="s">
        <v>2474</v>
      </c>
      <c r="F100" s="157" t="s">
        <v>2474</v>
      </c>
      <c r="G100" s="157" t="s">
        <v>2474</v>
      </c>
      <c r="H100" s="157" t="s">
        <v>2474</v>
      </c>
      <c r="I100" s="157" t="s">
        <v>2474</v>
      </c>
      <c r="J100" s="157" t="s">
        <v>2474</v>
      </c>
      <c r="K100" s="73"/>
    </row>
    <row r="101" ht="22.5" customHeight="1">
      <c r="A101" s="154"/>
      <c r="B101" s="154"/>
      <c r="C101" s="166"/>
      <c r="D101" s="156" t="s">
        <v>2694</v>
      </c>
      <c r="E101" s="157" t="s">
        <v>2480</v>
      </c>
      <c r="F101" s="157" t="s">
        <v>2480</v>
      </c>
      <c r="G101" s="157" t="s">
        <v>2480</v>
      </c>
      <c r="H101" s="157" t="s">
        <v>2474</v>
      </c>
      <c r="I101" s="157" t="s">
        <v>2474</v>
      </c>
      <c r="J101" s="157" t="s">
        <v>2474</v>
      </c>
      <c r="K101" s="73"/>
    </row>
    <row r="102" ht="22.5" customHeight="1">
      <c r="A102" s="154"/>
      <c r="B102" s="154"/>
      <c r="C102" s="166"/>
      <c r="D102" s="156" t="s">
        <v>2695</v>
      </c>
      <c r="E102" s="157" t="s">
        <v>2474</v>
      </c>
      <c r="F102" s="157" t="s">
        <v>2474</v>
      </c>
      <c r="G102" s="157" t="s">
        <v>2474</v>
      </c>
      <c r="H102" s="157" t="s">
        <v>2474</v>
      </c>
      <c r="I102" s="157" t="s">
        <v>2474</v>
      </c>
      <c r="J102" s="157" t="s">
        <v>2474</v>
      </c>
      <c r="K102" s="73"/>
    </row>
    <row r="103" ht="22.5" customHeight="1">
      <c r="A103" s="154"/>
      <c r="B103" s="154"/>
      <c r="C103" s="166"/>
      <c r="D103" s="156" t="s">
        <v>2696</v>
      </c>
      <c r="E103" s="157" t="s">
        <v>2474</v>
      </c>
      <c r="F103" s="157" t="s">
        <v>2474</v>
      </c>
      <c r="G103" s="157" t="s">
        <v>2474</v>
      </c>
      <c r="H103" s="157" t="s">
        <v>2474</v>
      </c>
      <c r="I103" s="157" t="s">
        <v>2474</v>
      </c>
      <c r="J103" s="157" t="s">
        <v>2474</v>
      </c>
      <c r="K103" s="73"/>
    </row>
    <row r="104" ht="22.5" customHeight="1">
      <c r="A104" s="154"/>
      <c r="B104" s="154"/>
      <c r="C104" s="166"/>
      <c r="D104" s="156" t="s">
        <v>2697</v>
      </c>
      <c r="E104" s="157" t="s">
        <v>2474</v>
      </c>
      <c r="F104" s="157" t="s">
        <v>2474</v>
      </c>
      <c r="G104" s="157" t="s">
        <v>2474</v>
      </c>
      <c r="H104" s="157" t="s">
        <v>2474</v>
      </c>
      <c r="I104" s="157" t="s">
        <v>2474</v>
      </c>
      <c r="J104" s="157" t="s">
        <v>2474</v>
      </c>
      <c r="K104" s="73"/>
    </row>
  </sheetData>
  <printOptions/>
  <pageMargins bottom="0.5" footer="0.0" header="0.0" left="0.75" right="0.75" top="0.75"/>
  <pageSetup orientation="landscape"/>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2.57"/>
    <col customWidth="1" min="2" max="3" width="13.29"/>
    <col customWidth="1" min="4" max="4" width="78.57"/>
    <col customWidth="1" min="5" max="10" width="15.71"/>
    <col customWidth="1" min="11" max="11" width="90.29"/>
  </cols>
  <sheetData>
    <row r="1" ht="22.5" customHeight="1">
      <c r="A1" s="152" t="s">
        <v>2463</v>
      </c>
      <c r="B1" s="152" t="s">
        <v>2464</v>
      </c>
      <c r="C1" s="152" t="s">
        <v>2465</v>
      </c>
      <c r="D1" s="152" t="s">
        <v>977</v>
      </c>
      <c r="E1" s="152" t="s">
        <v>2698</v>
      </c>
      <c r="F1" s="152" t="s">
        <v>2699</v>
      </c>
      <c r="G1" s="152" t="s">
        <v>2700</v>
      </c>
      <c r="H1" s="152" t="s">
        <v>2701</v>
      </c>
      <c r="I1" s="152" t="s">
        <v>2702</v>
      </c>
      <c r="J1" s="152" t="s">
        <v>2703</v>
      </c>
      <c r="K1" s="153" t="s">
        <v>2472</v>
      </c>
    </row>
    <row r="2" ht="22.5" customHeight="1">
      <c r="A2" s="154"/>
      <c r="B2" s="166"/>
      <c r="C2" s="155" t="s">
        <v>999</v>
      </c>
      <c r="D2" s="156" t="s">
        <v>2704</v>
      </c>
      <c r="E2" s="157" t="s">
        <v>2474</v>
      </c>
      <c r="F2" s="157" t="s">
        <v>2474</v>
      </c>
      <c r="G2" s="157" t="s">
        <v>2705</v>
      </c>
      <c r="H2" s="157" t="s">
        <v>2474</v>
      </c>
      <c r="I2" s="157" t="s">
        <v>2474</v>
      </c>
      <c r="J2" s="157" t="s">
        <v>2706</v>
      </c>
      <c r="K2" s="73"/>
    </row>
    <row r="3" ht="22.5" customHeight="1">
      <c r="A3" s="154"/>
      <c r="B3" s="166"/>
      <c r="C3" s="155" t="s">
        <v>1001</v>
      </c>
      <c r="D3" s="156" t="s">
        <v>2707</v>
      </c>
      <c r="E3" s="157" t="s">
        <v>2474</v>
      </c>
      <c r="F3" s="157" t="s">
        <v>2474</v>
      </c>
      <c r="G3" s="157" t="s">
        <v>2474</v>
      </c>
      <c r="H3" s="157" t="s">
        <v>2474</v>
      </c>
      <c r="I3" s="157" t="s">
        <v>2474</v>
      </c>
      <c r="J3" s="157" t="s">
        <v>2474</v>
      </c>
      <c r="K3" s="73"/>
    </row>
    <row r="4" ht="22.5" customHeight="1">
      <c r="A4" s="154"/>
      <c r="B4" s="166"/>
      <c r="C4" s="155" t="s">
        <v>1003</v>
      </c>
      <c r="D4" s="156" t="s">
        <v>2708</v>
      </c>
      <c r="E4" s="157" t="s">
        <v>2474</v>
      </c>
      <c r="F4" s="157" t="s">
        <v>2474</v>
      </c>
      <c r="G4" s="157" t="s">
        <v>2474</v>
      </c>
      <c r="H4" s="157" t="s">
        <v>2474</v>
      </c>
      <c r="I4" s="157" t="s">
        <v>2474</v>
      </c>
      <c r="J4" s="157" t="s">
        <v>2474</v>
      </c>
      <c r="K4" s="73"/>
    </row>
    <row r="5" ht="22.5" customHeight="1">
      <c r="A5" s="154"/>
      <c r="B5" s="166"/>
      <c r="C5" s="155" t="s">
        <v>1011</v>
      </c>
      <c r="D5" s="156" t="s">
        <v>2709</v>
      </c>
      <c r="E5" s="157" t="s">
        <v>2710</v>
      </c>
      <c r="F5" s="157" t="s">
        <v>2711</v>
      </c>
      <c r="G5" s="157" t="s">
        <v>2712</v>
      </c>
      <c r="H5" s="157" t="s">
        <v>2713</v>
      </c>
      <c r="I5" s="157" t="s">
        <v>2714</v>
      </c>
      <c r="J5" s="157" t="s">
        <v>2715</v>
      </c>
      <c r="K5" s="73"/>
    </row>
    <row r="6" ht="22.5" customHeight="1">
      <c r="A6" s="154"/>
      <c r="B6" s="166"/>
      <c r="C6" s="155" t="s">
        <v>721</v>
      </c>
      <c r="D6" s="156" t="s">
        <v>2716</v>
      </c>
      <c r="E6" s="157" t="s">
        <v>2474</v>
      </c>
      <c r="F6" s="157" t="s">
        <v>2474</v>
      </c>
      <c r="G6" s="157" t="s">
        <v>2480</v>
      </c>
      <c r="H6" s="157" t="s">
        <v>2474</v>
      </c>
      <c r="I6" s="157" t="s">
        <v>2474</v>
      </c>
      <c r="J6" s="157" t="s">
        <v>2480</v>
      </c>
      <c r="K6" s="73"/>
    </row>
    <row r="7" ht="22.5" customHeight="1">
      <c r="A7" s="154"/>
      <c r="B7" s="166"/>
      <c r="C7" s="155" t="s">
        <v>1023</v>
      </c>
      <c r="D7" s="156" t="s">
        <v>2717</v>
      </c>
      <c r="E7" s="157" t="s">
        <v>2474</v>
      </c>
      <c r="F7" s="157" t="s">
        <v>2474</v>
      </c>
      <c r="G7" s="157" t="s">
        <v>2474</v>
      </c>
      <c r="H7" s="157" t="s">
        <v>2474</v>
      </c>
      <c r="I7" s="157" t="s">
        <v>2474</v>
      </c>
      <c r="J7" s="157" t="s">
        <v>2474</v>
      </c>
      <c r="K7" s="73"/>
    </row>
    <row r="8" ht="22.5" customHeight="1">
      <c r="A8" s="154"/>
      <c r="B8" s="166"/>
      <c r="C8" s="155" t="s">
        <v>164</v>
      </c>
      <c r="D8" s="156" t="s">
        <v>2718</v>
      </c>
      <c r="E8" s="157" t="s">
        <v>2474</v>
      </c>
      <c r="F8" s="157" t="s">
        <v>2474</v>
      </c>
      <c r="G8" s="157" t="s">
        <v>2474</v>
      </c>
      <c r="H8" s="157" t="s">
        <v>2480</v>
      </c>
      <c r="I8" s="157" t="s">
        <v>2480</v>
      </c>
      <c r="J8" s="157" t="s">
        <v>2480</v>
      </c>
      <c r="K8" s="73"/>
    </row>
    <row r="9" ht="22.5" customHeight="1">
      <c r="A9" s="154"/>
      <c r="B9" s="166"/>
      <c r="C9" s="155" t="s">
        <v>1038</v>
      </c>
      <c r="D9" s="156" t="s">
        <v>2719</v>
      </c>
      <c r="E9" s="157" t="s">
        <v>2474</v>
      </c>
      <c r="F9" s="157" t="s">
        <v>2474</v>
      </c>
      <c r="G9" s="157" t="s">
        <v>2474</v>
      </c>
      <c r="H9" s="157" t="s">
        <v>2474</v>
      </c>
      <c r="I9" s="157" t="s">
        <v>2474</v>
      </c>
      <c r="J9" s="157" t="s">
        <v>2474</v>
      </c>
      <c r="K9" s="73"/>
    </row>
    <row r="10" ht="22.5" customHeight="1">
      <c r="A10" s="154"/>
      <c r="B10" s="166"/>
      <c r="C10" s="155" t="s">
        <v>171</v>
      </c>
      <c r="D10" s="156" t="s">
        <v>2720</v>
      </c>
      <c r="E10" s="157" t="s">
        <v>2480</v>
      </c>
      <c r="F10" s="157" t="s">
        <v>2480</v>
      </c>
      <c r="G10" s="157" t="s">
        <v>2480</v>
      </c>
      <c r="H10" s="157" t="s">
        <v>2474</v>
      </c>
      <c r="I10" s="157" t="s">
        <v>2474</v>
      </c>
      <c r="J10" s="157" t="s">
        <v>2474</v>
      </c>
      <c r="K10" s="73"/>
    </row>
    <row r="11" ht="22.5" customHeight="1">
      <c r="A11" s="154"/>
      <c r="B11" s="166"/>
      <c r="C11" s="155" t="s">
        <v>1052</v>
      </c>
      <c r="D11" s="156" t="s">
        <v>2721</v>
      </c>
      <c r="E11" s="157" t="s">
        <v>2474</v>
      </c>
      <c r="F11" s="157" t="s">
        <v>2474</v>
      </c>
      <c r="G11" s="157" t="s">
        <v>2474</v>
      </c>
      <c r="H11" s="157" t="s">
        <v>2474</v>
      </c>
      <c r="I11" s="157" t="s">
        <v>2474</v>
      </c>
      <c r="J11" s="157" t="s">
        <v>2474</v>
      </c>
      <c r="K11" s="73"/>
    </row>
    <row r="12" ht="22.5" customHeight="1">
      <c r="A12" s="154"/>
      <c r="B12" s="166"/>
      <c r="C12" s="155" t="s">
        <v>1061</v>
      </c>
      <c r="D12" s="156" t="s">
        <v>2722</v>
      </c>
      <c r="E12" s="157" t="s">
        <v>2474</v>
      </c>
      <c r="F12" s="157" t="s">
        <v>2480</v>
      </c>
      <c r="G12" s="157" t="s">
        <v>2480</v>
      </c>
      <c r="H12" s="157" t="s">
        <v>2474</v>
      </c>
      <c r="I12" s="157" t="s">
        <v>2480</v>
      </c>
      <c r="J12" s="157" t="s">
        <v>2480</v>
      </c>
      <c r="K12" s="73"/>
    </row>
    <row r="13" ht="22.5" customHeight="1">
      <c r="A13" s="154"/>
      <c r="B13" s="166"/>
      <c r="C13" s="155" t="s">
        <v>220</v>
      </c>
      <c r="D13" s="156" t="s">
        <v>2723</v>
      </c>
      <c r="E13" s="157" t="s">
        <v>2474</v>
      </c>
      <c r="F13" s="157" t="s">
        <v>2474</v>
      </c>
      <c r="G13" s="157" t="s">
        <v>2474</v>
      </c>
      <c r="H13" s="157" t="s">
        <v>2724</v>
      </c>
      <c r="I13" s="157" t="s">
        <v>2725</v>
      </c>
      <c r="J13" s="157" t="s">
        <v>2726</v>
      </c>
      <c r="K13" s="73"/>
    </row>
    <row r="14" ht="22.5" customHeight="1">
      <c r="A14" s="154"/>
      <c r="B14" s="166"/>
      <c r="C14" s="155" t="s">
        <v>235</v>
      </c>
      <c r="D14" s="156" t="s">
        <v>2727</v>
      </c>
      <c r="E14" s="157" t="s">
        <v>2474</v>
      </c>
      <c r="F14" s="157" t="s">
        <v>2474</v>
      </c>
      <c r="G14" s="157" t="s">
        <v>2474</v>
      </c>
      <c r="H14" s="157" t="s">
        <v>2474</v>
      </c>
      <c r="I14" s="157" t="s">
        <v>2474</v>
      </c>
      <c r="J14" s="157" t="s">
        <v>2474</v>
      </c>
      <c r="K14" s="73"/>
    </row>
    <row r="15" ht="22.5" customHeight="1">
      <c r="A15" s="154"/>
      <c r="B15" s="166"/>
      <c r="C15" s="155" t="s">
        <v>1834</v>
      </c>
      <c r="D15" s="156" t="s">
        <v>2728</v>
      </c>
      <c r="E15" s="157" t="s">
        <v>2474</v>
      </c>
      <c r="F15" s="157" t="s">
        <v>2474</v>
      </c>
      <c r="G15" s="157" t="s">
        <v>2474</v>
      </c>
      <c r="H15" s="157" t="s">
        <v>2474</v>
      </c>
      <c r="I15" s="157" t="s">
        <v>2474</v>
      </c>
      <c r="J15" s="157" t="s">
        <v>2474</v>
      </c>
      <c r="K15" s="73"/>
    </row>
    <row r="16" ht="22.5" customHeight="1">
      <c r="A16" s="154"/>
      <c r="B16" s="166"/>
      <c r="C16" s="155" t="s">
        <v>1839</v>
      </c>
      <c r="D16" s="156" t="s">
        <v>2729</v>
      </c>
      <c r="E16" s="157" t="s">
        <v>2474</v>
      </c>
      <c r="F16" s="157" t="s">
        <v>2474</v>
      </c>
      <c r="G16" s="157" t="s">
        <v>2474</v>
      </c>
      <c r="H16" s="157" t="s">
        <v>2474</v>
      </c>
      <c r="I16" s="157" t="s">
        <v>2474</v>
      </c>
      <c r="J16" s="157" t="s">
        <v>2474</v>
      </c>
      <c r="K16" s="73"/>
    </row>
    <row r="17" ht="22.5" customHeight="1">
      <c r="A17" s="154"/>
      <c r="B17" s="166"/>
      <c r="C17" s="155" t="s">
        <v>1089</v>
      </c>
      <c r="D17" s="156" t="s">
        <v>2730</v>
      </c>
      <c r="E17" s="157" t="s">
        <v>2474</v>
      </c>
      <c r="F17" s="157" t="s">
        <v>2474</v>
      </c>
      <c r="G17" s="157" t="s">
        <v>2474</v>
      </c>
      <c r="H17" s="157" t="s">
        <v>2474</v>
      </c>
      <c r="I17" s="157" t="s">
        <v>2474</v>
      </c>
      <c r="J17" s="157" t="s">
        <v>2474</v>
      </c>
      <c r="K17" s="73"/>
    </row>
    <row r="18" ht="22.5" customHeight="1">
      <c r="A18" s="154"/>
      <c r="B18" s="166"/>
      <c r="C18" s="155" t="s">
        <v>1843</v>
      </c>
      <c r="D18" s="156" t="s">
        <v>2731</v>
      </c>
      <c r="E18" s="157" t="s">
        <v>2474</v>
      </c>
      <c r="F18" s="157" t="s">
        <v>2474</v>
      </c>
      <c r="G18" s="157" t="s">
        <v>2474</v>
      </c>
      <c r="H18" s="157" t="s">
        <v>2474</v>
      </c>
      <c r="I18" s="157" t="s">
        <v>2474</v>
      </c>
      <c r="J18" s="157" t="s">
        <v>2474</v>
      </c>
      <c r="K18" s="73"/>
    </row>
    <row r="19" ht="22.5" customHeight="1">
      <c r="A19" s="154"/>
      <c r="B19" s="166"/>
      <c r="C19" s="155" t="s">
        <v>271</v>
      </c>
      <c r="D19" s="156" t="s">
        <v>2732</v>
      </c>
      <c r="E19" s="157" t="s">
        <v>2474</v>
      </c>
      <c r="F19" s="157" t="s">
        <v>2474</v>
      </c>
      <c r="G19" s="157" t="s">
        <v>2474</v>
      </c>
      <c r="H19" s="157" t="s">
        <v>2474</v>
      </c>
      <c r="I19" s="157" t="s">
        <v>2474</v>
      </c>
      <c r="J19" s="157" t="s">
        <v>2474</v>
      </c>
      <c r="K19" s="73"/>
    </row>
    <row r="20" ht="22.5" customHeight="1">
      <c r="A20" s="154"/>
      <c r="B20" s="166"/>
      <c r="C20" s="155" t="s">
        <v>1317</v>
      </c>
      <c r="D20" s="156" t="s">
        <v>2733</v>
      </c>
      <c r="E20" s="157" t="s">
        <v>2734</v>
      </c>
      <c r="F20" s="157" t="s">
        <v>2735</v>
      </c>
      <c r="G20" s="157" t="s">
        <v>2736</v>
      </c>
      <c r="H20" s="157" t="s">
        <v>2737</v>
      </c>
      <c r="I20" s="157" t="s">
        <v>2738</v>
      </c>
      <c r="J20" s="157" t="s">
        <v>2739</v>
      </c>
      <c r="K20" s="73"/>
    </row>
    <row r="21" ht="22.5" customHeight="1">
      <c r="A21" s="154"/>
      <c r="B21" s="166"/>
      <c r="C21" s="155" t="s">
        <v>1101</v>
      </c>
      <c r="D21" s="156" t="s">
        <v>2740</v>
      </c>
      <c r="E21" s="157" t="s">
        <v>2474</v>
      </c>
      <c r="F21" s="157" t="s">
        <v>2480</v>
      </c>
      <c r="G21" s="157" t="s">
        <v>2480</v>
      </c>
      <c r="H21" s="157" t="s">
        <v>2474</v>
      </c>
      <c r="I21" s="157" t="s">
        <v>2480</v>
      </c>
      <c r="J21" s="157" t="s">
        <v>2480</v>
      </c>
      <c r="K21" s="73"/>
    </row>
    <row r="22" ht="22.5" customHeight="1">
      <c r="A22" s="154"/>
      <c r="B22" s="166"/>
      <c r="C22" s="155" t="s">
        <v>1857</v>
      </c>
      <c r="D22" s="156" t="s">
        <v>2741</v>
      </c>
      <c r="E22" s="157" t="s">
        <v>2474</v>
      </c>
      <c r="F22" s="157" t="s">
        <v>2474</v>
      </c>
      <c r="G22" s="157" t="s">
        <v>2474</v>
      </c>
      <c r="H22" s="157" t="s">
        <v>2474</v>
      </c>
      <c r="I22" s="157" t="s">
        <v>2474</v>
      </c>
      <c r="J22" s="157" t="s">
        <v>2474</v>
      </c>
      <c r="K22" s="73"/>
    </row>
    <row r="23" ht="22.5" customHeight="1">
      <c r="A23" s="154"/>
      <c r="B23" s="166"/>
      <c r="C23" s="155" t="s">
        <v>1859</v>
      </c>
      <c r="D23" s="156" t="s">
        <v>2742</v>
      </c>
      <c r="E23" s="157" t="s">
        <v>2474</v>
      </c>
      <c r="F23" s="157" t="s">
        <v>2474</v>
      </c>
      <c r="G23" s="157" t="s">
        <v>2474</v>
      </c>
      <c r="H23" s="157" t="s">
        <v>2474</v>
      </c>
      <c r="I23" s="157" t="s">
        <v>2474</v>
      </c>
      <c r="J23" s="157" t="s">
        <v>2474</v>
      </c>
      <c r="K23" s="73"/>
    </row>
    <row r="24" ht="22.5" customHeight="1">
      <c r="A24" s="154"/>
      <c r="B24" s="166"/>
      <c r="C24" s="155" t="s">
        <v>1114</v>
      </c>
      <c r="D24" s="156" t="s">
        <v>2743</v>
      </c>
      <c r="E24" s="157" t="s">
        <v>2474</v>
      </c>
      <c r="F24" s="157" t="s">
        <v>2474</v>
      </c>
      <c r="G24" s="157" t="s">
        <v>2474</v>
      </c>
      <c r="H24" s="157" t="s">
        <v>2474</v>
      </c>
      <c r="I24" s="157" t="s">
        <v>2474</v>
      </c>
      <c r="J24" s="157" t="s">
        <v>2474</v>
      </c>
      <c r="K24" s="73"/>
    </row>
    <row r="25" ht="22.5" customHeight="1">
      <c r="A25" s="154"/>
      <c r="B25" s="166"/>
      <c r="C25" s="155" t="s">
        <v>1635</v>
      </c>
      <c r="D25" s="156" t="s">
        <v>2744</v>
      </c>
      <c r="E25" s="157" t="s">
        <v>2480</v>
      </c>
      <c r="F25" s="157" t="s">
        <v>2480</v>
      </c>
      <c r="G25" s="157" t="s">
        <v>2474</v>
      </c>
      <c r="H25" s="157" t="s">
        <v>2480</v>
      </c>
      <c r="I25" s="157" t="s">
        <v>2480</v>
      </c>
      <c r="J25" s="157" t="s">
        <v>2474</v>
      </c>
      <c r="K25" s="73"/>
    </row>
    <row r="26" ht="22.5" customHeight="1">
      <c r="A26" s="154"/>
      <c r="B26" s="166"/>
      <c r="C26" s="155" t="s">
        <v>1125</v>
      </c>
      <c r="D26" s="156" t="s">
        <v>2745</v>
      </c>
      <c r="E26" s="157" t="s">
        <v>2474</v>
      </c>
      <c r="F26" s="157" t="s">
        <v>2474</v>
      </c>
      <c r="G26" s="157" t="s">
        <v>2480</v>
      </c>
      <c r="H26" s="157" t="s">
        <v>2474</v>
      </c>
      <c r="I26" s="157" t="s">
        <v>2474</v>
      </c>
      <c r="J26" s="157" t="s">
        <v>2480</v>
      </c>
      <c r="K26" s="73"/>
    </row>
    <row r="27" ht="22.5" customHeight="1">
      <c r="A27" s="154"/>
      <c r="B27" s="166"/>
      <c r="C27" s="155" t="s">
        <v>286</v>
      </c>
      <c r="D27" s="156" t="s">
        <v>2746</v>
      </c>
      <c r="E27" s="157" t="s">
        <v>2474</v>
      </c>
      <c r="F27" s="157" t="s">
        <v>2474</v>
      </c>
      <c r="G27" s="157" t="s">
        <v>2474</v>
      </c>
      <c r="H27" s="157" t="s">
        <v>2474</v>
      </c>
      <c r="I27" s="157" t="s">
        <v>2474</v>
      </c>
      <c r="J27" s="157" t="s">
        <v>2474</v>
      </c>
      <c r="K27" s="73"/>
    </row>
    <row r="28" ht="22.5" customHeight="1">
      <c r="A28" s="154"/>
      <c r="B28" s="166"/>
      <c r="C28" s="155" t="s">
        <v>1158</v>
      </c>
      <c r="D28" s="156" t="s">
        <v>2747</v>
      </c>
      <c r="E28" s="157" t="s">
        <v>2474</v>
      </c>
      <c r="F28" s="157" t="s">
        <v>2474</v>
      </c>
      <c r="G28" s="157" t="s">
        <v>2474</v>
      </c>
      <c r="H28" s="157" t="s">
        <v>2474</v>
      </c>
      <c r="I28" s="157" t="s">
        <v>2474</v>
      </c>
      <c r="J28" s="157" t="s">
        <v>2474</v>
      </c>
      <c r="K28" s="73"/>
    </row>
    <row r="29" ht="22.5" customHeight="1">
      <c r="A29" s="154"/>
      <c r="B29" s="166"/>
      <c r="C29" s="155" t="s">
        <v>24</v>
      </c>
      <c r="D29" s="156" t="s">
        <v>2748</v>
      </c>
      <c r="E29" s="157" t="s">
        <v>2474</v>
      </c>
      <c r="F29" s="157" t="s">
        <v>2474</v>
      </c>
      <c r="G29" s="157" t="s">
        <v>2474</v>
      </c>
      <c r="H29" s="157" t="s">
        <v>2474</v>
      </c>
      <c r="I29" s="157" t="s">
        <v>2474</v>
      </c>
      <c r="J29" s="157" t="s">
        <v>2474</v>
      </c>
      <c r="K29" s="73"/>
    </row>
    <row r="30" ht="22.5" customHeight="1">
      <c r="A30" s="154"/>
      <c r="B30" s="166"/>
      <c r="C30" s="155" t="s">
        <v>1415</v>
      </c>
      <c r="D30" s="156" t="s">
        <v>2749</v>
      </c>
      <c r="E30" s="157" t="s">
        <v>2474</v>
      </c>
      <c r="F30" s="157" t="s">
        <v>2474</v>
      </c>
      <c r="G30" s="157" t="s">
        <v>2474</v>
      </c>
      <c r="H30" s="157" t="s">
        <v>2474</v>
      </c>
      <c r="I30" s="157" t="s">
        <v>2474</v>
      </c>
      <c r="J30" s="157" t="s">
        <v>2474</v>
      </c>
      <c r="K30" s="73"/>
    </row>
    <row r="31" ht="22.5" customHeight="1">
      <c r="A31" s="154"/>
      <c r="B31" s="166"/>
      <c r="C31" s="155" t="s">
        <v>1355</v>
      </c>
      <c r="D31" s="156" t="s">
        <v>2750</v>
      </c>
      <c r="E31" s="157" t="s">
        <v>2474</v>
      </c>
      <c r="F31" s="157" t="s">
        <v>2474</v>
      </c>
      <c r="G31" s="157" t="s">
        <v>2474</v>
      </c>
      <c r="H31" s="157" t="s">
        <v>2474</v>
      </c>
      <c r="I31" s="157" t="s">
        <v>2474</v>
      </c>
      <c r="J31" s="157" t="s">
        <v>2474</v>
      </c>
      <c r="K31" s="73"/>
    </row>
    <row r="32" ht="22.5" customHeight="1">
      <c r="A32" s="154"/>
      <c r="B32" s="166"/>
      <c r="C32" s="155" t="s">
        <v>1236</v>
      </c>
      <c r="D32" s="156" t="s">
        <v>2751</v>
      </c>
      <c r="E32" s="157" t="s">
        <v>2474</v>
      </c>
      <c r="F32" s="157" t="s">
        <v>2474</v>
      </c>
      <c r="G32" s="157" t="s">
        <v>2474</v>
      </c>
      <c r="H32" s="157" t="s">
        <v>2474</v>
      </c>
      <c r="I32" s="157" t="s">
        <v>2474</v>
      </c>
      <c r="J32" s="157" t="s">
        <v>2474</v>
      </c>
      <c r="K32" s="73"/>
    </row>
    <row r="33" ht="22.5" customHeight="1">
      <c r="A33" s="154"/>
      <c r="B33" s="166"/>
      <c r="C33" s="155" t="s">
        <v>1238</v>
      </c>
      <c r="D33" s="156" t="s">
        <v>2752</v>
      </c>
      <c r="E33" s="157" t="s">
        <v>2474</v>
      </c>
      <c r="F33" s="157" t="s">
        <v>2474</v>
      </c>
      <c r="G33" s="157" t="s">
        <v>2474</v>
      </c>
      <c r="H33" s="157" t="s">
        <v>2474</v>
      </c>
      <c r="I33" s="157" t="s">
        <v>2474</v>
      </c>
      <c r="J33" s="157" t="s">
        <v>2474</v>
      </c>
      <c r="K33" s="73"/>
    </row>
    <row r="34" ht="22.5" customHeight="1">
      <c r="A34" s="154"/>
      <c r="B34" s="166"/>
      <c r="C34" s="155" t="s">
        <v>1240</v>
      </c>
      <c r="D34" s="156" t="s">
        <v>2753</v>
      </c>
      <c r="E34" s="157" t="s">
        <v>2474</v>
      </c>
      <c r="F34" s="157" t="s">
        <v>2474</v>
      </c>
      <c r="G34" s="157" t="s">
        <v>2474</v>
      </c>
      <c r="H34" s="157" t="s">
        <v>2474</v>
      </c>
      <c r="I34" s="157" t="s">
        <v>2474</v>
      </c>
      <c r="J34" s="157" t="s">
        <v>2474</v>
      </c>
      <c r="K34" s="73"/>
    </row>
    <row r="35" ht="22.5" customHeight="1">
      <c r="A35" s="154"/>
      <c r="B35" s="166"/>
      <c r="C35" s="155" t="s">
        <v>1246</v>
      </c>
      <c r="D35" s="156" t="s">
        <v>2754</v>
      </c>
      <c r="E35" s="157" t="s">
        <v>2755</v>
      </c>
      <c r="F35" s="157" t="s">
        <v>2756</v>
      </c>
      <c r="G35" s="157" t="s">
        <v>2757</v>
      </c>
      <c r="H35" s="157" t="s">
        <v>2758</v>
      </c>
      <c r="I35" s="157" t="s">
        <v>2759</v>
      </c>
      <c r="J35" s="157" t="s">
        <v>2760</v>
      </c>
      <c r="K35" s="73"/>
    </row>
    <row r="36" ht="22.5" customHeight="1">
      <c r="A36" s="154"/>
      <c r="B36" s="166"/>
      <c r="C36" s="155" t="s">
        <v>1248</v>
      </c>
      <c r="D36" s="156" t="s">
        <v>2761</v>
      </c>
      <c r="E36" s="157" t="s">
        <v>2762</v>
      </c>
      <c r="F36" s="157" t="s">
        <v>2763</v>
      </c>
      <c r="G36" s="157" t="s">
        <v>2764</v>
      </c>
      <c r="H36" s="157" t="s">
        <v>2765</v>
      </c>
      <c r="I36" s="157" t="s">
        <v>2766</v>
      </c>
      <c r="J36" s="157" t="s">
        <v>2767</v>
      </c>
      <c r="K36" s="73"/>
    </row>
    <row r="37" ht="22.5" customHeight="1">
      <c r="A37" s="154"/>
      <c r="B37" s="166"/>
      <c r="C37" s="155" t="s">
        <v>1250</v>
      </c>
      <c r="D37" s="156" t="s">
        <v>2768</v>
      </c>
      <c r="E37" s="157" t="s">
        <v>2474</v>
      </c>
      <c r="F37" s="157" t="s">
        <v>2474</v>
      </c>
      <c r="G37" s="157" t="s">
        <v>2474</v>
      </c>
      <c r="H37" s="157" t="s">
        <v>2474</v>
      </c>
      <c r="I37" s="157" t="s">
        <v>2474</v>
      </c>
      <c r="J37" s="157" t="s">
        <v>2474</v>
      </c>
      <c r="K37" s="73"/>
    </row>
    <row r="38" ht="22.5" customHeight="1">
      <c r="A38" s="154"/>
      <c r="B38" s="166"/>
      <c r="C38" s="155" t="s">
        <v>1252</v>
      </c>
      <c r="D38" s="156" t="s">
        <v>2769</v>
      </c>
      <c r="E38" s="157" t="s">
        <v>2474</v>
      </c>
      <c r="F38" s="157" t="s">
        <v>2474</v>
      </c>
      <c r="G38" s="157" t="s">
        <v>2474</v>
      </c>
      <c r="H38" s="157" t="s">
        <v>2474</v>
      </c>
      <c r="I38" s="157" t="s">
        <v>2474</v>
      </c>
      <c r="J38" s="157" t="s">
        <v>2474</v>
      </c>
      <c r="K38" s="73"/>
    </row>
    <row r="39" ht="22.5" customHeight="1">
      <c r="A39" s="154"/>
      <c r="B39" s="166"/>
      <c r="C39" s="155" t="s">
        <v>1254</v>
      </c>
      <c r="D39" s="156" t="s">
        <v>2770</v>
      </c>
      <c r="E39" s="157" t="s">
        <v>2771</v>
      </c>
      <c r="F39" s="157" t="s">
        <v>2772</v>
      </c>
      <c r="G39" s="157" t="s">
        <v>2773</v>
      </c>
      <c r="H39" s="157" t="s">
        <v>2774</v>
      </c>
      <c r="I39" s="157" t="s">
        <v>2775</v>
      </c>
      <c r="J39" s="157" t="s">
        <v>2776</v>
      </c>
      <c r="K39" s="73"/>
    </row>
    <row r="40" ht="22.5" customHeight="1">
      <c r="A40" s="154"/>
      <c r="B40" s="166"/>
      <c r="C40" s="155" t="s">
        <v>1256</v>
      </c>
      <c r="D40" s="156" t="s">
        <v>2777</v>
      </c>
      <c r="E40" s="157" t="s">
        <v>2474</v>
      </c>
      <c r="F40" s="157" t="s">
        <v>2474</v>
      </c>
      <c r="G40" s="157" t="s">
        <v>2474</v>
      </c>
      <c r="H40" s="157" t="s">
        <v>2474</v>
      </c>
      <c r="I40" s="157" t="s">
        <v>2474</v>
      </c>
      <c r="J40" s="157" t="s">
        <v>2474</v>
      </c>
      <c r="K40" s="73"/>
    </row>
    <row r="41" ht="22.5" customHeight="1">
      <c r="A41" s="154"/>
      <c r="B41" s="166"/>
      <c r="C41" s="155" t="s">
        <v>1264</v>
      </c>
      <c r="D41" s="156" t="s">
        <v>2778</v>
      </c>
      <c r="E41" s="157" t="s">
        <v>2474</v>
      </c>
      <c r="F41" s="157" t="s">
        <v>2474</v>
      </c>
      <c r="G41" s="157" t="s">
        <v>2474</v>
      </c>
      <c r="H41" s="157" t="s">
        <v>2474</v>
      </c>
      <c r="I41" s="157" t="s">
        <v>2474</v>
      </c>
      <c r="J41" s="157" t="s">
        <v>2474</v>
      </c>
      <c r="K41" s="73"/>
    </row>
    <row r="42" ht="22.5" customHeight="1">
      <c r="A42" s="154"/>
      <c r="B42" s="166"/>
      <c r="C42" s="155" t="s">
        <v>1266</v>
      </c>
      <c r="D42" s="156" t="s">
        <v>2779</v>
      </c>
      <c r="E42" s="157" t="s">
        <v>2474</v>
      </c>
      <c r="F42" s="157" t="s">
        <v>2474</v>
      </c>
      <c r="G42" s="157" t="s">
        <v>2474</v>
      </c>
      <c r="H42" s="157" t="s">
        <v>2474</v>
      </c>
      <c r="I42" s="157" t="s">
        <v>2474</v>
      </c>
      <c r="J42" s="157" t="s">
        <v>2474</v>
      </c>
      <c r="K42" s="73"/>
    </row>
    <row r="43" ht="22.5" customHeight="1">
      <c r="A43" s="154"/>
      <c r="B43" s="166"/>
      <c r="C43" s="155" t="s">
        <v>1268</v>
      </c>
      <c r="D43" s="156" t="s">
        <v>2780</v>
      </c>
      <c r="E43" s="157" t="s">
        <v>2474</v>
      </c>
      <c r="F43" s="157" t="s">
        <v>2474</v>
      </c>
      <c r="G43" s="157" t="s">
        <v>2474</v>
      </c>
      <c r="H43" s="157" t="s">
        <v>2474</v>
      </c>
      <c r="I43" s="157" t="s">
        <v>2474</v>
      </c>
      <c r="J43" s="157" t="s">
        <v>2474</v>
      </c>
      <c r="K43" s="73"/>
    </row>
    <row r="44" ht="22.5" customHeight="1">
      <c r="A44" s="154"/>
      <c r="B44" s="166"/>
      <c r="C44" s="155" t="s">
        <v>1272</v>
      </c>
      <c r="D44" s="156" t="s">
        <v>2781</v>
      </c>
      <c r="E44" s="157" t="s">
        <v>2474</v>
      </c>
      <c r="F44" s="157" t="s">
        <v>2480</v>
      </c>
      <c r="G44" s="157" t="s">
        <v>2480</v>
      </c>
      <c r="H44" s="157" t="s">
        <v>2474</v>
      </c>
      <c r="I44" s="157" t="s">
        <v>2480</v>
      </c>
      <c r="J44" s="157" t="s">
        <v>2480</v>
      </c>
      <c r="K44" s="73"/>
    </row>
    <row r="45" ht="22.5" customHeight="1">
      <c r="A45" s="154"/>
      <c r="B45" s="166"/>
      <c r="C45" s="155" t="s">
        <v>1281</v>
      </c>
      <c r="D45" s="156" t="s">
        <v>2782</v>
      </c>
      <c r="E45" s="157" t="s">
        <v>2474</v>
      </c>
      <c r="F45" s="157" t="s">
        <v>2474</v>
      </c>
      <c r="G45" s="157" t="s">
        <v>2474</v>
      </c>
      <c r="H45" s="157" t="s">
        <v>2474</v>
      </c>
      <c r="I45" s="157" t="s">
        <v>2474</v>
      </c>
      <c r="J45" s="157" t="s">
        <v>2474</v>
      </c>
      <c r="K45" s="73"/>
    </row>
    <row r="46" ht="22.5" customHeight="1">
      <c r="A46" s="154"/>
      <c r="B46" s="166"/>
      <c r="C46" s="155" t="s">
        <v>1285</v>
      </c>
      <c r="D46" s="156" t="s">
        <v>2783</v>
      </c>
      <c r="E46" s="157" t="s">
        <v>2474</v>
      </c>
      <c r="F46" s="157" t="s">
        <v>2480</v>
      </c>
      <c r="G46" s="157" t="s">
        <v>2480</v>
      </c>
      <c r="H46" s="157" t="s">
        <v>2474</v>
      </c>
      <c r="I46" s="157" t="s">
        <v>2480</v>
      </c>
      <c r="J46" s="157" t="s">
        <v>2480</v>
      </c>
      <c r="K46" s="73"/>
    </row>
    <row r="47" ht="22.5" customHeight="1">
      <c r="A47" s="154"/>
      <c r="B47" s="166"/>
      <c r="C47" s="155" t="s">
        <v>1290</v>
      </c>
      <c r="D47" s="156" t="s">
        <v>2784</v>
      </c>
      <c r="E47" s="157" t="s">
        <v>2474</v>
      </c>
      <c r="F47" s="157" t="s">
        <v>2474</v>
      </c>
      <c r="G47" s="157" t="s">
        <v>2474</v>
      </c>
      <c r="H47" s="157" t="s">
        <v>2474</v>
      </c>
      <c r="I47" s="157" t="s">
        <v>2474</v>
      </c>
      <c r="J47" s="157" t="s">
        <v>2474</v>
      </c>
      <c r="K47" s="73"/>
    </row>
    <row r="48" ht="22.5" customHeight="1">
      <c r="A48" s="154"/>
      <c r="B48" s="166"/>
      <c r="C48" s="155" t="s">
        <v>1296</v>
      </c>
      <c r="D48" s="156" t="s">
        <v>2785</v>
      </c>
      <c r="E48" s="157" t="s">
        <v>2786</v>
      </c>
      <c r="F48" s="157" t="s">
        <v>2787</v>
      </c>
      <c r="G48" s="157" t="s">
        <v>2788</v>
      </c>
      <c r="H48" s="157" t="s">
        <v>2789</v>
      </c>
      <c r="I48" s="157" t="s">
        <v>2790</v>
      </c>
      <c r="J48" s="157" t="s">
        <v>2791</v>
      </c>
      <c r="K48" s="73"/>
    </row>
    <row r="49" ht="22.5" customHeight="1">
      <c r="A49" s="154"/>
      <c r="B49" s="166"/>
      <c r="C49" s="155" t="s">
        <v>1749</v>
      </c>
      <c r="D49" s="156" t="s">
        <v>2792</v>
      </c>
      <c r="E49" s="157" t="s">
        <v>2474</v>
      </c>
      <c r="F49" s="157" t="s">
        <v>2474</v>
      </c>
      <c r="G49" s="157" t="s">
        <v>2474</v>
      </c>
      <c r="H49" s="157" t="s">
        <v>2474</v>
      </c>
      <c r="I49" s="157" t="s">
        <v>2474</v>
      </c>
      <c r="J49" s="157" t="s">
        <v>2474</v>
      </c>
      <c r="K49" s="73"/>
    </row>
    <row r="50" ht="22.5" customHeight="1">
      <c r="A50" s="154"/>
      <c r="B50" s="166"/>
      <c r="C50" s="155"/>
      <c r="D50" s="156" t="s">
        <v>2793</v>
      </c>
      <c r="E50" s="157" t="s">
        <v>2474</v>
      </c>
      <c r="F50" s="157" t="s">
        <v>2474</v>
      </c>
      <c r="G50" s="157" t="s">
        <v>2474</v>
      </c>
      <c r="H50" s="157" t="s">
        <v>2474</v>
      </c>
      <c r="I50" s="157" t="s">
        <v>2474</v>
      </c>
      <c r="J50" s="157" t="s">
        <v>2474</v>
      </c>
      <c r="K50" s="73"/>
    </row>
    <row r="51" ht="22.5" customHeight="1">
      <c r="A51" s="154"/>
      <c r="B51" s="166"/>
      <c r="C51" s="155"/>
      <c r="D51" s="156" t="s">
        <v>2794</v>
      </c>
      <c r="E51" s="157" t="s">
        <v>2474</v>
      </c>
      <c r="F51" s="157" t="s">
        <v>2474</v>
      </c>
      <c r="G51" s="157" t="s">
        <v>2474</v>
      </c>
      <c r="H51" s="157" t="s">
        <v>2474</v>
      </c>
      <c r="I51" s="157" t="s">
        <v>2474</v>
      </c>
      <c r="J51" s="157" t="s">
        <v>2474</v>
      </c>
      <c r="K51" s="73"/>
    </row>
    <row r="52" ht="22.5" customHeight="1">
      <c r="A52" s="154"/>
      <c r="B52" s="166"/>
      <c r="C52" s="155"/>
      <c r="D52" s="156" t="s">
        <v>2795</v>
      </c>
      <c r="E52" s="157" t="s">
        <v>2474</v>
      </c>
      <c r="F52" s="157" t="s">
        <v>2474</v>
      </c>
      <c r="G52" s="157" t="s">
        <v>2474</v>
      </c>
      <c r="H52" s="157" t="s">
        <v>2474</v>
      </c>
      <c r="I52" s="157" t="s">
        <v>2474</v>
      </c>
      <c r="J52" s="157" t="s">
        <v>2474</v>
      </c>
      <c r="K52" s="73"/>
    </row>
    <row r="53" ht="22.5" customHeight="1">
      <c r="A53" s="154"/>
      <c r="B53" s="166"/>
      <c r="C53" s="155"/>
      <c r="D53" s="156" t="s">
        <v>2796</v>
      </c>
      <c r="E53" s="157" t="s">
        <v>2474</v>
      </c>
      <c r="F53" s="157" t="s">
        <v>2474</v>
      </c>
      <c r="G53" s="157" t="s">
        <v>2474</v>
      </c>
      <c r="H53" s="157" t="s">
        <v>2474</v>
      </c>
      <c r="I53" s="157" t="s">
        <v>2474</v>
      </c>
      <c r="J53" s="157" t="s">
        <v>2474</v>
      </c>
      <c r="K53" s="73"/>
    </row>
    <row r="54" ht="22.5" customHeight="1">
      <c r="A54" s="154"/>
      <c r="B54" s="166"/>
      <c r="C54" s="155"/>
      <c r="D54" s="156" t="s">
        <v>2797</v>
      </c>
      <c r="E54" s="157" t="s">
        <v>2474</v>
      </c>
      <c r="F54" s="157" t="s">
        <v>2474</v>
      </c>
      <c r="G54" s="157" t="s">
        <v>2474</v>
      </c>
      <c r="H54" s="157" t="s">
        <v>2474</v>
      </c>
      <c r="I54" s="157" t="s">
        <v>2474</v>
      </c>
      <c r="J54" s="157" t="s">
        <v>2474</v>
      </c>
      <c r="K54" s="73"/>
    </row>
    <row r="55" ht="22.5" customHeight="1">
      <c r="A55" s="154"/>
      <c r="B55" s="166"/>
      <c r="C55" s="155"/>
      <c r="D55" s="156" t="s">
        <v>2798</v>
      </c>
      <c r="E55" s="157" t="s">
        <v>2474</v>
      </c>
      <c r="F55" s="157" t="s">
        <v>2474</v>
      </c>
      <c r="G55" s="157" t="s">
        <v>2474</v>
      </c>
      <c r="H55" s="157" t="s">
        <v>2480</v>
      </c>
      <c r="I55" s="157" t="s">
        <v>2480</v>
      </c>
      <c r="J55" s="157" t="s">
        <v>2480</v>
      </c>
      <c r="K55" s="73"/>
    </row>
    <row r="56" ht="22.5" customHeight="1">
      <c r="A56" s="154"/>
      <c r="B56" s="166"/>
      <c r="C56" s="155"/>
      <c r="D56" s="156" t="s">
        <v>2799</v>
      </c>
      <c r="E56" s="157" t="s">
        <v>2474</v>
      </c>
      <c r="F56" s="157" t="s">
        <v>2474</v>
      </c>
      <c r="G56" s="157" t="s">
        <v>2474</v>
      </c>
      <c r="H56" s="157" t="s">
        <v>2474</v>
      </c>
      <c r="I56" s="157" t="s">
        <v>2474</v>
      </c>
      <c r="J56" s="157" t="s">
        <v>2474</v>
      </c>
      <c r="K56" s="73"/>
    </row>
    <row r="57" ht="22.5" customHeight="1">
      <c r="A57" s="154"/>
      <c r="B57" s="166"/>
      <c r="C57" s="155"/>
      <c r="D57" s="156" t="s">
        <v>2800</v>
      </c>
      <c r="E57" s="157" t="s">
        <v>2474</v>
      </c>
      <c r="F57" s="157" t="s">
        <v>2474</v>
      </c>
      <c r="G57" s="157" t="s">
        <v>2474</v>
      </c>
      <c r="H57" s="157" t="s">
        <v>2474</v>
      </c>
      <c r="I57" s="157" t="s">
        <v>2474</v>
      </c>
      <c r="J57" s="157" t="s">
        <v>2474</v>
      </c>
      <c r="K57" s="73"/>
    </row>
    <row r="58" ht="22.5" customHeight="1">
      <c r="A58" s="154"/>
      <c r="B58" s="166"/>
      <c r="C58" s="155"/>
      <c r="D58" s="156" t="s">
        <v>2801</v>
      </c>
      <c r="E58" s="157" t="s">
        <v>2802</v>
      </c>
      <c r="F58" s="157" t="s">
        <v>2803</v>
      </c>
      <c r="G58" s="157" t="s">
        <v>2804</v>
      </c>
      <c r="H58" s="157" t="s">
        <v>2805</v>
      </c>
      <c r="I58" s="157" t="s">
        <v>2806</v>
      </c>
      <c r="J58" s="157" t="s">
        <v>2807</v>
      </c>
      <c r="K58" s="73"/>
    </row>
    <row r="59" ht="22.5" customHeight="1">
      <c r="A59" s="154"/>
      <c r="B59" s="166"/>
      <c r="C59" s="155"/>
      <c r="D59" s="156" t="s">
        <v>2808</v>
      </c>
      <c r="E59" s="157" t="s">
        <v>2474</v>
      </c>
      <c r="F59" s="157" t="s">
        <v>2474</v>
      </c>
      <c r="G59" s="157" t="s">
        <v>2474</v>
      </c>
      <c r="H59" s="157" t="s">
        <v>2474</v>
      </c>
      <c r="I59" s="157" t="s">
        <v>2474</v>
      </c>
      <c r="J59" s="157" t="s">
        <v>2474</v>
      </c>
      <c r="K59" s="73"/>
    </row>
    <row r="60" ht="22.5" customHeight="1">
      <c r="A60" s="154"/>
      <c r="B60" s="166"/>
      <c r="C60" s="155"/>
      <c r="D60" s="156" t="s">
        <v>2809</v>
      </c>
      <c r="E60" s="157" t="s">
        <v>2474</v>
      </c>
      <c r="F60" s="157" t="s">
        <v>2474</v>
      </c>
      <c r="G60" s="157" t="s">
        <v>2474</v>
      </c>
      <c r="H60" s="157" t="s">
        <v>2474</v>
      </c>
      <c r="I60" s="157" t="s">
        <v>2474</v>
      </c>
      <c r="J60" s="157" t="s">
        <v>2474</v>
      </c>
      <c r="K60" s="73"/>
    </row>
    <row r="61" ht="22.5" customHeight="1">
      <c r="A61" s="154"/>
      <c r="B61" s="166"/>
      <c r="C61" s="155"/>
      <c r="D61" s="156" t="s">
        <v>2810</v>
      </c>
      <c r="E61" s="157" t="s">
        <v>2474</v>
      </c>
      <c r="F61" s="157" t="s">
        <v>2474</v>
      </c>
      <c r="G61" s="157" t="s">
        <v>2474</v>
      </c>
      <c r="H61" s="157" t="s">
        <v>2474</v>
      </c>
      <c r="I61" s="157" t="s">
        <v>2474</v>
      </c>
      <c r="J61" s="157" t="s">
        <v>2474</v>
      </c>
      <c r="K61" s="73"/>
    </row>
    <row r="62" ht="22.5" customHeight="1">
      <c r="A62" s="154"/>
      <c r="B62" s="166"/>
      <c r="C62" s="155"/>
      <c r="D62" s="156" t="s">
        <v>2811</v>
      </c>
      <c r="E62" s="157" t="s">
        <v>2474</v>
      </c>
      <c r="F62" s="157" t="s">
        <v>2474</v>
      </c>
      <c r="G62" s="157" t="s">
        <v>2474</v>
      </c>
      <c r="H62" s="157" t="s">
        <v>2474</v>
      </c>
      <c r="I62" s="157" t="s">
        <v>2474</v>
      </c>
      <c r="J62" s="157" t="s">
        <v>2474</v>
      </c>
      <c r="K62" s="73"/>
    </row>
    <row r="63" ht="22.5" customHeight="1">
      <c r="A63" s="154"/>
      <c r="B63" s="166"/>
      <c r="C63" s="155"/>
      <c r="D63" s="156" t="s">
        <v>2812</v>
      </c>
      <c r="E63" s="157" t="s">
        <v>2480</v>
      </c>
      <c r="F63" s="157" t="s">
        <v>2480</v>
      </c>
      <c r="G63" s="157" t="s">
        <v>2480</v>
      </c>
      <c r="H63" s="157" t="s">
        <v>2474</v>
      </c>
      <c r="I63" s="157" t="s">
        <v>2474</v>
      </c>
      <c r="J63" s="157" t="s">
        <v>2474</v>
      </c>
      <c r="K63" s="73"/>
    </row>
    <row r="64" ht="22.5" customHeight="1">
      <c r="A64" s="154"/>
      <c r="B64" s="166"/>
      <c r="C64" s="155"/>
      <c r="D64" s="156" t="s">
        <v>2813</v>
      </c>
      <c r="E64" s="157" t="s">
        <v>2474</v>
      </c>
      <c r="F64" s="157" t="s">
        <v>2474</v>
      </c>
      <c r="G64" s="157" t="s">
        <v>2474</v>
      </c>
      <c r="H64" s="157" t="s">
        <v>2474</v>
      </c>
      <c r="I64" s="157" t="s">
        <v>2474</v>
      </c>
      <c r="J64" s="157" t="s">
        <v>2474</v>
      </c>
      <c r="K64" s="73"/>
    </row>
    <row r="65" ht="22.5" customHeight="1">
      <c r="A65" s="154"/>
      <c r="B65" s="166"/>
      <c r="C65" s="155"/>
      <c r="D65" s="156" t="s">
        <v>2814</v>
      </c>
      <c r="E65" s="157" t="s">
        <v>2474</v>
      </c>
      <c r="F65" s="157" t="s">
        <v>2474</v>
      </c>
      <c r="G65" s="157" t="s">
        <v>2474</v>
      </c>
      <c r="H65" s="157" t="s">
        <v>2474</v>
      </c>
      <c r="I65" s="157" t="s">
        <v>2474</v>
      </c>
      <c r="J65" s="157" t="s">
        <v>2474</v>
      </c>
      <c r="K65" s="73"/>
    </row>
    <row r="66" ht="22.5" customHeight="1">
      <c r="A66" s="154"/>
      <c r="B66" s="166"/>
      <c r="C66" s="155"/>
      <c r="D66" s="156" t="s">
        <v>2815</v>
      </c>
      <c r="E66" s="157" t="s">
        <v>2474</v>
      </c>
      <c r="F66" s="157" t="s">
        <v>2474</v>
      </c>
      <c r="G66" s="157" t="s">
        <v>2474</v>
      </c>
      <c r="H66" s="157" t="s">
        <v>2474</v>
      </c>
      <c r="I66" s="157" t="s">
        <v>2474</v>
      </c>
      <c r="J66" s="157" t="s">
        <v>2474</v>
      </c>
      <c r="K66" s="73"/>
    </row>
    <row r="67" ht="22.5" customHeight="1">
      <c r="A67" s="154"/>
      <c r="B67" s="166"/>
      <c r="C67" s="155"/>
      <c r="D67" s="156" t="s">
        <v>2816</v>
      </c>
      <c r="E67" s="157" t="s">
        <v>2474</v>
      </c>
      <c r="F67" s="157" t="s">
        <v>2474</v>
      </c>
      <c r="G67" s="157" t="s">
        <v>2474</v>
      </c>
      <c r="H67" s="157" t="s">
        <v>2474</v>
      </c>
      <c r="I67" s="157" t="s">
        <v>2474</v>
      </c>
      <c r="J67" s="157" t="s">
        <v>2474</v>
      </c>
      <c r="K67" s="73"/>
    </row>
    <row r="68" ht="22.5" customHeight="1">
      <c r="A68" s="154"/>
      <c r="B68" s="166"/>
      <c r="C68" s="155"/>
      <c r="D68" s="156" t="s">
        <v>2817</v>
      </c>
      <c r="E68" s="157" t="s">
        <v>2474</v>
      </c>
      <c r="F68" s="157" t="s">
        <v>2474</v>
      </c>
      <c r="G68" s="157" t="s">
        <v>2474</v>
      </c>
      <c r="H68" s="157" t="s">
        <v>2474</v>
      </c>
      <c r="I68" s="157" t="s">
        <v>2474</v>
      </c>
      <c r="J68" s="157" t="s">
        <v>2474</v>
      </c>
      <c r="K68" s="73"/>
    </row>
    <row r="69" ht="22.5" customHeight="1">
      <c r="A69" s="154"/>
      <c r="B69" s="166"/>
      <c r="C69" s="155"/>
      <c r="D69" s="156" t="s">
        <v>2818</v>
      </c>
      <c r="E69" s="157" t="s">
        <v>2474</v>
      </c>
      <c r="F69" s="157" t="s">
        <v>2474</v>
      </c>
      <c r="G69" s="157" t="s">
        <v>2474</v>
      </c>
      <c r="H69" s="157" t="s">
        <v>2474</v>
      </c>
      <c r="I69" s="157" t="s">
        <v>2474</v>
      </c>
      <c r="J69" s="157" t="s">
        <v>2474</v>
      </c>
      <c r="K69" s="73"/>
    </row>
    <row r="70" ht="22.5" customHeight="1">
      <c r="A70" s="154"/>
      <c r="B70" s="166"/>
      <c r="C70" s="155"/>
      <c r="D70" s="156" t="s">
        <v>2819</v>
      </c>
      <c r="E70" s="157" t="s">
        <v>2474</v>
      </c>
      <c r="F70" s="157" t="s">
        <v>2474</v>
      </c>
      <c r="G70" s="157" t="s">
        <v>2474</v>
      </c>
      <c r="H70" s="157" t="s">
        <v>2474</v>
      </c>
      <c r="I70" s="157" t="s">
        <v>2474</v>
      </c>
      <c r="J70" s="157" t="s">
        <v>2474</v>
      </c>
      <c r="K70" s="73"/>
    </row>
    <row r="71" ht="22.5" customHeight="1">
      <c r="A71" s="154"/>
      <c r="B71" s="166"/>
      <c r="C71" s="155"/>
      <c r="D71" s="156" t="s">
        <v>2820</v>
      </c>
      <c r="E71" s="157" t="s">
        <v>2474</v>
      </c>
      <c r="F71" s="157" t="s">
        <v>2474</v>
      </c>
      <c r="G71" s="157" t="s">
        <v>2474</v>
      </c>
      <c r="H71" s="157" t="s">
        <v>2474</v>
      </c>
      <c r="I71" s="157" t="s">
        <v>2474</v>
      </c>
      <c r="J71" s="157" t="s">
        <v>2474</v>
      </c>
      <c r="K71" s="73"/>
    </row>
    <row r="72" ht="22.5" customHeight="1">
      <c r="A72" s="154"/>
      <c r="B72" s="166"/>
      <c r="C72" s="155"/>
      <c r="D72" s="156" t="s">
        <v>2821</v>
      </c>
      <c r="E72" s="157" t="s">
        <v>2474</v>
      </c>
      <c r="F72" s="157" t="s">
        <v>2474</v>
      </c>
      <c r="G72" s="157" t="s">
        <v>2474</v>
      </c>
      <c r="H72" s="157" t="s">
        <v>2474</v>
      </c>
      <c r="I72" s="157" t="s">
        <v>2474</v>
      </c>
      <c r="J72" s="157" t="s">
        <v>2474</v>
      </c>
      <c r="K72" s="73"/>
    </row>
    <row r="73" ht="22.5" customHeight="1">
      <c r="A73" s="154"/>
      <c r="B73" s="166"/>
      <c r="C73" s="155"/>
      <c r="D73" s="156" t="s">
        <v>2822</v>
      </c>
      <c r="E73" s="157" t="s">
        <v>2474</v>
      </c>
      <c r="F73" s="157" t="s">
        <v>2474</v>
      </c>
      <c r="G73" s="157" t="s">
        <v>2474</v>
      </c>
      <c r="H73" s="157" t="s">
        <v>2474</v>
      </c>
      <c r="I73" s="157" t="s">
        <v>2474</v>
      </c>
      <c r="J73" s="157" t="s">
        <v>2474</v>
      </c>
      <c r="K73" s="73"/>
    </row>
    <row r="74" ht="22.5" customHeight="1">
      <c r="A74" s="168"/>
      <c r="B74" s="169"/>
      <c r="C74" s="159" t="s">
        <v>1270</v>
      </c>
      <c r="D74" s="170" t="s">
        <v>2823</v>
      </c>
      <c r="E74" s="171" t="s">
        <v>2666</v>
      </c>
      <c r="F74" s="172" t="s">
        <v>2481</v>
      </c>
      <c r="G74" s="172" t="s">
        <v>2481</v>
      </c>
      <c r="H74" s="171" t="s">
        <v>2666</v>
      </c>
      <c r="I74" s="172" t="s">
        <v>2481</v>
      </c>
      <c r="J74" s="173" t="s">
        <v>2481</v>
      </c>
      <c r="K74" s="73"/>
    </row>
    <row r="75" ht="22.5" customHeight="1">
      <c r="A75" s="174"/>
      <c r="B75" s="169"/>
      <c r="C75" s="159" t="s">
        <v>1015</v>
      </c>
      <c r="D75" s="175" t="s">
        <v>2824</v>
      </c>
      <c r="E75" s="176" t="s">
        <v>2666</v>
      </c>
      <c r="F75" s="177" t="s">
        <v>2481</v>
      </c>
      <c r="G75" s="177" t="s">
        <v>2481</v>
      </c>
      <c r="H75" s="176" t="s">
        <v>2666</v>
      </c>
      <c r="I75" s="177" t="s">
        <v>2481</v>
      </c>
      <c r="J75" s="178" t="s">
        <v>2481</v>
      </c>
      <c r="K75" s="73"/>
    </row>
    <row r="76" ht="22.5" customHeight="1">
      <c r="A76" s="168"/>
      <c r="B76" s="169"/>
      <c r="C76" s="159" t="s">
        <v>1283</v>
      </c>
      <c r="D76" s="170" t="s">
        <v>2825</v>
      </c>
      <c r="E76" s="171" t="s">
        <v>2666</v>
      </c>
      <c r="F76" s="172" t="s">
        <v>2481</v>
      </c>
      <c r="G76" s="172" t="s">
        <v>2481</v>
      </c>
      <c r="H76" s="171" t="s">
        <v>2666</v>
      </c>
      <c r="I76" s="172" t="s">
        <v>2481</v>
      </c>
      <c r="J76" s="173" t="s">
        <v>2481</v>
      </c>
      <c r="K76" s="73"/>
    </row>
    <row r="77" ht="22.5" customHeight="1">
      <c r="A77" s="174"/>
      <c r="B77" s="169"/>
      <c r="C77" s="159" t="s">
        <v>1018</v>
      </c>
      <c r="D77" s="175" t="s">
        <v>2826</v>
      </c>
      <c r="E77" s="176" t="s">
        <v>2666</v>
      </c>
      <c r="F77" s="177" t="s">
        <v>2481</v>
      </c>
      <c r="G77" s="177" t="s">
        <v>2481</v>
      </c>
      <c r="H77" s="176" t="s">
        <v>2666</v>
      </c>
      <c r="I77" s="177" t="s">
        <v>2481</v>
      </c>
      <c r="J77" s="178" t="s">
        <v>2481</v>
      </c>
      <c r="K77" s="73"/>
    </row>
    <row r="78" ht="22.5" customHeight="1">
      <c r="A78" s="168"/>
      <c r="B78" s="169"/>
      <c r="C78" s="159" t="s">
        <v>1063</v>
      </c>
      <c r="D78" s="170" t="s">
        <v>2827</v>
      </c>
      <c r="E78" s="171" t="s">
        <v>2666</v>
      </c>
      <c r="F78" s="172" t="s">
        <v>2481</v>
      </c>
      <c r="G78" s="172" t="s">
        <v>2481</v>
      </c>
      <c r="H78" s="171" t="s">
        <v>2666</v>
      </c>
      <c r="I78" s="172" t="s">
        <v>2481</v>
      </c>
      <c r="J78" s="173" t="s">
        <v>2481</v>
      </c>
      <c r="K78" s="73"/>
    </row>
    <row r="79" ht="22.5" customHeight="1">
      <c r="A79" s="179" t="s">
        <v>960</v>
      </c>
      <c r="B79" s="167"/>
      <c r="C79" s="180"/>
      <c r="D79" s="175" t="s">
        <v>2828</v>
      </c>
      <c r="E79" s="176" t="s">
        <v>2666</v>
      </c>
      <c r="F79" s="177" t="s">
        <v>2481</v>
      </c>
      <c r="G79" s="177" t="s">
        <v>2481</v>
      </c>
      <c r="H79" s="176" t="s">
        <v>2666</v>
      </c>
      <c r="I79" s="177" t="s">
        <v>2481</v>
      </c>
      <c r="J79" s="178" t="s">
        <v>2481</v>
      </c>
      <c r="K79" s="73"/>
    </row>
    <row r="80" ht="22.5" customHeight="1">
      <c r="A80" s="168"/>
      <c r="B80" s="169"/>
      <c r="C80" s="159" t="s">
        <v>1258</v>
      </c>
      <c r="D80" s="170" t="s">
        <v>2829</v>
      </c>
      <c r="E80" s="171" t="s">
        <v>2666</v>
      </c>
      <c r="F80" s="172" t="s">
        <v>2481</v>
      </c>
      <c r="G80" s="172" t="s">
        <v>2481</v>
      </c>
      <c r="H80" s="171" t="s">
        <v>2666</v>
      </c>
      <c r="I80" s="172" t="s">
        <v>2481</v>
      </c>
      <c r="J80" s="173" t="s">
        <v>2481</v>
      </c>
      <c r="K80" s="73"/>
    </row>
    <row r="81" ht="22.5" customHeight="1">
      <c r="A81" s="174"/>
      <c r="B81" s="169"/>
      <c r="C81" s="159" t="s">
        <v>1013</v>
      </c>
      <c r="D81" s="175" t="s">
        <v>2830</v>
      </c>
      <c r="E81" s="176" t="s">
        <v>2666</v>
      </c>
      <c r="F81" s="177" t="s">
        <v>2481</v>
      </c>
      <c r="G81" s="177" t="s">
        <v>2481</v>
      </c>
      <c r="H81" s="176" t="s">
        <v>2666</v>
      </c>
      <c r="I81" s="177" t="s">
        <v>2481</v>
      </c>
      <c r="J81" s="178" t="s">
        <v>2481</v>
      </c>
      <c r="K81" s="73"/>
    </row>
    <row r="82" ht="22.5" customHeight="1">
      <c r="A82" s="168"/>
      <c r="B82" s="169"/>
      <c r="C82" s="159" t="s">
        <v>1020</v>
      </c>
      <c r="D82" s="170" t="s">
        <v>2831</v>
      </c>
      <c r="E82" s="171" t="s">
        <v>2666</v>
      </c>
      <c r="F82" s="172" t="s">
        <v>2481</v>
      </c>
      <c r="G82" s="172" t="s">
        <v>2481</v>
      </c>
      <c r="H82" s="171" t="s">
        <v>2666</v>
      </c>
      <c r="I82" s="172" t="s">
        <v>2481</v>
      </c>
      <c r="J82" s="173" t="s">
        <v>2481</v>
      </c>
      <c r="K82" s="73"/>
    </row>
    <row r="83" ht="22.5" customHeight="1">
      <c r="A83" s="174"/>
      <c r="B83" s="169"/>
      <c r="C83" s="159" t="s">
        <v>1007</v>
      </c>
      <c r="D83" s="175" t="s">
        <v>2832</v>
      </c>
      <c r="E83" s="176" t="s">
        <v>2666</v>
      </c>
      <c r="F83" s="177" t="s">
        <v>2481</v>
      </c>
      <c r="G83" s="177" t="s">
        <v>2481</v>
      </c>
      <c r="H83" s="176" t="s">
        <v>2666</v>
      </c>
      <c r="I83" s="177" t="s">
        <v>2481</v>
      </c>
      <c r="J83" s="178" t="s">
        <v>2481</v>
      </c>
      <c r="K83" s="73"/>
    </row>
    <row r="84" ht="22.5" customHeight="1">
      <c r="A84" s="168"/>
      <c r="B84" s="169"/>
      <c r="C84" s="159" t="s">
        <v>1009</v>
      </c>
      <c r="D84" s="170" t="s">
        <v>2833</v>
      </c>
      <c r="E84" s="171" t="s">
        <v>2666</v>
      </c>
      <c r="F84" s="172" t="s">
        <v>2481</v>
      </c>
      <c r="G84" s="172" t="s">
        <v>2481</v>
      </c>
      <c r="H84" s="171" t="s">
        <v>2666</v>
      </c>
      <c r="I84" s="172" t="s">
        <v>2481</v>
      </c>
      <c r="J84" s="173" t="s">
        <v>2481</v>
      </c>
      <c r="K84" s="73"/>
    </row>
    <row r="85" ht="22.5" customHeight="1">
      <c r="A85" s="174"/>
      <c r="B85" s="169"/>
      <c r="C85" s="159" t="s">
        <v>1107</v>
      </c>
      <c r="D85" s="175" t="s">
        <v>2834</v>
      </c>
      <c r="E85" s="176" t="s">
        <v>2666</v>
      </c>
      <c r="F85" s="177" t="s">
        <v>2481</v>
      </c>
      <c r="G85" s="177" t="s">
        <v>2481</v>
      </c>
      <c r="H85" s="176" t="s">
        <v>2666</v>
      </c>
      <c r="I85" s="177" t="s">
        <v>2481</v>
      </c>
      <c r="J85" s="178" t="s">
        <v>2481</v>
      </c>
      <c r="K85" s="73"/>
    </row>
    <row r="86" ht="22.5" customHeight="1">
      <c r="A86" s="168"/>
      <c r="B86" s="169"/>
      <c r="C86" s="159" t="s">
        <v>1260</v>
      </c>
      <c r="D86" s="170" t="s">
        <v>2835</v>
      </c>
      <c r="E86" s="171" t="s">
        <v>2666</v>
      </c>
      <c r="F86" s="172" t="s">
        <v>2481</v>
      </c>
      <c r="G86" s="172" t="s">
        <v>2481</v>
      </c>
      <c r="H86" s="171" t="s">
        <v>2666</v>
      </c>
      <c r="I86" s="172" t="s">
        <v>2481</v>
      </c>
      <c r="J86" s="173" t="s">
        <v>2481</v>
      </c>
      <c r="K86" s="73"/>
    </row>
    <row r="87" ht="22.5" customHeight="1">
      <c r="A87" s="174"/>
      <c r="B87" s="169"/>
      <c r="C87" s="159" t="s">
        <v>1105</v>
      </c>
      <c r="D87" s="175" t="s">
        <v>2836</v>
      </c>
      <c r="E87" s="176" t="s">
        <v>2666</v>
      </c>
      <c r="F87" s="177" t="s">
        <v>2481</v>
      </c>
      <c r="G87" s="177" t="s">
        <v>2481</v>
      </c>
      <c r="H87" s="176" t="s">
        <v>2666</v>
      </c>
      <c r="I87" s="177" t="s">
        <v>2481</v>
      </c>
      <c r="J87" s="178" t="s">
        <v>2481</v>
      </c>
      <c r="K87" s="73"/>
    </row>
    <row r="88" ht="22.5" customHeight="1">
      <c r="A88" s="168"/>
      <c r="B88" s="169"/>
      <c r="C88" s="159" t="s">
        <v>1277</v>
      </c>
      <c r="D88" s="170" t="s">
        <v>2837</v>
      </c>
      <c r="E88" s="171" t="s">
        <v>2666</v>
      </c>
      <c r="F88" s="172" t="s">
        <v>2481</v>
      </c>
      <c r="G88" s="172" t="s">
        <v>2481</v>
      </c>
      <c r="H88" s="171" t="s">
        <v>2666</v>
      </c>
      <c r="I88" s="172" t="s">
        <v>2481</v>
      </c>
      <c r="J88" s="173" t="s">
        <v>2481</v>
      </c>
      <c r="K88" s="73"/>
    </row>
    <row r="89" ht="22.5" customHeight="1">
      <c r="A89" s="174"/>
      <c r="B89" s="169"/>
      <c r="C89" s="159" t="s">
        <v>1279</v>
      </c>
      <c r="D89" s="175" t="s">
        <v>2838</v>
      </c>
      <c r="E89" s="176" t="s">
        <v>2666</v>
      </c>
      <c r="F89" s="177" t="s">
        <v>2481</v>
      </c>
      <c r="G89" s="177" t="s">
        <v>2481</v>
      </c>
      <c r="H89" s="176" t="s">
        <v>2666</v>
      </c>
      <c r="I89" s="177" t="s">
        <v>2481</v>
      </c>
      <c r="J89" s="178" t="s">
        <v>2481</v>
      </c>
      <c r="K89" s="73"/>
    </row>
    <row r="90" ht="22.5" customHeight="1">
      <c r="A90" s="168"/>
      <c r="B90" s="169"/>
      <c r="C90" s="159" t="s">
        <v>1275</v>
      </c>
      <c r="D90" s="170" t="s">
        <v>2839</v>
      </c>
      <c r="E90" s="171" t="s">
        <v>2666</v>
      </c>
      <c r="F90" s="172" t="s">
        <v>2481</v>
      </c>
      <c r="G90" s="172" t="s">
        <v>2481</v>
      </c>
      <c r="H90" s="171" t="s">
        <v>2666</v>
      </c>
      <c r="I90" s="172" t="s">
        <v>2481</v>
      </c>
      <c r="J90" s="173" t="s">
        <v>2481</v>
      </c>
      <c r="K90" s="73"/>
    </row>
    <row r="91" ht="22.5" customHeight="1">
      <c r="A91" s="174"/>
      <c r="B91" s="169"/>
      <c r="C91" s="159" t="s">
        <v>1262</v>
      </c>
      <c r="D91" s="175" t="s">
        <v>2840</v>
      </c>
      <c r="E91" s="176" t="s">
        <v>2666</v>
      </c>
      <c r="F91" s="177" t="s">
        <v>2481</v>
      </c>
      <c r="G91" s="177" t="s">
        <v>2481</v>
      </c>
      <c r="H91" s="176" t="s">
        <v>2666</v>
      </c>
      <c r="I91" s="177" t="s">
        <v>2481</v>
      </c>
      <c r="J91" s="178" t="s">
        <v>2481</v>
      </c>
      <c r="K91" s="73"/>
    </row>
    <row r="92" ht="22.5" customHeight="1">
      <c r="A92" s="168"/>
      <c r="B92" s="169"/>
      <c r="C92" s="159" t="s">
        <v>1103</v>
      </c>
      <c r="D92" s="170" t="s">
        <v>2841</v>
      </c>
      <c r="E92" s="171" t="s">
        <v>2666</v>
      </c>
      <c r="F92" s="172" t="s">
        <v>2481</v>
      </c>
      <c r="G92" s="172" t="s">
        <v>2481</v>
      </c>
      <c r="H92" s="171" t="s">
        <v>2666</v>
      </c>
      <c r="I92" s="172" t="s">
        <v>2481</v>
      </c>
      <c r="J92" s="173" t="s">
        <v>2481</v>
      </c>
      <c r="K92" s="73"/>
    </row>
    <row r="93" ht="22.5" customHeight="1">
      <c r="A93" s="174"/>
      <c r="B93" s="167"/>
      <c r="C93" s="180"/>
      <c r="D93" s="175" t="s">
        <v>2842</v>
      </c>
      <c r="E93" s="176" t="s">
        <v>2666</v>
      </c>
      <c r="F93" s="176" t="s">
        <v>2666</v>
      </c>
      <c r="G93" s="177" t="s">
        <v>2843</v>
      </c>
      <c r="H93" s="176" t="s">
        <v>2666</v>
      </c>
      <c r="I93" s="176" t="s">
        <v>2666</v>
      </c>
      <c r="J93" s="178" t="s">
        <v>2844</v>
      </c>
      <c r="K93" s="73"/>
    </row>
    <row r="94" ht="22.5" customHeight="1">
      <c r="A94" s="181" t="s">
        <v>753</v>
      </c>
      <c r="B94" s="167"/>
      <c r="C94" s="180"/>
      <c r="D94" s="170" t="s">
        <v>2845</v>
      </c>
      <c r="E94" s="171" t="s">
        <v>2666</v>
      </c>
      <c r="F94" s="171" t="s">
        <v>2666</v>
      </c>
      <c r="G94" s="172" t="s">
        <v>2481</v>
      </c>
      <c r="H94" s="171" t="s">
        <v>2666</v>
      </c>
      <c r="I94" s="171" t="s">
        <v>2666</v>
      </c>
      <c r="J94" s="173" t="s">
        <v>2481</v>
      </c>
      <c r="K94" s="73"/>
    </row>
    <row r="95" ht="22.5" customHeight="1">
      <c r="A95" s="174"/>
      <c r="B95" s="169"/>
      <c r="C95" s="159" t="s">
        <v>1091</v>
      </c>
      <c r="D95" s="175" t="s">
        <v>2846</v>
      </c>
      <c r="E95" s="176" t="s">
        <v>2666</v>
      </c>
      <c r="F95" s="176" t="s">
        <v>2666</v>
      </c>
      <c r="G95" s="177" t="s">
        <v>2481</v>
      </c>
      <c r="H95" s="176" t="s">
        <v>2666</v>
      </c>
      <c r="I95" s="176" t="s">
        <v>2666</v>
      </c>
      <c r="J95" s="178" t="s">
        <v>2481</v>
      </c>
      <c r="K95" s="73"/>
    </row>
    <row r="96" ht="22.5" customHeight="1">
      <c r="A96" s="182"/>
      <c r="B96" s="169"/>
      <c r="C96" s="159" t="s">
        <v>1281</v>
      </c>
      <c r="D96" s="183" t="s">
        <v>2847</v>
      </c>
      <c r="E96" s="184" t="s">
        <v>2666</v>
      </c>
      <c r="F96" s="184" t="s">
        <v>2666</v>
      </c>
      <c r="G96" s="184" t="s">
        <v>2666</v>
      </c>
      <c r="H96" s="184" t="s">
        <v>2666</v>
      </c>
      <c r="I96" s="184" t="s">
        <v>2666</v>
      </c>
      <c r="J96" s="185" t="s">
        <v>2666</v>
      </c>
      <c r="K96" s="73"/>
    </row>
  </sheetData>
  <printOptions/>
  <pageMargins bottom="0.5" footer="0.0" header="0.0" left="0.75" right="0.75" top="0.75"/>
  <pageSetup orientation="landscape"/>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0.0"/>
    <col customWidth="1" min="2" max="2" width="19.29"/>
    <col customWidth="1" min="3" max="3" width="13.43"/>
    <col customWidth="1" min="4" max="4" width="72.29"/>
    <col customWidth="1" min="5" max="10" width="19.29"/>
    <col customWidth="1" min="11" max="11" width="93.0"/>
  </cols>
  <sheetData>
    <row r="1" ht="22.5" customHeight="1">
      <c r="A1" s="152" t="s">
        <v>2463</v>
      </c>
      <c r="B1" s="186" t="s">
        <v>2464</v>
      </c>
      <c r="C1" s="152" t="s">
        <v>2465</v>
      </c>
      <c r="D1" s="152" t="s">
        <v>977</v>
      </c>
      <c r="E1" s="152" t="s">
        <v>2848</v>
      </c>
      <c r="F1" s="152" t="s">
        <v>2849</v>
      </c>
      <c r="G1" s="152" t="s">
        <v>2850</v>
      </c>
      <c r="H1" s="152" t="s">
        <v>2851</v>
      </c>
      <c r="I1" s="152" t="s">
        <v>2852</v>
      </c>
      <c r="J1" s="152" t="s">
        <v>2853</v>
      </c>
      <c r="K1" s="153" t="s">
        <v>2472</v>
      </c>
    </row>
    <row r="2" ht="22.5" customHeight="1">
      <c r="A2" s="154"/>
      <c r="B2" s="187" t="s">
        <v>2854</v>
      </c>
      <c r="C2" s="155" t="s">
        <v>1011</v>
      </c>
      <c r="D2" s="156" t="s">
        <v>2855</v>
      </c>
      <c r="E2" s="157" t="s">
        <v>2856</v>
      </c>
      <c r="F2" s="157" t="s">
        <v>2857</v>
      </c>
      <c r="G2" s="157" t="s">
        <v>2858</v>
      </c>
      <c r="H2" s="157" t="s">
        <v>2859</v>
      </c>
      <c r="I2" s="157" t="s">
        <v>2860</v>
      </c>
      <c r="J2" s="157" t="s">
        <v>2861</v>
      </c>
      <c r="K2" s="73"/>
    </row>
    <row r="3" ht="22.5" customHeight="1">
      <c r="A3" s="154"/>
      <c r="B3" s="187" t="s">
        <v>2862</v>
      </c>
      <c r="C3" s="155" t="s">
        <v>1246</v>
      </c>
      <c r="D3" s="156" t="s">
        <v>2863</v>
      </c>
      <c r="E3" s="157" t="s">
        <v>2864</v>
      </c>
      <c r="F3" s="157" t="s">
        <v>2865</v>
      </c>
      <c r="G3" s="157" t="s">
        <v>2866</v>
      </c>
      <c r="H3" s="157" t="s">
        <v>2867</v>
      </c>
      <c r="I3" s="157" t="s">
        <v>2868</v>
      </c>
      <c r="J3" s="157" t="s">
        <v>2869</v>
      </c>
      <c r="K3" s="73"/>
    </row>
    <row r="4" ht="22.5" customHeight="1">
      <c r="A4" s="154"/>
      <c r="B4" s="187" t="s">
        <v>2862</v>
      </c>
      <c r="C4" s="155" t="s">
        <v>1254</v>
      </c>
      <c r="D4" s="156" t="s">
        <v>2870</v>
      </c>
      <c r="E4" s="157" t="s">
        <v>2871</v>
      </c>
      <c r="F4" s="157" t="s">
        <v>2872</v>
      </c>
      <c r="G4" s="157" t="s">
        <v>2873</v>
      </c>
      <c r="H4" s="157" t="s">
        <v>2874</v>
      </c>
      <c r="I4" s="157" t="s">
        <v>2875</v>
      </c>
      <c r="J4" s="157" t="s">
        <v>2876</v>
      </c>
      <c r="K4" s="73"/>
    </row>
    <row r="5" ht="22.5" customHeight="1">
      <c r="A5" s="154"/>
      <c r="B5" s="187" t="s">
        <v>2862</v>
      </c>
      <c r="C5" s="155" t="s">
        <v>1296</v>
      </c>
      <c r="D5" s="156" t="s">
        <v>2877</v>
      </c>
      <c r="E5" s="157" t="s">
        <v>2878</v>
      </c>
      <c r="F5" s="157" t="s">
        <v>2879</v>
      </c>
      <c r="G5" s="157" t="s">
        <v>2880</v>
      </c>
      <c r="H5" s="157" t="s">
        <v>2881</v>
      </c>
      <c r="I5" s="157" t="s">
        <v>2882</v>
      </c>
      <c r="J5" s="157" t="s">
        <v>2883</v>
      </c>
      <c r="K5" s="73"/>
    </row>
    <row r="6" ht="22.5" customHeight="1">
      <c r="A6" s="154"/>
      <c r="B6" s="187" t="s">
        <v>2862</v>
      </c>
      <c r="C6" s="155" t="s">
        <v>1248</v>
      </c>
      <c r="D6" s="156" t="s">
        <v>2884</v>
      </c>
      <c r="E6" s="157" t="s">
        <v>2885</v>
      </c>
      <c r="F6" s="157" t="s">
        <v>2886</v>
      </c>
      <c r="G6" s="157" t="s">
        <v>2887</v>
      </c>
      <c r="H6" s="157" t="s">
        <v>2888</v>
      </c>
      <c r="I6" s="157" t="s">
        <v>2889</v>
      </c>
      <c r="J6" s="157" t="s">
        <v>2890</v>
      </c>
      <c r="K6" s="73"/>
    </row>
    <row r="7" ht="22.5" customHeight="1">
      <c r="A7" s="154"/>
      <c r="B7" s="187" t="s">
        <v>2854</v>
      </c>
      <c r="C7" s="155"/>
      <c r="D7" s="156" t="s">
        <v>2891</v>
      </c>
      <c r="E7" s="157" t="s">
        <v>2892</v>
      </c>
      <c r="F7" s="157" t="s">
        <v>2893</v>
      </c>
      <c r="G7" s="157" t="s">
        <v>2894</v>
      </c>
      <c r="H7" s="157" t="s">
        <v>2895</v>
      </c>
      <c r="I7" s="157" t="s">
        <v>2896</v>
      </c>
      <c r="J7" s="157" t="s">
        <v>2897</v>
      </c>
      <c r="K7" s="73"/>
    </row>
    <row r="8" ht="22.5" customHeight="1">
      <c r="A8" s="154"/>
      <c r="B8" s="187" t="s">
        <v>2898</v>
      </c>
      <c r="C8" s="155" t="s">
        <v>1038</v>
      </c>
      <c r="D8" s="156" t="s">
        <v>2899</v>
      </c>
      <c r="E8" s="157" t="s">
        <v>2474</v>
      </c>
      <c r="F8" s="157" t="s">
        <v>2474</v>
      </c>
      <c r="G8" s="157" t="s">
        <v>2474</v>
      </c>
      <c r="H8" s="157" t="s">
        <v>2474</v>
      </c>
      <c r="I8" s="157" t="s">
        <v>2474</v>
      </c>
      <c r="J8" s="157" t="s">
        <v>2474</v>
      </c>
      <c r="K8" s="73"/>
    </row>
    <row r="9" ht="22.5" customHeight="1">
      <c r="A9" s="154"/>
      <c r="B9" s="187" t="s">
        <v>2898</v>
      </c>
      <c r="C9" s="155"/>
      <c r="D9" s="156" t="s">
        <v>2900</v>
      </c>
      <c r="E9" s="157" t="s">
        <v>2474</v>
      </c>
      <c r="F9" s="157" t="s">
        <v>2474</v>
      </c>
      <c r="G9" s="157" t="s">
        <v>2474</v>
      </c>
      <c r="H9" s="157" t="s">
        <v>2474</v>
      </c>
      <c r="I9" s="157" t="s">
        <v>2474</v>
      </c>
      <c r="J9" s="157" t="s">
        <v>2474</v>
      </c>
      <c r="K9" s="73"/>
    </row>
    <row r="10" ht="22.5" customHeight="1">
      <c r="A10" s="154"/>
      <c r="B10" s="187" t="s">
        <v>2862</v>
      </c>
      <c r="C10" s="155" t="s">
        <v>1089</v>
      </c>
      <c r="D10" s="156" t="s">
        <v>2901</v>
      </c>
      <c r="E10" s="157" t="s">
        <v>2474</v>
      </c>
      <c r="F10" s="157" t="s">
        <v>2474</v>
      </c>
      <c r="G10" s="157" t="s">
        <v>2474</v>
      </c>
      <c r="H10" s="157" t="s">
        <v>2474</v>
      </c>
      <c r="I10" s="157" t="s">
        <v>2474</v>
      </c>
      <c r="J10" s="157" t="s">
        <v>2474</v>
      </c>
      <c r="K10" s="73"/>
    </row>
    <row r="11" ht="22.5" customHeight="1">
      <c r="A11" s="154"/>
      <c r="B11" s="187" t="s">
        <v>2862</v>
      </c>
      <c r="C11" s="155" t="s">
        <v>1272</v>
      </c>
      <c r="D11" s="156" t="s">
        <v>2902</v>
      </c>
      <c r="E11" s="157" t="s">
        <v>2474</v>
      </c>
      <c r="F11" s="157" t="s">
        <v>2480</v>
      </c>
      <c r="G11" s="157" t="s">
        <v>2480</v>
      </c>
      <c r="H11" s="157" t="s">
        <v>2474</v>
      </c>
      <c r="I11" s="157" t="s">
        <v>2480</v>
      </c>
      <c r="J11" s="157" t="s">
        <v>2480</v>
      </c>
      <c r="K11" s="73"/>
    </row>
    <row r="12" ht="22.5" customHeight="1">
      <c r="A12" s="154"/>
      <c r="B12" s="187" t="s">
        <v>2862</v>
      </c>
      <c r="C12" s="155" t="s">
        <v>1250</v>
      </c>
      <c r="D12" s="156" t="s">
        <v>2903</v>
      </c>
      <c r="E12" s="157" t="s">
        <v>2474</v>
      </c>
      <c r="F12" s="157" t="s">
        <v>2474</v>
      </c>
      <c r="G12" s="157" t="s">
        <v>2474</v>
      </c>
      <c r="H12" s="157" t="s">
        <v>2474</v>
      </c>
      <c r="I12" s="157" t="s">
        <v>2474</v>
      </c>
      <c r="J12" s="157" t="s">
        <v>2474</v>
      </c>
      <c r="K12" s="73"/>
    </row>
    <row r="13" ht="22.5" customHeight="1">
      <c r="A13" s="154"/>
      <c r="B13" s="187" t="s">
        <v>2898</v>
      </c>
      <c r="C13" s="155"/>
      <c r="D13" s="156" t="s">
        <v>2904</v>
      </c>
      <c r="E13" s="157" t="s">
        <v>2474</v>
      </c>
      <c r="F13" s="157" t="s">
        <v>2474</v>
      </c>
      <c r="G13" s="157" t="s">
        <v>2474</v>
      </c>
      <c r="H13" s="157" t="s">
        <v>2474</v>
      </c>
      <c r="I13" s="157" t="s">
        <v>2474</v>
      </c>
      <c r="J13" s="157" t="s">
        <v>2474</v>
      </c>
      <c r="K13" s="73"/>
    </row>
    <row r="14" ht="22.5" customHeight="1">
      <c r="A14" s="154"/>
      <c r="B14" s="187" t="s">
        <v>2862</v>
      </c>
      <c r="C14" s="155"/>
      <c r="D14" s="156" t="s">
        <v>2905</v>
      </c>
      <c r="E14" s="157" t="s">
        <v>2474</v>
      </c>
      <c r="F14" s="157" t="s">
        <v>2474</v>
      </c>
      <c r="G14" s="157" t="s">
        <v>2474</v>
      </c>
      <c r="H14" s="157" t="s">
        <v>2474</v>
      </c>
      <c r="I14" s="157" t="s">
        <v>2474</v>
      </c>
      <c r="J14" s="157" t="s">
        <v>2474</v>
      </c>
      <c r="K14" s="73"/>
    </row>
    <row r="15" ht="22.5" customHeight="1">
      <c r="A15" s="154"/>
      <c r="B15" s="187" t="s">
        <v>2854</v>
      </c>
      <c r="C15" s="155"/>
      <c r="D15" s="156" t="s">
        <v>2906</v>
      </c>
      <c r="E15" s="157" t="s">
        <v>2474</v>
      </c>
      <c r="F15" s="157" t="s">
        <v>2474</v>
      </c>
      <c r="G15" s="157" t="s">
        <v>2474</v>
      </c>
      <c r="H15" s="157" t="s">
        <v>2474</v>
      </c>
      <c r="I15" s="157" t="s">
        <v>2474</v>
      </c>
      <c r="J15" s="157" t="s">
        <v>2474</v>
      </c>
      <c r="K15" s="73"/>
    </row>
    <row r="16" ht="22.5" customHeight="1">
      <c r="A16" s="154"/>
      <c r="B16" s="187" t="s">
        <v>2898</v>
      </c>
      <c r="C16" s="155"/>
      <c r="D16" s="156" t="s">
        <v>2907</v>
      </c>
      <c r="E16" s="157" t="s">
        <v>2474</v>
      </c>
      <c r="F16" s="157" t="s">
        <v>2474</v>
      </c>
      <c r="G16" s="157" t="s">
        <v>2474</v>
      </c>
      <c r="H16" s="157" t="s">
        <v>2474</v>
      </c>
      <c r="I16" s="157" t="s">
        <v>2474</v>
      </c>
      <c r="J16" s="157" t="s">
        <v>2474</v>
      </c>
      <c r="K16" s="73"/>
    </row>
    <row r="17" ht="22.5" customHeight="1">
      <c r="A17" s="154"/>
      <c r="B17" s="187" t="s">
        <v>2854</v>
      </c>
      <c r="C17" s="155" t="s">
        <v>1256</v>
      </c>
      <c r="D17" s="156" t="s">
        <v>2908</v>
      </c>
      <c r="E17" s="157" t="s">
        <v>2474</v>
      </c>
      <c r="F17" s="157" t="s">
        <v>2474</v>
      </c>
      <c r="G17" s="157" t="s">
        <v>2474</v>
      </c>
      <c r="H17" s="157" t="s">
        <v>2474</v>
      </c>
      <c r="I17" s="157" t="s">
        <v>2474</v>
      </c>
      <c r="J17" s="157" t="s">
        <v>2474</v>
      </c>
      <c r="K17" s="73"/>
    </row>
    <row r="18" ht="22.5" customHeight="1">
      <c r="A18" s="154"/>
      <c r="B18" s="187" t="s">
        <v>2909</v>
      </c>
      <c r="C18" s="155"/>
      <c r="D18" s="156" t="s">
        <v>2910</v>
      </c>
      <c r="E18" s="157" t="s">
        <v>2474</v>
      </c>
      <c r="F18" s="157" t="s">
        <v>2474</v>
      </c>
      <c r="G18" s="157" t="s">
        <v>2474</v>
      </c>
      <c r="H18" s="157" t="s">
        <v>2480</v>
      </c>
      <c r="I18" s="157" t="s">
        <v>2480</v>
      </c>
      <c r="J18" s="157" t="s">
        <v>2480</v>
      </c>
      <c r="K18" s="73"/>
    </row>
    <row r="19" ht="22.5" customHeight="1">
      <c r="A19" s="154"/>
      <c r="B19" s="187" t="s">
        <v>2862</v>
      </c>
      <c r="C19" s="155" t="s">
        <v>1281</v>
      </c>
      <c r="D19" s="156" t="s">
        <v>2911</v>
      </c>
      <c r="E19" s="157" t="s">
        <v>2474</v>
      </c>
      <c r="F19" s="157" t="s">
        <v>2474</v>
      </c>
      <c r="G19" s="157" t="s">
        <v>2474</v>
      </c>
      <c r="H19" s="157" t="s">
        <v>2474</v>
      </c>
      <c r="I19" s="157" t="s">
        <v>2474</v>
      </c>
      <c r="J19" s="157" t="s">
        <v>2474</v>
      </c>
      <c r="K19" s="73"/>
    </row>
    <row r="20" ht="22.5" customHeight="1">
      <c r="A20" s="154"/>
      <c r="B20" s="187" t="s">
        <v>2909</v>
      </c>
      <c r="C20" s="155"/>
      <c r="D20" s="156" t="s">
        <v>2912</v>
      </c>
      <c r="E20" s="157" t="s">
        <v>2474</v>
      </c>
      <c r="F20" s="157" t="s">
        <v>2474</v>
      </c>
      <c r="G20" s="157" t="s">
        <v>2474</v>
      </c>
      <c r="H20" s="157" t="s">
        <v>2474</v>
      </c>
      <c r="I20" s="157" t="s">
        <v>2474</v>
      </c>
      <c r="J20" s="157" t="s">
        <v>2474</v>
      </c>
      <c r="K20" s="73"/>
    </row>
    <row r="21" ht="22.5" customHeight="1">
      <c r="A21" s="154"/>
      <c r="B21" s="187" t="s">
        <v>2854</v>
      </c>
      <c r="C21" s="155" t="s">
        <v>1264</v>
      </c>
      <c r="D21" s="156" t="s">
        <v>2913</v>
      </c>
      <c r="E21" s="157" t="s">
        <v>2474</v>
      </c>
      <c r="F21" s="157" t="s">
        <v>2474</v>
      </c>
      <c r="G21" s="157" t="s">
        <v>2474</v>
      </c>
      <c r="H21" s="157" t="s">
        <v>2474</v>
      </c>
      <c r="I21" s="157" t="s">
        <v>2474</v>
      </c>
      <c r="J21" s="157" t="s">
        <v>2474</v>
      </c>
      <c r="K21" s="73"/>
    </row>
    <row r="22" ht="22.5" customHeight="1">
      <c r="A22" s="154"/>
      <c r="B22" s="187" t="s">
        <v>2898</v>
      </c>
      <c r="C22" s="155"/>
      <c r="D22" s="156" t="s">
        <v>2914</v>
      </c>
      <c r="E22" s="157" t="s">
        <v>2474</v>
      </c>
      <c r="F22" s="157" t="s">
        <v>2474</v>
      </c>
      <c r="G22" s="157" t="s">
        <v>2474</v>
      </c>
      <c r="H22" s="157" t="s">
        <v>2474</v>
      </c>
      <c r="I22" s="157" t="s">
        <v>2474</v>
      </c>
      <c r="J22" s="157" t="s">
        <v>2474</v>
      </c>
      <c r="K22" s="73"/>
    </row>
    <row r="23" ht="22.5" customHeight="1">
      <c r="A23" s="154"/>
      <c r="B23" s="187" t="s">
        <v>2862</v>
      </c>
      <c r="C23" s="155" t="s">
        <v>1052</v>
      </c>
      <c r="D23" s="156" t="s">
        <v>2915</v>
      </c>
      <c r="E23" s="157" t="s">
        <v>2474</v>
      </c>
      <c r="F23" s="157" t="s">
        <v>2474</v>
      </c>
      <c r="G23" s="157" t="s">
        <v>2474</v>
      </c>
      <c r="H23" s="157" t="s">
        <v>2474</v>
      </c>
      <c r="I23" s="157" t="s">
        <v>2474</v>
      </c>
      <c r="J23" s="157" t="s">
        <v>2474</v>
      </c>
      <c r="K23" s="73"/>
    </row>
    <row r="24" ht="22.5" customHeight="1">
      <c r="A24" s="154"/>
      <c r="B24" s="187" t="s">
        <v>2862</v>
      </c>
      <c r="C24" s="155" t="s">
        <v>1285</v>
      </c>
      <c r="D24" s="156" t="s">
        <v>2916</v>
      </c>
      <c r="E24" s="157" t="s">
        <v>2474</v>
      </c>
      <c r="F24" s="157" t="s">
        <v>2480</v>
      </c>
      <c r="G24" s="157" t="s">
        <v>2480</v>
      </c>
      <c r="H24" s="157" t="s">
        <v>2474</v>
      </c>
      <c r="I24" s="157" t="s">
        <v>2480</v>
      </c>
      <c r="J24" s="157" t="s">
        <v>2480</v>
      </c>
      <c r="K24" s="73"/>
    </row>
    <row r="25" ht="22.5" customHeight="1">
      <c r="A25" s="154"/>
      <c r="B25" s="187" t="s">
        <v>2909</v>
      </c>
      <c r="C25" s="155"/>
      <c r="D25" s="156" t="s">
        <v>2917</v>
      </c>
      <c r="E25" s="157" t="s">
        <v>2474</v>
      </c>
      <c r="F25" s="157" t="s">
        <v>2474</v>
      </c>
      <c r="G25" s="157" t="s">
        <v>2474</v>
      </c>
      <c r="H25" s="157" t="s">
        <v>2474</v>
      </c>
      <c r="I25" s="157" t="s">
        <v>2474</v>
      </c>
      <c r="J25" s="157" t="s">
        <v>2474</v>
      </c>
      <c r="K25" s="73"/>
    </row>
    <row r="26" ht="22.5" customHeight="1">
      <c r="A26" s="154"/>
      <c r="B26" s="187" t="s">
        <v>2898</v>
      </c>
      <c r="C26" s="155" t="s">
        <v>999</v>
      </c>
      <c r="D26" s="156" t="s">
        <v>2918</v>
      </c>
      <c r="E26" s="157" t="s">
        <v>2474</v>
      </c>
      <c r="F26" s="157" t="s">
        <v>2474</v>
      </c>
      <c r="G26" s="157" t="s">
        <v>2919</v>
      </c>
      <c r="H26" s="157" t="s">
        <v>2474</v>
      </c>
      <c r="I26" s="157" t="s">
        <v>2474</v>
      </c>
      <c r="J26" s="157" t="s">
        <v>2920</v>
      </c>
      <c r="K26" s="73"/>
    </row>
    <row r="27" ht="22.5" customHeight="1">
      <c r="A27" s="154"/>
      <c r="B27" s="187" t="s">
        <v>2898</v>
      </c>
      <c r="C27" s="155" t="s">
        <v>721</v>
      </c>
      <c r="D27" s="156" t="s">
        <v>2921</v>
      </c>
      <c r="E27" s="157" t="s">
        <v>2474</v>
      </c>
      <c r="F27" s="157" t="s">
        <v>2474</v>
      </c>
      <c r="G27" s="157" t="s">
        <v>2480</v>
      </c>
      <c r="H27" s="157" t="s">
        <v>2474</v>
      </c>
      <c r="I27" s="157" t="s">
        <v>2474</v>
      </c>
      <c r="J27" s="157" t="s">
        <v>2480</v>
      </c>
      <c r="K27" s="73"/>
    </row>
    <row r="28" ht="22.5" customHeight="1">
      <c r="A28" s="154"/>
      <c r="B28" s="187" t="s">
        <v>2898</v>
      </c>
      <c r="C28" s="155" t="s">
        <v>1001</v>
      </c>
      <c r="D28" s="156" t="s">
        <v>2922</v>
      </c>
      <c r="E28" s="157" t="s">
        <v>2474</v>
      </c>
      <c r="F28" s="157" t="s">
        <v>2474</v>
      </c>
      <c r="G28" s="157" t="s">
        <v>2474</v>
      </c>
      <c r="H28" s="157" t="s">
        <v>2474</v>
      </c>
      <c r="I28" s="157" t="s">
        <v>2474</v>
      </c>
      <c r="J28" s="157" t="s">
        <v>2474</v>
      </c>
      <c r="K28" s="73"/>
    </row>
    <row r="29" ht="22.5" customHeight="1">
      <c r="A29" s="154"/>
      <c r="B29" s="187" t="s">
        <v>2898</v>
      </c>
      <c r="C29" s="155" t="s">
        <v>1003</v>
      </c>
      <c r="D29" s="156" t="s">
        <v>2923</v>
      </c>
      <c r="E29" s="157" t="s">
        <v>2474</v>
      </c>
      <c r="F29" s="157" t="s">
        <v>2474</v>
      </c>
      <c r="G29" s="157" t="s">
        <v>2474</v>
      </c>
      <c r="H29" s="157" t="s">
        <v>2474</v>
      </c>
      <c r="I29" s="157" t="s">
        <v>2474</v>
      </c>
      <c r="J29" s="157" t="s">
        <v>2474</v>
      </c>
      <c r="K29" s="73"/>
    </row>
    <row r="30" ht="22.5" customHeight="1">
      <c r="A30" s="154"/>
      <c r="B30" s="187" t="s">
        <v>2898</v>
      </c>
      <c r="C30" s="155" t="s">
        <v>1114</v>
      </c>
      <c r="D30" s="156" t="s">
        <v>2924</v>
      </c>
      <c r="E30" s="157" t="s">
        <v>2474</v>
      </c>
      <c r="F30" s="157" t="s">
        <v>2474</v>
      </c>
      <c r="G30" s="157" t="s">
        <v>2474</v>
      </c>
      <c r="H30" s="157" t="s">
        <v>2474</v>
      </c>
      <c r="I30" s="157" t="s">
        <v>2474</v>
      </c>
      <c r="J30" s="157" t="s">
        <v>2474</v>
      </c>
      <c r="K30" s="73"/>
    </row>
    <row r="31" ht="22.5" customHeight="1">
      <c r="A31" s="154"/>
      <c r="B31" s="187" t="s">
        <v>2898</v>
      </c>
      <c r="C31" s="155" t="s">
        <v>1125</v>
      </c>
      <c r="D31" s="156" t="s">
        <v>2925</v>
      </c>
      <c r="E31" s="157" t="s">
        <v>2474</v>
      </c>
      <c r="F31" s="157" t="s">
        <v>2474</v>
      </c>
      <c r="G31" s="157" t="s">
        <v>2480</v>
      </c>
      <c r="H31" s="157" t="s">
        <v>2474</v>
      </c>
      <c r="I31" s="157" t="s">
        <v>2474</v>
      </c>
      <c r="J31" s="157" t="s">
        <v>2480</v>
      </c>
      <c r="K31" s="73"/>
    </row>
    <row r="32" ht="22.5" customHeight="1">
      <c r="A32" s="154"/>
      <c r="B32" s="187" t="s">
        <v>2898</v>
      </c>
      <c r="C32" s="155"/>
      <c r="D32" s="156" t="s">
        <v>2926</v>
      </c>
      <c r="E32" s="157" t="s">
        <v>2474</v>
      </c>
      <c r="F32" s="157" t="s">
        <v>2474</v>
      </c>
      <c r="G32" s="157" t="s">
        <v>2474</v>
      </c>
      <c r="H32" s="157" t="s">
        <v>2474</v>
      </c>
      <c r="I32" s="157" t="s">
        <v>2474</v>
      </c>
      <c r="J32" s="157" t="s">
        <v>2474</v>
      </c>
      <c r="K32" s="73"/>
    </row>
    <row r="33" ht="22.5" customHeight="1">
      <c r="A33" s="154"/>
      <c r="B33" s="187" t="s">
        <v>2854</v>
      </c>
      <c r="C33" s="155" t="s">
        <v>1238</v>
      </c>
      <c r="D33" s="156" t="s">
        <v>2927</v>
      </c>
      <c r="E33" s="157" t="s">
        <v>2474</v>
      </c>
      <c r="F33" s="157" t="s">
        <v>2474</v>
      </c>
      <c r="G33" s="157" t="s">
        <v>2474</v>
      </c>
      <c r="H33" s="157" t="s">
        <v>2474</v>
      </c>
      <c r="I33" s="157" t="s">
        <v>2474</v>
      </c>
      <c r="J33" s="157" t="s">
        <v>2474</v>
      </c>
      <c r="K33" s="73"/>
    </row>
    <row r="34" ht="22.5" customHeight="1">
      <c r="A34" s="154"/>
      <c r="B34" s="187" t="s">
        <v>2854</v>
      </c>
      <c r="C34" s="155"/>
      <c r="D34" s="156" t="s">
        <v>2928</v>
      </c>
      <c r="E34" s="157" t="s">
        <v>2474</v>
      </c>
      <c r="F34" s="157" t="s">
        <v>2474</v>
      </c>
      <c r="G34" s="157" t="s">
        <v>2474</v>
      </c>
      <c r="H34" s="157" t="s">
        <v>2474</v>
      </c>
      <c r="I34" s="157" t="s">
        <v>2474</v>
      </c>
      <c r="J34" s="157" t="s">
        <v>2474</v>
      </c>
      <c r="K34" s="73"/>
    </row>
    <row r="35" ht="22.5" customHeight="1">
      <c r="A35" s="154"/>
      <c r="B35" s="187" t="s">
        <v>2898</v>
      </c>
      <c r="C35" s="155"/>
      <c r="D35" s="156" t="s">
        <v>2929</v>
      </c>
      <c r="E35" s="157" t="s">
        <v>2474</v>
      </c>
      <c r="F35" s="157" t="s">
        <v>2474</v>
      </c>
      <c r="G35" s="157" t="s">
        <v>2474</v>
      </c>
      <c r="H35" s="157" t="s">
        <v>2474</v>
      </c>
      <c r="I35" s="157" t="s">
        <v>2474</v>
      </c>
      <c r="J35" s="157" t="s">
        <v>2474</v>
      </c>
      <c r="K35" s="73"/>
    </row>
    <row r="36" ht="22.5" customHeight="1">
      <c r="A36" s="154"/>
      <c r="B36" s="187" t="s">
        <v>2930</v>
      </c>
      <c r="C36" s="155" t="s">
        <v>1290</v>
      </c>
      <c r="D36" s="156" t="s">
        <v>2931</v>
      </c>
      <c r="E36" s="157" t="s">
        <v>2474</v>
      </c>
      <c r="F36" s="157" t="s">
        <v>2474</v>
      </c>
      <c r="G36" s="157" t="s">
        <v>2474</v>
      </c>
      <c r="H36" s="157" t="s">
        <v>2474</v>
      </c>
      <c r="I36" s="157" t="s">
        <v>2474</v>
      </c>
      <c r="J36" s="157" t="s">
        <v>2474</v>
      </c>
      <c r="K36" s="73"/>
    </row>
    <row r="37" ht="22.5" customHeight="1">
      <c r="A37" s="154"/>
      <c r="B37" s="187" t="s">
        <v>2898</v>
      </c>
      <c r="C37" s="155"/>
      <c r="D37" s="156" t="s">
        <v>2932</v>
      </c>
      <c r="E37" s="157" t="s">
        <v>2474</v>
      </c>
      <c r="F37" s="157" t="s">
        <v>2474</v>
      </c>
      <c r="G37" s="157" t="s">
        <v>2474</v>
      </c>
      <c r="H37" s="157" t="s">
        <v>2474</v>
      </c>
      <c r="I37" s="157" t="s">
        <v>2474</v>
      </c>
      <c r="J37" s="157" t="s">
        <v>2474</v>
      </c>
      <c r="K37" s="73"/>
    </row>
    <row r="38" ht="22.5" customHeight="1">
      <c r="A38" s="154"/>
      <c r="B38" s="187" t="s">
        <v>2898</v>
      </c>
      <c r="C38" s="155"/>
      <c r="D38" s="156" t="s">
        <v>2933</v>
      </c>
      <c r="E38" s="157" t="s">
        <v>2474</v>
      </c>
      <c r="F38" s="157" t="s">
        <v>2474</v>
      </c>
      <c r="G38" s="157" t="s">
        <v>2474</v>
      </c>
      <c r="H38" s="157" t="s">
        <v>2474</v>
      </c>
      <c r="I38" s="157" t="s">
        <v>2474</v>
      </c>
      <c r="J38" s="157" t="s">
        <v>2474</v>
      </c>
      <c r="K38" s="73"/>
    </row>
    <row r="39" ht="22.5" customHeight="1">
      <c r="A39" s="154"/>
      <c r="B39" s="187" t="s">
        <v>2909</v>
      </c>
      <c r="C39" s="155" t="s">
        <v>235</v>
      </c>
      <c r="D39" s="156" t="s">
        <v>2934</v>
      </c>
      <c r="E39" s="157" t="s">
        <v>2474</v>
      </c>
      <c r="F39" s="157" t="s">
        <v>2474</v>
      </c>
      <c r="G39" s="157" t="s">
        <v>2474</v>
      </c>
      <c r="H39" s="157" t="s">
        <v>2474</v>
      </c>
      <c r="I39" s="157" t="s">
        <v>2474</v>
      </c>
      <c r="J39" s="157" t="s">
        <v>2474</v>
      </c>
      <c r="K39" s="73"/>
    </row>
    <row r="40" ht="22.5" customHeight="1">
      <c r="A40" s="154"/>
      <c r="B40" s="187" t="s">
        <v>2862</v>
      </c>
      <c r="C40" s="155" t="s">
        <v>1158</v>
      </c>
      <c r="D40" s="156" t="s">
        <v>2935</v>
      </c>
      <c r="E40" s="157" t="s">
        <v>2474</v>
      </c>
      <c r="F40" s="157" t="s">
        <v>2474</v>
      </c>
      <c r="G40" s="157" t="s">
        <v>2474</v>
      </c>
      <c r="H40" s="157" t="s">
        <v>2474</v>
      </c>
      <c r="I40" s="157" t="s">
        <v>2474</v>
      </c>
      <c r="J40" s="157" t="s">
        <v>2474</v>
      </c>
      <c r="K40" s="73"/>
    </row>
    <row r="41" ht="22.5" customHeight="1">
      <c r="A41" s="154"/>
      <c r="B41" s="187" t="s">
        <v>2862</v>
      </c>
      <c r="C41" s="155" t="s">
        <v>1101</v>
      </c>
      <c r="D41" s="156" t="s">
        <v>2936</v>
      </c>
      <c r="E41" s="157" t="s">
        <v>2474</v>
      </c>
      <c r="F41" s="157" t="s">
        <v>2480</v>
      </c>
      <c r="G41" s="157" t="s">
        <v>2480</v>
      </c>
      <c r="H41" s="157" t="s">
        <v>2474</v>
      </c>
      <c r="I41" s="157" t="s">
        <v>2480</v>
      </c>
      <c r="J41" s="157" t="s">
        <v>2480</v>
      </c>
      <c r="K41" s="73"/>
    </row>
    <row r="42" ht="22.5" customHeight="1">
      <c r="A42" s="154"/>
      <c r="B42" s="187" t="s">
        <v>2909</v>
      </c>
      <c r="C42" s="155"/>
      <c r="D42" s="156" t="s">
        <v>2937</v>
      </c>
      <c r="E42" s="157" t="s">
        <v>2474</v>
      </c>
      <c r="F42" s="157" t="s">
        <v>2474</v>
      </c>
      <c r="G42" s="157" t="s">
        <v>2474</v>
      </c>
      <c r="H42" s="157" t="s">
        <v>2474</v>
      </c>
      <c r="I42" s="157" t="s">
        <v>2474</v>
      </c>
      <c r="J42" s="157" t="s">
        <v>2474</v>
      </c>
      <c r="K42" s="73"/>
    </row>
    <row r="43" ht="22.5" customHeight="1">
      <c r="A43" s="154"/>
      <c r="B43" s="187" t="s">
        <v>2909</v>
      </c>
      <c r="C43" s="155" t="s">
        <v>224</v>
      </c>
      <c r="D43" s="156" t="s">
        <v>2938</v>
      </c>
      <c r="E43" s="157" t="s">
        <v>2474</v>
      </c>
      <c r="F43" s="157" t="s">
        <v>2474</v>
      </c>
      <c r="G43" s="157" t="s">
        <v>2474</v>
      </c>
      <c r="H43" s="157" t="s">
        <v>2939</v>
      </c>
      <c r="I43" s="157" t="s">
        <v>2940</v>
      </c>
      <c r="J43" s="157" t="s">
        <v>2941</v>
      </c>
      <c r="K43" s="73"/>
    </row>
    <row r="44" ht="22.5" customHeight="1">
      <c r="A44" s="154"/>
      <c r="B44" s="187" t="s">
        <v>2909</v>
      </c>
      <c r="C44" s="155"/>
      <c r="D44" s="156" t="s">
        <v>2942</v>
      </c>
      <c r="E44" s="157" t="s">
        <v>2474</v>
      </c>
      <c r="F44" s="157" t="s">
        <v>2474</v>
      </c>
      <c r="G44" s="157" t="s">
        <v>2474</v>
      </c>
      <c r="H44" s="157" t="s">
        <v>2474</v>
      </c>
      <c r="I44" s="157" t="s">
        <v>2474</v>
      </c>
      <c r="J44" s="157" t="s">
        <v>2474</v>
      </c>
      <c r="K44" s="73"/>
    </row>
    <row r="45" ht="22.5" customHeight="1">
      <c r="A45" s="154"/>
      <c r="B45" s="187" t="s">
        <v>2909</v>
      </c>
      <c r="C45" s="155" t="s">
        <v>1236</v>
      </c>
      <c r="D45" s="156" t="s">
        <v>2943</v>
      </c>
      <c r="E45" s="157" t="s">
        <v>2474</v>
      </c>
      <c r="F45" s="157" t="s">
        <v>2474</v>
      </c>
      <c r="G45" s="157" t="s">
        <v>2474</v>
      </c>
      <c r="H45" s="157" t="s">
        <v>2474</v>
      </c>
      <c r="I45" s="157" t="s">
        <v>2474</v>
      </c>
      <c r="J45" s="157" t="s">
        <v>2474</v>
      </c>
      <c r="K45" s="73"/>
    </row>
    <row r="46" ht="22.5" customHeight="1">
      <c r="A46" s="154"/>
      <c r="B46" s="187" t="s">
        <v>2854</v>
      </c>
      <c r="C46" s="155" t="s">
        <v>1240</v>
      </c>
      <c r="D46" s="156" t="s">
        <v>2944</v>
      </c>
      <c r="E46" s="157" t="s">
        <v>2474</v>
      </c>
      <c r="F46" s="157" t="s">
        <v>2474</v>
      </c>
      <c r="G46" s="157" t="s">
        <v>2474</v>
      </c>
      <c r="H46" s="157" t="s">
        <v>2474</v>
      </c>
      <c r="I46" s="157" t="s">
        <v>2474</v>
      </c>
      <c r="J46" s="157" t="s">
        <v>2474</v>
      </c>
      <c r="K46" s="73"/>
    </row>
    <row r="47" ht="22.5" customHeight="1">
      <c r="A47" s="154"/>
      <c r="B47" s="187" t="s">
        <v>2909</v>
      </c>
      <c r="C47" s="155" t="s">
        <v>1061</v>
      </c>
      <c r="D47" s="156" t="s">
        <v>2945</v>
      </c>
      <c r="E47" s="157" t="s">
        <v>2474</v>
      </c>
      <c r="F47" s="157" t="s">
        <v>2480</v>
      </c>
      <c r="G47" s="157" t="s">
        <v>2480</v>
      </c>
      <c r="H47" s="157" t="s">
        <v>2474</v>
      </c>
      <c r="I47" s="157" t="s">
        <v>2480</v>
      </c>
      <c r="J47" s="157" t="s">
        <v>2480</v>
      </c>
      <c r="K47" s="73"/>
    </row>
    <row r="48" ht="22.5" customHeight="1">
      <c r="A48" s="154"/>
      <c r="B48" s="187" t="s">
        <v>2909</v>
      </c>
      <c r="C48" s="155" t="s">
        <v>164</v>
      </c>
      <c r="D48" s="156" t="s">
        <v>2946</v>
      </c>
      <c r="E48" s="157" t="s">
        <v>2474</v>
      </c>
      <c r="F48" s="157" t="s">
        <v>2474</v>
      </c>
      <c r="G48" s="157" t="s">
        <v>2474</v>
      </c>
      <c r="H48" s="157" t="s">
        <v>2480</v>
      </c>
      <c r="I48" s="157" t="s">
        <v>2480</v>
      </c>
      <c r="J48" s="157" t="s">
        <v>2480</v>
      </c>
      <c r="K48" s="73"/>
    </row>
    <row r="49" ht="22.5" customHeight="1">
      <c r="A49" s="154"/>
      <c r="B49" s="187" t="s">
        <v>2854</v>
      </c>
      <c r="C49" s="155" t="s">
        <v>1252</v>
      </c>
      <c r="D49" s="156" t="s">
        <v>2947</v>
      </c>
      <c r="E49" s="157" t="s">
        <v>2474</v>
      </c>
      <c r="F49" s="157" t="s">
        <v>2474</v>
      </c>
      <c r="G49" s="157" t="s">
        <v>2474</v>
      </c>
      <c r="H49" s="157" t="s">
        <v>2474</v>
      </c>
      <c r="I49" s="157" t="s">
        <v>2474</v>
      </c>
      <c r="J49" s="157" t="s">
        <v>2474</v>
      </c>
      <c r="K49" s="73"/>
    </row>
    <row r="50" ht="22.5" customHeight="1">
      <c r="A50" s="154"/>
      <c r="B50" s="187" t="s">
        <v>2909</v>
      </c>
      <c r="C50" s="155" t="s">
        <v>1355</v>
      </c>
      <c r="D50" s="156" t="s">
        <v>2948</v>
      </c>
      <c r="E50" s="157" t="s">
        <v>2474</v>
      </c>
      <c r="F50" s="157" t="s">
        <v>2474</v>
      </c>
      <c r="G50" s="157" t="s">
        <v>2474</v>
      </c>
      <c r="H50" s="157" t="s">
        <v>2474</v>
      </c>
      <c r="I50" s="157" t="s">
        <v>2474</v>
      </c>
      <c r="J50" s="157" t="s">
        <v>2474</v>
      </c>
      <c r="K50" s="73"/>
    </row>
    <row r="51" ht="22.5" customHeight="1">
      <c r="A51" s="154"/>
      <c r="B51" s="187" t="s">
        <v>2854</v>
      </c>
      <c r="C51" s="155"/>
      <c r="D51" s="156" t="s">
        <v>2949</v>
      </c>
      <c r="E51" s="157" t="s">
        <v>2474</v>
      </c>
      <c r="F51" s="157" t="s">
        <v>2474</v>
      </c>
      <c r="G51" s="157" t="s">
        <v>2474</v>
      </c>
      <c r="H51" s="157" t="s">
        <v>2474</v>
      </c>
      <c r="I51" s="157" t="s">
        <v>2474</v>
      </c>
      <c r="J51" s="157" t="s">
        <v>2474</v>
      </c>
      <c r="K51" s="73"/>
    </row>
    <row r="52" ht="22.5" customHeight="1">
      <c r="A52" s="154"/>
      <c r="B52" s="187" t="s">
        <v>2930</v>
      </c>
      <c r="C52" s="155" t="s">
        <v>1397</v>
      </c>
      <c r="D52" s="156" t="s">
        <v>2950</v>
      </c>
      <c r="E52" s="157" t="s">
        <v>2474</v>
      </c>
      <c r="F52" s="157" t="s">
        <v>2474</v>
      </c>
      <c r="G52" s="157" t="s">
        <v>2474</v>
      </c>
      <c r="H52" s="157" t="s">
        <v>2474</v>
      </c>
      <c r="I52" s="157" t="s">
        <v>2474</v>
      </c>
      <c r="J52" s="157" t="s">
        <v>2474</v>
      </c>
      <c r="K52" s="73"/>
    </row>
    <row r="53" ht="22.5" customHeight="1">
      <c r="A53" s="154"/>
      <c r="B53" s="187" t="s">
        <v>2854</v>
      </c>
      <c r="C53" s="155" t="s">
        <v>1266</v>
      </c>
      <c r="D53" s="156" t="s">
        <v>2951</v>
      </c>
      <c r="E53" s="157" t="s">
        <v>2474</v>
      </c>
      <c r="F53" s="157" t="s">
        <v>2474</v>
      </c>
      <c r="G53" s="157" t="s">
        <v>2474</v>
      </c>
      <c r="H53" s="157" t="s">
        <v>2474</v>
      </c>
      <c r="I53" s="157" t="s">
        <v>2474</v>
      </c>
      <c r="J53" s="157" t="s">
        <v>2474</v>
      </c>
      <c r="K53" s="73"/>
    </row>
    <row r="54" ht="22.5" customHeight="1">
      <c r="A54" s="154"/>
      <c r="B54" s="187" t="s">
        <v>2854</v>
      </c>
      <c r="C54" s="155" t="s">
        <v>1268</v>
      </c>
      <c r="D54" s="156" t="s">
        <v>2952</v>
      </c>
      <c r="E54" s="157" t="s">
        <v>2474</v>
      </c>
      <c r="F54" s="157" t="s">
        <v>2474</v>
      </c>
      <c r="G54" s="157" t="s">
        <v>2474</v>
      </c>
      <c r="H54" s="157" t="s">
        <v>2474</v>
      </c>
      <c r="I54" s="157" t="s">
        <v>2474</v>
      </c>
      <c r="J54" s="157" t="s">
        <v>2474</v>
      </c>
      <c r="K54" s="73"/>
    </row>
    <row r="55" ht="22.5" customHeight="1">
      <c r="A55" s="154"/>
      <c r="B55" s="187" t="s">
        <v>2930</v>
      </c>
      <c r="C55" s="155" t="s">
        <v>1317</v>
      </c>
      <c r="D55" s="156" t="s">
        <v>2953</v>
      </c>
      <c r="E55" s="157" t="s">
        <v>2474</v>
      </c>
      <c r="F55" s="157" t="s">
        <v>2474</v>
      </c>
      <c r="G55" s="157" t="s">
        <v>2474</v>
      </c>
      <c r="H55" s="157" t="s">
        <v>2474</v>
      </c>
      <c r="I55" s="157" t="s">
        <v>2474</v>
      </c>
      <c r="J55" s="157" t="s">
        <v>2474</v>
      </c>
      <c r="K55" s="73"/>
    </row>
    <row r="56" ht="22.5" customHeight="1">
      <c r="A56" s="154"/>
      <c r="B56" s="187" t="s">
        <v>2930</v>
      </c>
      <c r="C56" s="155" t="s">
        <v>1751</v>
      </c>
      <c r="D56" s="156" t="s">
        <v>2954</v>
      </c>
      <c r="E56" s="157" t="s">
        <v>2474</v>
      </c>
      <c r="F56" s="157" t="s">
        <v>2474</v>
      </c>
      <c r="G56" s="157" t="s">
        <v>2474</v>
      </c>
      <c r="H56" s="157" t="s">
        <v>2474</v>
      </c>
      <c r="I56" s="157" t="s">
        <v>2474</v>
      </c>
      <c r="J56" s="157" t="s">
        <v>2474</v>
      </c>
      <c r="K56" s="73"/>
    </row>
    <row r="57" ht="22.5" customHeight="1">
      <c r="A57" s="154"/>
      <c r="B57" s="187" t="s">
        <v>2930</v>
      </c>
      <c r="C57" s="155" t="s">
        <v>1109</v>
      </c>
      <c r="D57" s="156" t="s">
        <v>2955</v>
      </c>
      <c r="E57" s="157" t="s">
        <v>2474</v>
      </c>
      <c r="F57" s="157" t="s">
        <v>2474</v>
      </c>
      <c r="G57" s="157" t="s">
        <v>2474</v>
      </c>
      <c r="H57" s="157" t="s">
        <v>2474</v>
      </c>
      <c r="I57" s="157" t="s">
        <v>2474</v>
      </c>
      <c r="J57" s="157" t="s">
        <v>2474</v>
      </c>
      <c r="K57" s="73"/>
    </row>
    <row r="58" ht="22.5" customHeight="1">
      <c r="A58" s="154"/>
      <c r="B58" s="187" t="s">
        <v>2930</v>
      </c>
      <c r="C58" s="155" t="s">
        <v>1614</v>
      </c>
      <c r="D58" s="156" t="s">
        <v>2956</v>
      </c>
      <c r="E58" s="157" t="s">
        <v>2474</v>
      </c>
      <c r="F58" s="157" t="s">
        <v>2474</v>
      </c>
      <c r="G58" s="157" t="s">
        <v>2474</v>
      </c>
      <c r="H58" s="157" t="s">
        <v>2474</v>
      </c>
      <c r="I58" s="157" t="s">
        <v>2474</v>
      </c>
      <c r="J58" s="157" t="s">
        <v>2474</v>
      </c>
      <c r="K58" s="73"/>
    </row>
    <row r="59" ht="22.5" customHeight="1">
      <c r="A59" s="154"/>
      <c r="B59" s="187" t="s">
        <v>2930</v>
      </c>
      <c r="C59" s="155" t="s">
        <v>1366</v>
      </c>
      <c r="D59" s="156" t="s">
        <v>2957</v>
      </c>
      <c r="E59" s="157" t="s">
        <v>2474</v>
      </c>
      <c r="F59" s="157" t="s">
        <v>2474</v>
      </c>
      <c r="G59" s="157" t="s">
        <v>2474</v>
      </c>
      <c r="H59" s="157" t="s">
        <v>2474</v>
      </c>
      <c r="I59" s="157" t="s">
        <v>2474</v>
      </c>
      <c r="J59" s="157" t="s">
        <v>2474</v>
      </c>
      <c r="K59" s="73"/>
    </row>
    <row r="60" ht="22.5" customHeight="1">
      <c r="A60" s="154"/>
      <c r="B60" s="187" t="s">
        <v>2930</v>
      </c>
      <c r="C60" s="155" t="s">
        <v>128</v>
      </c>
      <c r="D60" s="156" t="s">
        <v>2958</v>
      </c>
      <c r="E60" s="157" t="s">
        <v>2474</v>
      </c>
      <c r="F60" s="157" t="s">
        <v>2474</v>
      </c>
      <c r="G60" s="157" t="s">
        <v>2474</v>
      </c>
      <c r="H60" s="157" t="s">
        <v>2959</v>
      </c>
      <c r="I60" s="157" t="s">
        <v>2960</v>
      </c>
      <c r="J60" s="157" t="s">
        <v>2961</v>
      </c>
      <c r="K60" s="73"/>
    </row>
    <row r="61" ht="22.5" customHeight="1">
      <c r="A61" s="154"/>
      <c r="B61" s="187" t="s">
        <v>2930</v>
      </c>
      <c r="C61" s="155" t="s">
        <v>286</v>
      </c>
      <c r="D61" s="156" t="s">
        <v>2962</v>
      </c>
      <c r="E61" s="157" t="s">
        <v>2474</v>
      </c>
      <c r="F61" s="157" t="s">
        <v>2474</v>
      </c>
      <c r="G61" s="157" t="s">
        <v>2474</v>
      </c>
      <c r="H61" s="157" t="s">
        <v>2474</v>
      </c>
      <c r="I61" s="157" t="s">
        <v>2474</v>
      </c>
      <c r="J61" s="157" t="s">
        <v>2474</v>
      </c>
      <c r="K61" s="73"/>
    </row>
    <row r="62" ht="22.5" customHeight="1">
      <c r="A62" s="154"/>
      <c r="B62" s="187" t="s">
        <v>2930</v>
      </c>
      <c r="C62" s="155"/>
      <c r="D62" s="156" t="s">
        <v>2963</v>
      </c>
      <c r="E62" s="157" t="s">
        <v>2474</v>
      </c>
      <c r="F62" s="157" t="s">
        <v>2474</v>
      </c>
      <c r="G62" s="157" t="s">
        <v>2474</v>
      </c>
      <c r="H62" s="157" t="s">
        <v>2474</v>
      </c>
      <c r="I62" s="157" t="s">
        <v>2474</v>
      </c>
      <c r="J62" s="157" t="s">
        <v>2474</v>
      </c>
      <c r="K62" s="73"/>
    </row>
    <row r="63" ht="22.5" customHeight="1">
      <c r="A63" s="154"/>
      <c r="B63" s="187" t="s">
        <v>2909</v>
      </c>
      <c r="C63" s="155"/>
      <c r="D63" s="156" t="s">
        <v>2964</v>
      </c>
      <c r="E63" s="157" t="s">
        <v>2474</v>
      </c>
      <c r="F63" s="157" t="s">
        <v>2474</v>
      </c>
      <c r="G63" s="157" t="s">
        <v>2474</v>
      </c>
      <c r="H63" s="157" t="s">
        <v>2474</v>
      </c>
      <c r="I63" s="157" t="s">
        <v>2474</v>
      </c>
      <c r="J63" s="157" t="s">
        <v>2474</v>
      </c>
      <c r="K63" s="73"/>
    </row>
    <row r="64" ht="22.5" customHeight="1">
      <c r="A64" s="154"/>
      <c r="B64" s="187" t="s">
        <v>2930</v>
      </c>
      <c r="C64" s="155"/>
      <c r="D64" s="156" t="s">
        <v>2965</v>
      </c>
      <c r="E64" s="157" t="s">
        <v>2474</v>
      </c>
      <c r="F64" s="157" t="s">
        <v>2474</v>
      </c>
      <c r="G64" s="157" t="s">
        <v>2474</v>
      </c>
      <c r="H64" s="157" t="s">
        <v>2474</v>
      </c>
      <c r="I64" s="157" t="s">
        <v>2474</v>
      </c>
      <c r="J64" s="157" t="s">
        <v>2474</v>
      </c>
      <c r="K64" s="73"/>
    </row>
    <row r="65" ht="22.5" customHeight="1">
      <c r="A65" s="154"/>
      <c r="B65" s="187" t="s">
        <v>2930</v>
      </c>
      <c r="C65" s="155" t="s">
        <v>1023</v>
      </c>
      <c r="D65" s="156" t="s">
        <v>2966</v>
      </c>
      <c r="E65" s="157" t="s">
        <v>2474</v>
      </c>
      <c r="F65" s="157" t="s">
        <v>2474</v>
      </c>
      <c r="G65" s="157" t="s">
        <v>2474</v>
      </c>
      <c r="H65" s="157" t="s">
        <v>2474</v>
      </c>
      <c r="I65" s="157" t="s">
        <v>2474</v>
      </c>
      <c r="J65" s="157" t="s">
        <v>2474</v>
      </c>
      <c r="K65" s="73"/>
    </row>
    <row r="66" ht="22.5" customHeight="1">
      <c r="A66" s="154"/>
      <c r="B66" s="187" t="s">
        <v>2930</v>
      </c>
      <c r="C66" s="155" t="s">
        <v>1087</v>
      </c>
      <c r="D66" s="156" t="s">
        <v>2967</v>
      </c>
      <c r="E66" s="157" t="s">
        <v>2474</v>
      </c>
      <c r="F66" s="157" t="s">
        <v>2474</v>
      </c>
      <c r="G66" s="157" t="s">
        <v>2474</v>
      </c>
      <c r="H66" s="157" t="s">
        <v>2474</v>
      </c>
      <c r="I66" s="157" t="s">
        <v>2474</v>
      </c>
      <c r="J66" s="157" t="s">
        <v>2474</v>
      </c>
      <c r="K66" s="73"/>
    </row>
    <row r="67" ht="22.5" customHeight="1">
      <c r="A67" s="154"/>
      <c r="B67" s="187" t="s">
        <v>2930</v>
      </c>
      <c r="C67" s="155"/>
      <c r="D67" s="156" t="s">
        <v>2968</v>
      </c>
      <c r="E67" s="157" t="s">
        <v>2474</v>
      </c>
      <c r="F67" s="157" t="s">
        <v>2474</v>
      </c>
      <c r="G67" s="157" t="s">
        <v>2474</v>
      </c>
      <c r="H67" s="157" t="s">
        <v>2474</v>
      </c>
      <c r="I67" s="157" t="s">
        <v>2474</v>
      </c>
      <c r="J67" s="157" t="s">
        <v>2474</v>
      </c>
      <c r="K67" s="73"/>
    </row>
    <row r="68" ht="22.5" customHeight="1">
      <c r="A68" s="154"/>
      <c r="B68" s="187" t="s">
        <v>2930</v>
      </c>
      <c r="C68" s="155" t="s">
        <v>1608</v>
      </c>
      <c r="D68" s="156" t="s">
        <v>2969</v>
      </c>
      <c r="E68" s="157" t="s">
        <v>2474</v>
      </c>
      <c r="F68" s="157" t="s">
        <v>2474</v>
      </c>
      <c r="G68" s="157" t="s">
        <v>2474</v>
      </c>
      <c r="H68" s="157" t="s">
        <v>2474</v>
      </c>
      <c r="I68" s="157" t="s">
        <v>2474</v>
      </c>
      <c r="J68" s="157" t="s">
        <v>2474</v>
      </c>
      <c r="K68" s="73"/>
    </row>
    <row r="69" ht="22.5" customHeight="1">
      <c r="A69" s="154"/>
      <c r="B69" s="187" t="s">
        <v>2930</v>
      </c>
      <c r="C69" s="155"/>
      <c r="D69" s="156" t="s">
        <v>2970</v>
      </c>
      <c r="E69" s="157" t="s">
        <v>2474</v>
      </c>
      <c r="F69" s="157" t="s">
        <v>2474</v>
      </c>
      <c r="G69" s="157" t="s">
        <v>2474</v>
      </c>
      <c r="H69" s="157" t="s">
        <v>2474</v>
      </c>
      <c r="I69" s="157" t="s">
        <v>2474</v>
      </c>
      <c r="J69" s="157" t="s">
        <v>2474</v>
      </c>
      <c r="K69" s="73"/>
    </row>
    <row r="70" ht="22.5" customHeight="1">
      <c r="A70" s="154"/>
      <c r="B70" s="187" t="s">
        <v>2930</v>
      </c>
      <c r="C70" s="155" t="s">
        <v>1630</v>
      </c>
      <c r="D70" s="156" t="s">
        <v>2971</v>
      </c>
      <c r="E70" s="157" t="s">
        <v>2474</v>
      </c>
      <c r="F70" s="157" t="s">
        <v>2474</v>
      </c>
      <c r="G70" s="157" t="s">
        <v>2474</v>
      </c>
      <c r="H70" s="157" t="s">
        <v>2474</v>
      </c>
      <c r="I70" s="157" t="s">
        <v>2474</v>
      </c>
      <c r="J70" s="157" t="s">
        <v>2474</v>
      </c>
      <c r="K70" s="73"/>
    </row>
    <row r="71" ht="22.5" customHeight="1">
      <c r="A71" s="154"/>
      <c r="B71" s="187" t="s">
        <v>2930</v>
      </c>
      <c r="C71" s="155" t="s">
        <v>1749</v>
      </c>
      <c r="D71" s="156" t="s">
        <v>2972</v>
      </c>
      <c r="E71" s="157" t="s">
        <v>2973</v>
      </c>
      <c r="F71" s="157" t="s">
        <v>2974</v>
      </c>
      <c r="G71" s="157" t="s">
        <v>2975</v>
      </c>
      <c r="H71" s="157" t="s">
        <v>2976</v>
      </c>
      <c r="I71" s="157" t="s">
        <v>2977</v>
      </c>
      <c r="J71" s="157" t="s">
        <v>2978</v>
      </c>
      <c r="K71" s="73"/>
    </row>
    <row r="72" ht="22.5" customHeight="1">
      <c r="A72" s="157" t="s">
        <v>960</v>
      </c>
      <c r="B72" s="187" t="s">
        <v>2862</v>
      </c>
      <c r="C72" s="155"/>
      <c r="D72" s="156" t="s">
        <v>2979</v>
      </c>
      <c r="E72" s="157" t="s">
        <v>2687</v>
      </c>
      <c r="F72" s="157" t="s">
        <v>2481</v>
      </c>
      <c r="G72" s="157" t="s">
        <v>2481</v>
      </c>
      <c r="H72" s="157" t="s">
        <v>2687</v>
      </c>
      <c r="I72" s="157" t="s">
        <v>2481</v>
      </c>
      <c r="J72" s="157" t="s">
        <v>2481</v>
      </c>
      <c r="K72" s="73"/>
    </row>
    <row r="73" ht="22.5" customHeight="1">
      <c r="A73" s="154"/>
      <c r="B73" s="187" t="s">
        <v>2898</v>
      </c>
      <c r="C73" s="155" t="s">
        <v>1635</v>
      </c>
      <c r="D73" s="156" t="s">
        <v>2980</v>
      </c>
      <c r="E73" s="157" t="s">
        <v>2480</v>
      </c>
      <c r="F73" s="157" t="s">
        <v>2480</v>
      </c>
      <c r="G73" s="157" t="s">
        <v>2474</v>
      </c>
      <c r="H73" s="157" t="s">
        <v>2480</v>
      </c>
      <c r="I73" s="157" t="s">
        <v>2480</v>
      </c>
      <c r="J73" s="157" t="s">
        <v>2474</v>
      </c>
      <c r="K73" s="73"/>
    </row>
    <row r="74" ht="22.5" customHeight="1">
      <c r="A74" s="154"/>
      <c r="B74" s="187" t="s">
        <v>2909</v>
      </c>
      <c r="C74" s="155"/>
      <c r="D74" s="156" t="s">
        <v>2981</v>
      </c>
      <c r="E74" s="157" t="s">
        <v>2480</v>
      </c>
      <c r="F74" s="157" t="s">
        <v>2480</v>
      </c>
      <c r="G74" s="157" t="s">
        <v>2480</v>
      </c>
      <c r="H74" s="157" t="s">
        <v>2474</v>
      </c>
      <c r="I74" s="157" t="s">
        <v>2474</v>
      </c>
      <c r="J74" s="157" t="s">
        <v>2474</v>
      </c>
      <c r="K74" s="73"/>
    </row>
    <row r="75" ht="22.5" customHeight="1">
      <c r="A75" s="154"/>
      <c r="B75" s="187" t="s">
        <v>2909</v>
      </c>
      <c r="C75" s="155" t="s">
        <v>171</v>
      </c>
      <c r="D75" s="156" t="s">
        <v>2982</v>
      </c>
      <c r="E75" s="157" t="s">
        <v>2480</v>
      </c>
      <c r="F75" s="157" t="s">
        <v>2480</v>
      </c>
      <c r="G75" s="157" t="s">
        <v>2480</v>
      </c>
      <c r="H75" s="157" t="s">
        <v>2474</v>
      </c>
      <c r="I75" s="157" t="s">
        <v>2474</v>
      </c>
      <c r="J75" s="157" t="s">
        <v>2474</v>
      </c>
      <c r="K75" s="73"/>
    </row>
    <row r="76" ht="22.5" customHeight="1">
      <c r="A76" s="168"/>
      <c r="B76" s="188" t="s">
        <v>2862</v>
      </c>
      <c r="C76" s="159" t="s">
        <v>1270</v>
      </c>
      <c r="D76" s="170" t="s">
        <v>2983</v>
      </c>
      <c r="E76" s="171" t="s">
        <v>2666</v>
      </c>
      <c r="F76" s="172" t="s">
        <v>2481</v>
      </c>
      <c r="G76" s="172" t="s">
        <v>2481</v>
      </c>
      <c r="H76" s="171" t="s">
        <v>2666</v>
      </c>
      <c r="I76" s="172" t="s">
        <v>2481</v>
      </c>
      <c r="J76" s="173" t="s">
        <v>2481</v>
      </c>
      <c r="K76" s="73"/>
    </row>
    <row r="77" ht="22.5" customHeight="1">
      <c r="A77" s="174"/>
      <c r="B77" s="189" t="s">
        <v>2898</v>
      </c>
      <c r="C77" s="159" t="s">
        <v>1015</v>
      </c>
      <c r="D77" s="175" t="s">
        <v>2984</v>
      </c>
      <c r="E77" s="176" t="s">
        <v>2666</v>
      </c>
      <c r="F77" s="177" t="s">
        <v>2481</v>
      </c>
      <c r="G77" s="177" t="s">
        <v>2481</v>
      </c>
      <c r="H77" s="176" t="s">
        <v>2666</v>
      </c>
      <c r="I77" s="177" t="s">
        <v>2481</v>
      </c>
      <c r="J77" s="178" t="s">
        <v>2481</v>
      </c>
      <c r="K77" s="73"/>
    </row>
    <row r="78" ht="22.5" customHeight="1">
      <c r="A78" s="168"/>
      <c r="B78" s="188" t="s">
        <v>2854</v>
      </c>
      <c r="C78" s="159" t="s">
        <v>1283</v>
      </c>
      <c r="D78" s="170" t="s">
        <v>2985</v>
      </c>
      <c r="E78" s="171" t="s">
        <v>2666</v>
      </c>
      <c r="F78" s="172" t="s">
        <v>2481</v>
      </c>
      <c r="G78" s="172" t="s">
        <v>2481</v>
      </c>
      <c r="H78" s="171" t="s">
        <v>2666</v>
      </c>
      <c r="I78" s="172" t="s">
        <v>2481</v>
      </c>
      <c r="J78" s="173" t="s">
        <v>2481</v>
      </c>
      <c r="K78" s="73"/>
    </row>
    <row r="79" ht="22.5" customHeight="1">
      <c r="A79" s="174"/>
      <c r="B79" s="189" t="s">
        <v>2898</v>
      </c>
      <c r="C79" s="159" t="s">
        <v>1018</v>
      </c>
      <c r="D79" s="175" t="s">
        <v>2986</v>
      </c>
      <c r="E79" s="176" t="s">
        <v>2666</v>
      </c>
      <c r="F79" s="177" t="s">
        <v>2481</v>
      </c>
      <c r="G79" s="177" t="s">
        <v>2481</v>
      </c>
      <c r="H79" s="176" t="s">
        <v>2666</v>
      </c>
      <c r="I79" s="177" t="s">
        <v>2481</v>
      </c>
      <c r="J79" s="178" t="s">
        <v>2481</v>
      </c>
      <c r="K79" s="73"/>
    </row>
    <row r="80" ht="22.5" customHeight="1">
      <c r="A80" s="168"/>
      <c r="B80" s="188" t="s">
        <v>2909</v>
      </c>
      <c r="C80" s="159" t="s">
        <v>1063</v>
      </c>
      <c r="D80" s="170" t="s">
        <v>2987</v>
      </c>
      <c r="E80" s="171" t="s">
        <v>2666</v>
      </c>
      <c r="F80" s="172" t="s">
        <v>2481</v>
      </c>
      <c r="G80" s="172" t="s">
        <v>2481</v>
      </c>
      <c r="H80" s="171" t="s">
        <v>2666</v>
      </c>
      <c r="I80" s="172" t="s">
        <v>2481</v>
      </c>
      <c r="J80" s="173" t="s">
        <v>2481</v>
      </c>
      <c r="K80" s="73"/>
    </row>
    <row r="81" ht="22.5" customHeight="1">
      <c r="A81" s="179" t="s">
        <v>960</v>
      </c>
      <c r="B81" s="189" t="s">
        <v>2862</v>
      </c>
      <c r="C81" s="180"/>
      <c r="D81" s="175" t="s">
        <v>2988</v>
      </c>
      <c r="E81" s="176" t="s">
        <v>2666</v>
      </c>
      <c r="F81" s="177" t="s">
        <v>2481</v>
      </c>
      <c r="G81" s="177" t="s">
        <v>2481</v>
      </c>
      <c r="H81" s="176" t="s">
        <v>2666</v>
      </c>
      <c r="I81" s="177" t="s">
        <v>2481</v>
      </c>
      <c r="J81" s="178" t="s">
        <v>2481</v>
      </c>
      <c r="K81" s="73"/>
    </row>
    <row r="82" ht="22.5" customHeight="1">
      <c r="A82" s="168"/>
      <c r="B82" s="188" t="s">
        <v>2854</v>
      </c>
      <c r="C82" s="159" t="s">
        <v>1258</v>
      </c>
      <c r="D82" s="170" t="s">
        <v>2989</v>
      </c>
      <c r="E82" s="171" t="s">
        <v>2666</v>
      </c>
      <c r="F82" s="172" t="s">
        <v>2481</v>
      </c>
      <c r="G82" s="172" t="s">
        <v>2481</v>
      </c>
      <c r="H82" s="171" t="s">
        <v>2666</v>
      </c>
      <c r="I82" s="172" t="s">
        <v>2481</v>
      </c>
      <c r="J82" s="173" t="s">
        <v>2481</v>
      </c>
      <c r="K82" s="73"/>
    </row>
    <row r="83" ht="22.5" customHeight="1">
      <c r="A83" s="174"/>
      <c r="B83" s="189" t="s">
        <v>2898</v>
      </c>
      <c r="C83" s="159" t="s">
        <v>1013</v>
      </c>
      <c r="D83" s="175" t="s">
        <v>2990</v>
      </c>
      <c r="E83" s="176" t="s">
        <v>2666</v>
      </c>
      <c r="F83" s="177" t="s">
        <v>2481</v>
      </c>
      <c r="G83" s="177" t="s">
        <v>2481</v>
      </c>
      <c r="H83" s="176" t="s">
        <v>2666</v>
      </c>
      <c r="I83" s="177" t="s">
        <v>2481</v>
      </c>
      <c r="J83" s="178" t="s">
        <v>2481</v>
      </c>
      <c r="K83" s="73"/>
    </row>
    <row r="84" ht="22.5" customHeight="1">
      <c r="A84" s="168"/>
      <c r="B84" s="189" t="s">
        <v>2898</v>
      </c>
      <c r="C84" s="159" t="s">
        <v>1020</v>
      </c>
      <c r="D84" s="170" t="s">
        <v>2991</v>
      </c>
      <c r="E84" s="171" t="s">
        <v>2666</v>
      </c>
      <c r="F84" s="172" t="s">
        <v>2481</v>
      </c>
      <c r="G84" s="172" t="s">
        <v>2481</v>
      </c>
      <c r="H84" s="171" t="s">
        <v>2666</v>
      </c>
      <c r="I84" s="172" t="s">
        <v>2481</v>
      </c>
      <c r="J84" s="173" t="s">
        <v>2481</v>
      </c>
      <c r="K84" s="73"/>
    </row>
    <row r="85" ht="22.5" customHeight="1">
      <c r="A85" s="174"/>
      <c r="B85" s="189" t="s">
        <v>2898</v>
      </c>
      <c r="C85" s="159" t="s">
        <v>1007</v>
      </c>
      <c r="D85" s="175" t="s">
        <v>2992</v>
      </c>
      <c r="E85" s="176" t="s">
        <v>2666</v>
      </c>
      <c r="F85" s="177" t="s">
        <v>2481</v>
      </c>
      <c r="G85" s="177" t="s">
        <v>2481</v>
      </c>
      <c r="H85" s="176" t="s">
        <v>2666</v>
      </c>
      <c r="I85" s="177" t="s">
        <v>2481</v>
      </c>
      <c r="J85" s="178" t="s">
        <v>2481</v>
      </c>
      <c r="K85" s="73"/>
    </row>
    <row r="86" ht="22.5" customHeight="1">
      <c r="A86" s="168"/>
      <c r="B86" s="189" t="s">
        <v>2898</v>
      </c>
      <c r="C86" s="159" t="s">
        <v>1009</v>
      </c>
      <c r="D86" s="170" t="s">
        <v>2993</v>
      </c>
      <c r="E86" s="171" t="s">
        <v>2666</v>
      </c>
      <c r="F86" s="172" t="s">
        <v>2481</v>
      </c>
      <c r="G86" s="172" t="s">
        <v>2481</v>
      </c>
      <c r="H86" s="171" t="s">
        <v>2666</v>
      </c>
      <c r="I86" s="172" t="s">
        <v>2481</v>
      </c>
      <c r="J86" s="173" t="s">
        <v>2481</v>
      </c>
      <c r="K86" s="73"/>
    </row>
    <row r="87" ht="22.5" customHeight="1">
      <c r="A87" s="174"/>
      <c r="B87" s="189" t="s">
        <v>2898</v>
      </c>
      <c r="C87" s="159" t="s">
        <v>1107</v>
      </c>
      <c r="D87" s="175" t="s">
        <v>2994</v>
      </c>
      <c r="E87" s="176" t="s">
        <v>2666</v>
      </c>
      <c r="F87" s="177" t="s">
        <v>2481</v>
      </c>
      <c r="G87" s="177" t="s">
        <v>2481</v>
      </c>
      <c r="H87" s="176" t="s">
        <v>2666</v>
      </c>
      <c r="I87" s="177" t="s">
        <v>2481</v>
      </c>
      <c r="J87" s="178" t="s">
        <v>2481</v>
      </c>
      <c r="K87" s="73"/>
    </row>
    <row r="88" ht="22.5" customHeight="1">
      <c r="A88" s="168"/>
      <c r="B88" s="188" t="s">
        <v>2854</v>
      </c>
      <c r="C88" s="159" t="s">
        <v>1260</v>
      </c>
      <c r="D88" s="170" t="s">
        <v>2995</v>
      </c>
      <c r="E88" s="171" t="s">
        <v>2666</v>
      </c>
      <c r="F88" s="172" t="s">
        <v>2481</v>
      </c>
      <c r="G88" s="172" t="s">
        <v>2481</v>
      </c>
      <c r="H88" s="171" t="s">
        <v>2666</v>
      </c>
      <c r="I88" s="172" t="s">
        <v>2481</v>
      </c>
      <c r="J88" s="173" t="s">
        <v>2481</v>
      </c>
      <c r="K88" s="73"/>
    </row>
    <row r="89" ht="22.5" customHeight="1">
      <c r="A89" s="174"/>
      <c r="B89" s="189" t="s">
        <v>2898</v>
      </c>
      <c r="C89" s="159" t="s">
        <v>1105</v>
      </c>
      <c r="D89" s="175" t="s">
        <v>2996</v>
      </c>
      <c r="E89" s="176" t="s">
        <v>2666</v>
      </c>
      <c r="F89" s="177" t="s">
        <v>2481</v>
      </c>
      <c r="G89" s="177" t="s">
        <v>2481</v>
      </c>
      <c r="H89" s="176" t="s">
        <v>2666</v>
      </c>
      <c r="I89" s="177" t="s">
        <v>2481</v>
      </c>
      <c r="J89" s="178" t="s">
        <v>2481</v>
      </c>
      <c r="K89" s="73"/>
    </row>
    <row r="90" ht="22.5" customHeight="1">
      <c r="A90" s="168"/>
      <c r="B90" s="188" t="s">
        <v>2854</v>
      </c>
      <c r="C90" s="159" t="s">
        <v>1277</v>
      </c>
      <c r="D90" s="170" t="s">
        <v>2997</v>
      </c>
      <c r="E90" s="171" t="s">
        <v>2666</v>
      </c>
      <c r="F90" s="172" t="s">
        <v>2481</v>
      </c>
      <c r="G90" s="172" t="s">
        <v>2481</v>
      </c>
      <c r="H90" s="171" t="s">
        <v>2666</v>
      </c>
      <c r="I90" s="172" t="s">
        <v>2481</v>
      </c>
      <c r="J90" s="173" t="s">
        <v>2481</v>
      </c>
      <c r="K90" s="73"/>
    </row>
    <row r="91" ht="22.5" customHeight="1">
      <c r="A91" s="174"/>
      <c r="B91" s="188" t="s">
        <v>2854</v>
      </c>
      <c r="C91" s="159" t="s">
        <v>1279</v>
      </c>
      <c r="D91" s="175" t="s">
        <v>2998</v>
      </c>
      <c r="E91" s="176" t="s">
        <v>2666</v>
      </c>
      <c r="F91" s="177" t="s">
        <v>2481</v>
      </c>
      <c r="G91" s="177" t="s">
        <v>2481</v>
      </c>
      <c r="H91" s="176" t="s">
        <v>2666</v>
      </c>
      <c r="I91" s="177" t="s">
        <v>2481</v>
      </c>
      <c r="J91" s="178" t="s">
        <v>2481</v>
      </c>
      <c r="K91" s="73"/>
    </row>
    <row r="92" ht="22.5" customHeight="1">
      <c r="A92" s="168"/>
      <c r="B92" s="188" t="s">
        <v>2854</v>
      </c>
      <c r="C92" s="159" t="s">
        <v>1275</v>
      </c>
      <c r="D92" s="170" t="s">
        <v>2999</v>
      </c>
      <c r="E92" s="171" t="s">
        <v>2666</v>
      </c>
      <c r="F92" s="172" t="s">
        <v>2481</v>
      </c>
      <c r="G92" s="172" t="s">
        <v>2481</v>
      </c>
      <c r="H92" s="171" t="s">
        <v>2666</v>
      </c>
      <c r="I92" s="172" t="s">
        <v>2481</v>
      </c>
      <c r="J92" s="173" t="s">
        <v>2481</v>
      </c>
      <c r="K92" s="73"/>
    </row>
    <row r="93" ht="22.5" customHeight="1">
      <c r="A93" s="174"/>
      <c r="B93" s="189" t="s">
        <v>2898</v>
      </c>
      <c r="C93" s="159" t="s">
        <v>1262</v>
      </c>
      <c r="D93" s="175" t="s">
        <v>3000</v>
      </c>
      <c r="E93" s="176" t="s">
        <v>2666</v>
      </c>
      <c r="F93" s="177" t="s">
        <v>2481</v>
      </c>
      <c r="G93" s="177" t="s">
        <v>2481</v>
      </c>
      <c r="H93" s="176" t="s">
        <v>2666</v>
      </c>
      <c r="I93" s="177" t="s">
        <v>2481</v>
      </c>
      <c r="J93" s="178" t="s">
        <v>2481</v>
      </c>
      <c r="K93" s="73"/>
    </row>
    <row r="94" ht="22.5" customHeight="1">
      <c r="A94" s="168"/>
      <c r="B94" s="188" t="s">
        <v>2862</v>
      </c>
      <c r="C94" s="159" t="s">
        <v>1103</v>
      </c>
      <c r="D94" s="170" t="s">
        <v>3001</v>
      </c>
      <c r="E94" s="171" t="s">
        <v>2666</v>
      </c>
      <c r="F94" s="172" t="s">
        <v>2481</v>
      </c>
      <c r="G94" s="172" t="s">
        <v>2481</v>
      </c>
      <c r="H94" s="171" t="s">
        <v>2666</v>
      </c>
      <c r="I94" s="172" t="s">
        <v>2481</v>
      </c>
      <c r="J94" s="173" t="s">
        <v>2481</v>
      </c>
      <c r="K94" s="73"/>
    </row>
    <row r="95" ht="22.5" customHeight="1">
      <c r="A95" s="174"/>
      <c r="B95" s="189" t="s">
        <v>2898</v>
      </c>
      <c r="C95" s="180"/>
      <c r="D95" s="175" t="s">
        <v>3002</v>
      </c>
      <c r="E95" s="176" t="s">
        <v>2666</v>
      </c>
      <c r="F95" s="176" t="s">
        <v>2666</v>
      </c>
      <c r="G95" s="177" t="s">
        <v>3003</v>
      </c>
      <c r="H95" s="176" t="s">
        <v>2666</v>
      </c>
      <c r="I95" s="176" t="s">
        <v>2666</v>
      </c>
      <c r="J95" s="178" t="s">
        <v>3004</v>
      </c>
      <c r="K95" s="73"/>
    </row>
    <row r="96" ht="22.5" customHeight="1">
      <c r="A96" s="181" t="s">
        <v>753</v>
      </c>
      <c r="B96" s="188" t="s">
        <v>2898</v>
      </c>
      <c r="C96" s="180"/>
      <c r="D96" s="170" t="s">
        <v>3005</v>
      </c>
      <c r="E96" s="171" t="s">
        <v>2666</v>
      </c>
      <c r="F96" s="171" t="s">
        <v>2666</v>
      </c>
      <c r="G96" s="172" t="s">
        <v>2481</v>
      </c>
      <c r="H96" s="171" t="s">
        <v>2666</v>
      </c>
      <c r="I96" s="171" t="s">
        <v>2666</v>
      </c>
      <c r="J96" s="173" t="s">
        <v>2481</v>
      </c>
      <c r="K96" s="73"/>
    </row>
    <row r="97" ht="22.5" customHeight="1">
      <c r="A97" s="174"/>
      <c r="B97" s="189" t="s">
        <v>2898</v>
      </c>
      <c r="C97" s="159" t="s">
        <v>1091</v>
      </c>
      <c r="D97" s="175" t="s">
        <v>3006</v>
      </c>
      <c r="E97" s="176" t="s">
        <v>2666</v>
      </c>
      <c r="F97" s="176" t="s">
        <v>2666</v>
      </c>
      <c r="G97" s="177" t="s">
        <v>2481</v>
      </c>
      <c r="H97" s="176" t="s">
        <v>2666</v>
      </c>
      <c r="I97" s="176" t="s">
        <v>2666</v>
      </c>
      <c r="J97" s="178" t="s">
        <v>2481</v>
      </c>
      <c r="K97" s="73"/>
    </row>
    <row r="98" ht="22.5" customHeight="1">
      <c r="A98" s="182"/>
      <c r="B98" s="190" t="s">
        <v>2862</v>
      </c>
      <c r="C98" s="159" t="s">
        <v>1281</v>
      </c>
      <c r="D98" s="183" t="s">
        <v>3007</v>
      </c>
      <c r="E98" s="184" t="s">
        <v>2666</v>
      </c>
      <c r="F98" s="184" t="s">
        <v>2666</v>
      </c>
      <c r="G98" s="184" t="s">
        <v>2666</v>
      </c>
      <c r="H98" s="184" t="s">
        <v>2666</v>
      </c>
      <c r="I98" s="184" t="s">
        <v>2666</v>
      </c>
      <c r="J98" s="185" t="s">
        <v>2666</v>
      </c>
      <c r="K98" s="73"/>
    </row>
  </sheetData>
  <dataValidations>
    <dataValidation type="list" allowBlank="1" sqref="B2:B98">
      <formula1>"INTERIOR,EXTERIOR,MECHANICAL,SAFETY,TECHNOLOGY"</formula1>
    </dataValidation>
  </dataValidations>
  <printOptions/>
  <pageMargins bottom="0.5" footer="0.0" header="0.0" left="0.75" right="0.75" top="0.75"/>
  <pageSetup orientation="landscape"/>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12.29"/>
    <col customWidth="1" min="2" max="2" width="19.29"/>
    <col customWidth="1" min="3" max="3" width="14.14"/>
    <col customWidth="1" min="4" max="4" width="83.71"/>
    <col customWidth="1" min="5" max="8" width="17.86"/>
    <col customWidth="1" min="9" max="9" width="69.86"/>
  </cols>
  <sheetData>
    <row r="1" ht="22.5" customHeight="1">
      <c r="A1" s="152" t="s">
        <v>2463</v>
      </c>
      <c r="B1" s="152" t="s">
        <v>2464</v>
      </c>
      <c r="C1" s="152" t="s">
        <v>2465</v>
      </c>
      <c r="D1" s="152" t="s">
        <v>977</v>
      </c>
      <c r="E1" s="152" t="s">
        <v>3008</v>
      </c>
      <c r="F1" s="152" t="s">
        <v>3009</v>
      </c>
      <c r="G1" s="152" t="s">
        <v>3010</v>
      </c>
      <c r="H1" s="152" t="s">
        <v>3011</v>
      </c>
      <c r="I1" s="153" t="s">
        <v>2472</v>
      </c>
    </row>
    <row r="2" ht="22.5" customHeight="1">
      <c r="A2" s="154"/>
      <c r="B2" s="191"/>
      <c r="C2" s="155" t="s">
        <v>1011</v>
      </c>
      <c r="D2" s="156" t="s">
        <v>3012</v>
      </c>
      <c r="E2" s="157" t="s">
        <v>3013</v>
      </c>
      <c r="F2" s="157" t="s">
        <v>3014</v>
      </c>
      <c r="G2" s="157" t="s">
        <v>3015</v>
      </c>
      <c r="H2" s="157" t="s">
        <v>3016</v>
      </c>
      <c r="I2" s="73"/>
    </row>
    <row r="3" ht="22.5" customHeight="1">
      <c r="A3" s="154"/>
      <c r="B3" s="191"/>
      <c r="C3" s="155" t="s">
        <v>1038</v>
      </c>
      <c r="D3" s="156" t="s">
        <v>3017</v>
      </c>
      <c r="E3" s="157" t="s">
        <v>2474</v>
      </c>
      <c r="F3" s="157" t="s">
        <v>2474</v>
      </c>
      <c r="G3" s="157" t="s">
        <v>2474</v>
      </c>
      <c r="H3" s="157" t="s">
        <v>2474</v>
      </c>
      <c r="I3" s="73"/>
    </row>
    <row r="4" ht="22.5" customHeight="1">
      <c r="A4" s="154"/>
      <c r="B4" s="191"/>
      <c r="C4" s="155"/>
      <c r="D4" s="156" t="s">
        <v>3018</v>
      </c>
      <c r="E4" s="157" t="s">
        <v>2474</v>
      </c>
      <c r="F4" s="157" t="s">
        <v>2474</v>
      </c>
      <c r="G4" s="157" t="s">
        <v>2474</v>
      </c>
      <c r="H4" s="157" t="s">
        <v>2474</v>
      </c>
      <c r="I4" s="73"/>
    </row>
    <row r="5" ht="22.5" customHeight="1">
      <c r="A5" s="154"/>
      <c r="B5" s="191"/>
      <c r="C5" s="155" t="s">
        <v>1089</v>
      </c>
      <c r="D5" s="156" t="s">
        <v>3019</v>
      </c>
      <c r="E5" s="157" t="s">
        <v>2474</v>
      </c>
      <c r="F5" s="157" t="s">
        <v>2474</v>
      </c>
      <c r="G5" s="157" t="s">
        <v>2474</v>
      </c>
      <c r="H5" s="157" t="s">
        <v>2474</v>
      </c>
      <c r="I5" s="73"/>
    </row>
    <row r="6" ht="22.5" customHeight="1">
      <c r="A6" s="154"/>
      <c r="B6" s="191"/>
      <c r="C6" s="155" t="s">
        <v>1272</v>
      </c>
      <c r="D6" s="156" t="s">
        <v>3020</v>
      </c>
      <c r="E6" s="157" t="s">
        <v>2474</v>
      </c>
      <c r="F6" s="157" t="s">
        <v>2480</v>
      </c>
      <c r="G6" s="157" t="s">
        <v>2474</v>
      </c>
      <c r="H6" s="157" t="s">
        <v>2480</v>
      </c>
      <c r="I6" s="73"/>
    </row>
    <row r="7" ht="22.5" customHeight="1">
      <c r="A7" s="154"/>
      <c r="B7" s="191"/>
      <c r="C7" s="155" t="s">
        <v>1246</v>
      </c>
      <c r="D7" s="156" t="s">
        <v>3021</v>
      </c>
      <c r="E7" s="157" t="s">
        <v>3022</v>
      </c>
      <c r="F7" s="157" t="s">
        <v>3023</v>
      </c>
      <c r="G7" s="157" t="s">
        <v>3024</v>
      </c>
      <c r="H7" s="157" t="s">
        <v>3025</v>
      </c>
      <c r="I7" s="73"/>
    </row>
    <row r="8" ht="22.5" customHeight="1">
      <c r="A8" s="154"/>
      <c r="B8" s="191"/>
      <c r="C8" s="155" t="s">
        <v>1250</v>
      </c>
      <c r="D8" s="156" t="s">
        <v>3026</v>
      </c>
      <c r="E8" s="157" t="s">
        <v>2474</v>
      </c>
      <c r="F8" s="157" t="s">
        <v>2474</v>
      </c>
      <c r="G8" s="157" t="s">
        <v>2474</v>
      </c>
      <c r="H8" s="157" t="s">
        <v>2474</v>
      </c>
      <c r="I8" s="73"/>
    </row>
    <row r="9" ht="22.5" customHeight="1">
      <c r="A9" s="154"/>
      <c r="B9" s="191"/>
      <c r="C9" s="155"/>
      <c r="D9" s="156" t="s">
        <v>3027</v>
      </c>
      <c r="E9" s="157" t="s">
        <v>2474</v>
      </c>
      <c r="F9" s="157" t="s">
        <v>2474</v>
      </c>
      <c r="G9" s="157" t="s">
        <v>2474</v>
      </c>
      <c r="H9" s="157" t="s">
        <v>2474</v>
      </c>
      <c r="I9" s="73"/>
    </row>
    <row r="10" ht="22.5" customHeight="1">
      <c r="A10" s="154"/>
      <c r="B10" s="191"/>
      <c r="C10" s="155"/>
      <c r="D10" s="156" t="s">
        <v>3028</v>
      </c>
      <c r="E10" s="157" t="s">
        <v>2474</v>
      </c>
      <c r="F10" s="157" t="s">
        <v>2474</v>
      </c>
      <c r="G10" s="157" t="s">
        <v>2474</v>
      </c>
      <c r="H10" s="157" t="s">
        <v>2474</v>
      </c>
      <c r="I10" s="73"/>
    </row>
    <row r="11" ht="22.5" customHeight="1">
      <c r="A11" s="154"/>
      <c r="B11" s="191"/>
      <c r="C11" s="155" t="s">
        <v>1517</v>
      </c>
      <c r="D11" s="156" t="s">
        <v>3029</v>
      </c>
      <c r="E11" s="157" t="s">
        <v>2474</v>
      </c>
      <c r="F11" s="157" t="s">
        <v>2474</v>
      </c>
      <c r="G11" s="157" t="s">
        <v>2474</v>
      </c>
      <c r="H11" s="157" t="s">
        <v>2474</v>
      </c>
      <c r="I11" s="73"/>
    </row>
    <row r="12" ht="22.5" customHeight="1">
      <c r="A12" s="154"/>
      <c r="B12" s="191"/>
      <c r="C12" s="155"/>
      <c r="D12" s="156" t="s">
        <v>3030</v>
      </c>
      <c r="E12" s="157" t="s">
        <v>2474</v>
      </c>
      <c r="F12" s="157" t="s">
        <v>2474</v>
      </c>
      <c r="G12" s="157" t="s">
        <v>2474</v>
      </c>
      <c r="H12" s="157" t="s">
        <v>2474</v>
      </c>
      <c r="I12" s="73"/>
    </row>
    <row r="13" ht="22.5" customHeight="1">
      <c r="A13" s="154"/>
      <c r="B13" s="191"/>
      <c r="C13" s="155"/>
      <c r="D13" s="156" t="s">
        <v>3031</v>
      </c>
      <c r="E13" s="157" t="s">
        <v>2474</v>
      </c>
      <c r="F13" s="157" t="s">
        <v>2474</v>
      </c>
      <c r="G13" s="157" t="s">
        <v>2474</v>
      </c>
      <c r="H13" s="157" t="s">
        <v>2474</v>
      </c>
      <c r="I13" s="73"/>
    </row>
    <row r="14" ht="22.5" customHeight="1">
      <c r="A14" s="154"/>
      <c r="B14" s="191"/>
      <c r="C14" s="155" t="s">
        <v>1256</v>
      </c>
      <c r="D14" s="156" t="s">
        <v>3032</v>
      </c>
      <c r="E14" s="157" t="s">
        <v>2474</v>
      </c>
      <c r="F14" s="157" t="s">
        <v>2474</v>
      </c>
      <c r="G14" s="157" t="s">
        <v>2474</v>
      </c>
      <c r="H14" s="157" t="s">
        <v>2474</v>
      </c>
      <c r="I14" s="73"/>
    </row>
    <row r="15" ht="22.5" customHeight="1">
      <c r="A15" s="154"/>
      <c r="B15" s="191"/>
      <c r="C15" s="155"/>
      <c r="D15" s="156" t="s">
        <v>3033</v>
      </c>
      <c r="E15" s="157" t="s">
        <v>2474</v>
      </c>
      <c r="F15" s="157" t="s">
        <v>2474</v>
      </c>
      <c r="G15" s="157" t="s">
        <v>2480</v>
      </c>
      <c r="H15" s="157" t="s">
        <v>2480</v>
      </c>
      <c r="I15" s="73"/>
    </row>
    <row r="16" ht="22.5" customHeight="1">
      <c r="A16" s="154"/>
      <c r="B16" s="191"/>
      <c r="C16" s="155" t="s">
        <v>1281</v>
      </c>
      <c r="D16" s="156" t="s">
        <v>3034</v>
      </c>
      <c r="E16" s="157" t="s">
        <v>2474</v>
      </c>
      <c r="F16" s="157" t="s">
        <v>2474</v>
      </c>
      <c r="G16" s="157" t="s">
        <v>2474</v>
      </c>
      <c r="H16" s="157" t="s">
        <v>2474</v>
      </c>
      <c r="I16" s="73"/>
    </row>
    <row r="17" ht="22.5" customHeight="1">
      <c r="A17" s="154"/>
      <c r="B17" s="191"/>
      <c r="C17" s="155"/>
      <c r="D17" s="156" t="s">
        <v>3035</v>
      </c>
      <c r="E17" s="157" t="s">
        <v>2474</v>
      </c>
      <c r="F17" s="157" t="s">
        <v>2474</v>
      </c>
      <c r="G17" s="157" t="s">
        <v>2474</v>
      </c>
      <c r="H17" s="157" t="s">
        <v>2474</v>
      </c>
      <c r="I17" s="73"/>
    </row>
    <row r="18" ht="22.5" customHeight="1">
      <c r="A18" s="154"/>
      <c r="B18" s="191"/>
      <c r="C18" s="155" t="s">
        <v>1264</v>
      </c>
      <c r="D18" s="156" t="s">
        <v>3036</v>
      </c>
      <c r="E18" s="157" t="s">
        <v>2474</v>
      </c>
      <c r="F18" s="157" t="s">
        <v>2474</v>
      </c>
      <c r="G18" s="157" t="s">
        <v>2474</v>
      </c>
      <c r="H18" s="157" t="s">
        <v>2474</v>
      </c>
      <c r="I18" s="73"/>
    </row>
    <row r="19" ht="22.5" customHeight="1">
      <c r="A19" s="154"/>
      <c r="B19" s="191"/>
      <c r="C19" s="155"/>
      <c r="D19" s="156" t="s">
        <v>3037</v>
      </c>
      <c r="E19" s="157" t="s">
        <v>2474</v>
      </c>
      <c r="F19" s="157" t="s">
        <v>2474</v>
      </c>
      <c r="G19" s="157" t="s">
        <v>2474</v>
      </c>
      <c r="H19" s="157" t="s">
        <v>2474</v>
      </c>
      <c r="I19" s="73"/>
    </row>
    <row r="20" ht="22.5" customHeight="1">
      <c r="A20" s="154"/>
      <c r="B20" s="191"/>
      <c r="C20" s="155" t="s">
        <v>1052</v>
      </c>
      <c r="D20" s="156" t="s">
        <v>3038</v>
      </c>
      <c r="E20" s="157" t="s">
        <v>2474</v>
      </c>
      <c r="F20" s="157" t="s">
        <v>2474</v>
      </c>
      <c r="G20" s="157" t="s">
        <v>2474</v>
      </c>
      <c r="H20" s="157" t="s">
        <v>2474</v>
      </c>
      <c r="I20" s="73"/>
    </row>
    <row r="21" ht="22.5" customHeight="1">
      <c r="A21" s="154"/>
      <c r="B21" s="191"/>
      <c r="C21" s="155" t="s">
        <v>1254</v>
      </c>
      <c r="D21" s="156" t="s">
        <v>3039</v>
      </c>
      <c r="E21" s="157" t="s">
        <v>3040</v>
      </c>
      <c r="F21" s="157" t="s">
        <v>3041</v>
      </c>
      <c r="G21" s="157" t="s">
        <v>3042</v>
      </c>
      <c r="H21" s="157" t="s">
        <v>3043</v>
      </c>
      <c r="I21" s="73"/>
    </row>
    <row r="22" ht="22.5" customHeight="1">
      <c r="A22" s="154"/>
      <c r="B22" s="191"/>
      <c r="C22" s="155" t="s">
        <v>1296</v>
      </c>
      <c r="D22" s="156" t="s">
        <v>3044</v>
      </c>
      <c r="E22" s="157" t="s">
        <v>3045</v>
      </c>
      <c r="F22" s="157" t="s">
        <v>3046</v>
      </c>
      <c r="G22" s="157" t="s">
        <v>3047</v>
      </c>
      <c r="H22" s="157" t="s">
        <v>3048</v>
      </c>
      <c r="I22" s="73"/>
    </row>
    <row r="23" ht="22.5" customHeight="1">
      <c r="A23" s="154"/>
      <c r="B23" s="191"/>
      <c r="C23" s="155" t="s">
        <v>1248</v>
      </c>
      <c r="D23" s="156" t="s">
        <v>3049</v>
      </c>
      <c r="E23" s="157" t="s">
        <v>3050</v>
      </c>
      <c r="F23" s="157" t="s">
        <v>3051</v>
      </c>
      <c r="G23" s="157" t="s">
        <v>3052</v>
      </c>
      <c r="H23" s="157" t="s">
        <v>3053</v>
      </c>
      <c r="I23" s="73"/>
    </row>
    <row r="24" ht="22.5" customHeight="1">
      <c r="A24" s="154"/>
      <c r="B24" s="191"/>
      <c r="C24" s="155"/>
      <c r="D24" s="156" t="s">
        <v>3054</v>
      </c>
      <c r="E24" s="157" t="s">
        <v>3055</v>
      </c>
      <c r="F24" s="157" t="s">
        <v>3056</v>
      </c>
      <c r="G24" s="157" t="s">
        <v>3057</v>
      </c>
      <c r="H24" s="157" t="s">
        <v>3058</v>
      </c>
      <c r="I24" s="73"/>
    </row>
    <row r="25" ht="22.5" customHeight="1">
      <c r="A25" s="154"/>
      <c r="B25" s="191"/>
      <c r="C25" s="155" t="s">
        <v>960</v>
      </c>
      <c r="D25" s="156" t="s">
        <v>3059</v>
      </c>
      <c r="E25" s="157" t="s">
        <v>2474</v>
      </c>
      <c r="F25" s="157" t="s">
        <v>2474</v>
      </c>
      <c r="G25" s="157" t="s">
        <v>2474</v>
      </c>
      <c r="H25" s="157" t="s">
        <v>2474</v>
      </c>
      <c r="I25" s="73"/>
    </row>
    <row r="26" ht="22.5" customHeight="1">
      <c r="A26" s="154"/>
      <c r="B26" s="191"/>
      <c r="C26" s="155" t="s">
        <v>1285</v>
      </c>
      <c r="D26" s="156" t="s">
        <v>3060</v>
      </c>
      <c r="E26" s="157" t="s">
        <v>2474</v>
      </c>
      <c r="F26" s="157" t="s">
        <v>2480</v>
      </c>
      <c r="G26" s="157" t="s">
        <v>2474</v>
      </c>
      <c r="H26" s="157" t="s">
        <v>2480</v>
      </c>
      <c r="I26" s="73"/>
    </row>
    <row r="27" ht="22.5" customHeight="1">
      <c r="A27" s="154"/>
      <c r="B27" s="191"/>
      <c r="C27" s="155"/>
      <c r="D27" s="156" t="s">
        <v>3061</v>
      </c>
      <c r="E27" s="157" t="s">
        <v>2474</v>
      </c>
      <c r="F27" s="157" t="s">
        <v>2474</v>
      </c>
      <c r="G27" s="157" t="s">
        <v>2474</v>
      </c>
      <c r="H27" s="157" t="s">
        <v>2474</v>
      </c>
      <c r="I27" s="73"/>
    </row>
    <row r="28" ht="22.5" customHeight="1">
      <c r="A28" s="154"/>
      <c r="B28" s="191"/>
      <c r="C28" s="155" t="s">
        <v>999</v>
      </c>
      <c r="D28" s="156" t="s">
        <v>3062</v>
      </c>
      <c r="E28" s="157" t="s">
        <v>2474</v>
      </c>
      <c r="F28" s="157" t="s">
        <v>3063</v>
      </c>
      <c r="G28" s="157" t="s">
        <v>2474</v>
      </c>
      <c r="H28" s="157" t="s">
        <v>3064</v>
      </c>
      <c r="I28" s="73"/>
    </row>
    <row r="29" ht="22.5" customHeight="1">
      <c r="A29" s="154"/>
      <c r="B29" s="191"/>
      <c r="C29" s="155" t="s">
        <v>721</v>
      </c>
      <c r="D29" s="156" t="s">
        <v>3065</v>
      </c>
      <c r="E29" s="157" t="s">
        <v>2474</v>
      </c>
      <c r="F29" s="157" t="s">
        <v>2480</v>
      </c>
      <c r="G29" s="157" t="s">
        <v>2474</v>
      </c>
      <c r="H29" s="157" t="s">
        <v>2480</v>
      </c>
      <c r="I29" s="73"/>
    </row>
    <row r="30" ht="22.5" customHeight="1">
      <c r="A30" s="154"/>
      <c r="B30" s="191"/>
      <c r="C30" s="155" t="s">
        <v>1001</v>
      </c>
      <c r="D30" s="156" t="s">
        <v>3066</v>
      </c>
      <c r="E30" s="157" t="s">
        <v>2474</v>
      </c>
      <c r="F30" s="157" t="s">
        <v>2474</v>
      </c>
      <c r="G30" s="157" t="s">
        <v>2474</v>
      </c>
      <c r="H30" s="157" t="s">
        <v>2474</v>
      </c>
      <c r="I30" s="73"/>
    </row>
    <row r="31" ht="22.5" customHeight="1">
      <c r="A31" s="154"/>
      <c r="B31" s="191"/>
      <c r="C31" s="155" t="s">
        <v>1003</v>
      </c>
      <c r="D31" s="156" t="s">
        <v>3067</v>
      </c>
      <c r="E31" s="157" t="s">
        <v>2474</v>
      </c>
      <c r="F31" s="157" t="s">
        <v>2474</v>
      </c>
      <c r="G31" s="157" t="s">
        <v>2474</v>
      </c>
      <c r="H31" s="157" t="s">
        <v>2474</v>
      </c>
      <c r="I31" s="73"/>
    </row>
    <row r="32" ht="22.5" customHeight="1">
      <c r="A32" s="154"/>
      <c r="B32" s="191"/>
      <c r="C32" s="155" t="s">
        <v>1114</v>
      </c>
      <c r="D32" s="156" t="s">
        <v>3068</v>
      </c>
      <c r="E32" s="157" t="s">
        <v>2474</v>
      </c>
      <c r="F32" s="157" t="s">
        <v>2474</v>
      </c>
      <c r="G32" s="157" t="s">
        <v>2474</v>
      </c>
      <c r="H32" s="157" t="s">
        <v>2474</v>
      </c>
      <c r="I32" s="73"/>
    </row>
    <row r="33" ht="22.5" customHeight="1">
      <c r="A33" s="154"/>
      <c r="B33" s="191"/>
      <c r="C33" s="155" t="s">
        <v>1125</v>
      </c>
      <c r="D33" s="156" t="s">
        <v>3069</v>
      </c>
      <c r="E33" s="157" t="s">
        <v>2474</v>
      </c>
      <c r="F33" s="157" t="s">
        <v>2480</v>
      </c>
      <c r="G33" s="157" t="s">
        <v>2474</v>
      </c>
      <c r="H33" s="157" t="s">
        <v>2480</v>
      </c>
      <c r="I33" s="73"/>
    </row>
    <row r="34" ht="22.5" customHeight="1">
      <c r="A34" s="154"/>
      <c r="B34" s="191"/>
      <c r="C34" s="155" t="s">
        <v>1635</v>
      </c>
      <c r="D34" s="156" t="s">
        <v>3070</v>
      </c>
      <c r="E34" s="157" t="s">
        <v>2480</v>
      </c>
      <c r="F34" s="157" t="s">
        <v>2474</v>
      </c>
      <c r="G34" s="157" t="s">
        <v>2480</v>
      </c>
      <c r="H34" s="157" t="s">
        <v>2474</v>
      </c>
      <c r="I34" s="73"/>
    </row>
    <row r="35" ht="22.5" customHeight="1">
      <c r="A35" s="154"/>
      <c r="B35" s="191"/>
      <c r="C35" s="155"/>
      <c r="D35" s="156" t="s">
        <v>3071</v>
      </c>
      <c r="E35" s="157" t="s">
        <v>2474</v>
      </c>
      <c r="F35" s="157" t="s">
        <v>2474</v>
      </c>
      <c r="G35" s="157" t="s">
        <v>2474</v>
      </c>
      <c r="H35" s="157" t="s">
        <v>2474</v>
      </c>
      <c r="I35" s="73"/>
    </row>
    <row r="36" ht="22.5" customHeight="1">
      <c r="A36" s="154"/>
      <c r="B36" s="191"/>
      <c r="C36" s="155" t="s">
        <v>1238</v>
      </c>
      <c r="D36" s="156" t="s">
        <v>3072</v>
      </c>
      <c r="E36" s="157" t="s">
        <v>2474</v>
      </c>
      <c r="F36" s="157" t="s">
        <v>2474</v>
      </c>
      <c r="G36" s="157" t="s">
        <v>2474</v>
      </c>
      <c r="H36" s="157" t="s">
        <v>2474</v>
      </c>
      <c r="I36" s="73"/>
    </row>
    <row r="37" ht="22.5" customHeight="1">
      <c r="A37" s="154"/>
      <c r="B37" s="191"/>
      <c r="C37" s="155"/>
      <c r="D37" s="156" t="s">
        <v>3073</v>
      </c>
      <c r="E37" s="157" t="s">
        <v>2474</v>
      </c>
      <c r="F37" s="157" t="s">
        <v>2474</v>
      </c>
      <c r="G37" s="157" t="s">
        <v>2474</v>
      </c>
      <c r="H37" s="157" t="s">
        <v>2474</v>
      </c>
      <c r="I37" s="73"/>
    </row>
    <row r="38" ht="22.5" customHeight="1">
      <c r="A38" s="154"/>
      <c r="B38" s="191"/>
      <c r="C38" s="155"/>
      <c r="D38" s="156" t="s">
        <v>3074</v>
      </c>
      <c r="E38" s="157" t="s">
        <v>2474</v>
      </c>
      <c r="F38" s="157" t="s">
        <v>2474</v>
      </c>
      <c r="G38" s="157" t="s">
        <v>2474</v>
      </c>
      <c r="H38" s="157" t="s">
        <v>2474</v>
      </c>
      <c r="I38" s="73"/>
    </row>
    <row r="39" ht="22.5" customHeight="1">
      <c r="A39" s="154"/>
      <c r="B39" s="191"/>
      <c r="C39" s="155"/>
      <c r="D39" s="156" t="s">
        <v>3075</v>
      </c>
      <c r="E39" s="157" t="s">
        <v>2480</v>
      </c>
      <c r="F39" s="157" t="s">
        <v>2480</v>
      </c>
      <c r="G39" s="157" t="s">
        <v>2474</v>
      </c>
      <c r="H39" s="157" t="s">
        <v>2474</v>
      </c>
      <c r="I39" s="73"/>
    </row>
    <row r="40" ht="22.5" customHeight="1">
      <c r="A40" s="154"/>
      <c r="B40" s="191"/>
      <c r="C40" s="155" t="s">
        <v>1290</v>
      </c>
      <c r="D40" s="156" t="s">
        <v>3076</v>
      </c>
      <c r="E40" s="157" t="s">
        <v>2474</v>
      </c>
      <c r="F40" s="157" t="s">
        <v>2474</v>
      </c>
      <c r="G40" s="157" t="s">
        <v>2474</v>
      </c>
      <c r="H40" s="157" t="s">
        <v>2474</v>
      </c>
      <c r="I40" s="73"/>
    </row>
    <row r="41" ht="22.5" customHeight="1">
      <c r="A41" s="154"/>
      <c r="B41" s="191"/>
      <c r="C41" s="155"/>
      <c r="D41" s="156" t="s">
        <v>3077</v>
      </c>
      <c r="E41" s="157" t="s">
        <v>2474</v>
      </c>
      <c r="F41" s="157" t="s">
        <v>2474</v>
      </c>
      <c r="G41" s="157" t="s">
        <v>2474</v>
      </c>
      <c r="H41" s="157" t="s">
        <v>2474</v>
      </c>
      <c r="I41" s="73"/>
    </row>
    <row r="42" ht="22.5" customHeight="1">
      <c r="A42" s="154"/>
      <c r="B42" s="191"/>
      <c r="C42" s="155"/>
      <c r="D42" s="156" t="s">
        <v>3078</v>
      </c>
      <c r="E42" s="157" t="s">
        <v>2474</v>
      </c>
      <c r="F42" s="157" t="s">
        <v>2474</v>
      </c>
      <c r="G42" s="157" t="s">
        <v>2474</v>
      </c>
      <c r="H42" s="157" t="s">
        <v>2474</v>
      </c>
      <c r="I42" s="73"/>
    </row>
    <row r="43" ht="22.5" customHeight="1">
      <c r="A43" s="154"/>
      <c r="B43" s="191"/>
      <c r="C43" s="155" t="s">
        <v>235</v>
      </c>
      <c r="D43" s="156" t="s">
        <v>3079</v>
      </c>
      <c r="E43" s="157" t="s">
        <v>2474</v>
      </c>
      <c r="F43" s="157" t="s">
        <v>2474</v>
      </c>
      <c r="G43" s="157" t="s">
        <v>2474</v>
      </c>
      <c r="H43" s="157" t="s">
        <v>2474</v>
      </c>
      <c r="I43" s="73"/>
    </row>
    <row r="44" ht="22.5" customHeight="1">
      <c r="A44" s="154"/>
      <c r="B44" s="191"/>
      <c r="C44" s="155" t="s">
        <v>1158</v>
      </c>
      <c r="D44" s="156" t="s">
        <v>3080</v>
      </c>
      <c r="E44" s="157" t="s">
        <v>2474</v>
      </c>
      <c r="F44" s="157" t="s">
        <v>2474</v>
      </c>
      <c r="G44" s="157" t="s">
        <v>2474</v>
      </c>
      <c r="H44" s="157" t="s">
        <v>2474</v>
      </c>
      <c r="I44" s="73"/>
    </row>
    <row r="45" ht="22.5" customHeight="1">
      <c r="A45" s="154"/>
      <c r="B45" s="191"/>
      <c r="C45" s="155" t="s">
        <v>1101</v>
      </c>
      <c r="D45" s="156" t="s">
        <v>3081</v>
      </c>
      <c r="E45" s="157" t="s">
        <v>2474</v>
      </c>
      <c r="F45" s="157" t="s">
        <v>2480</v>
      </c>
      <c r="G45" s="157" t="s">
        <v>2474</v>
      </c>
      <c r="H45" s="157" t="s">
        <v>2480</v>
      </c>
      <c r="I45" s="73"/>
    </row>
    <row r="46" ht="22.5" customHeight="1">
      <c r="A46" s="154"/>
      <c r="B46" s="191"/>
      <c r="C46" s="155" t="s">
        <v>1442</v>
      </c>
      <c r="D46" s="156" t="s">
        <v>3082</v>
      </c>
      <c r="E46" s="157" t="s">
        <v>2480</v>
      </c>
      <c r="F46" s="157" t="s">
        <v>2480</v>
      </c>
      <c r="G46" s="157" t="s">
        <v>2474</v>
      </c>
      <c r="H46" s="157" t="s">
        <v>2474</v>
      </c>
      <c r="I46" s="73"/>
    </row>
    <row r="47" ht="22.5" customHeight="1">
      <c r="A47" s="154"/>
      <c r="B47" s="191"/>
      <c r="C47" s="155"/>
      <c r="D47" s="156" t="s">
        <v>3083</v>
      </c>
      <c r="E47" s="157" t="s">
        <v>2474</v>
      </c>
      <c r="F47" s="157" t="s">
        <v>2474</v>
      </c>
      <c r="G47" s="157" t="s">
        <v>2474</v>
      </c>
      <c r="H47" s="157" t="s">
        <v>2474</v>
      </c>
      <c r="I47" s="73"/>
    </row>
    <row r="48" ht="22.5" customHeight="1">
      <c r="A48" s="154"/>
      <c r="B48" s="191"/>
      <c r="C48" s="155" t="s">
        <v>220</v>
      </c>
      <c r="D48" s="156" t="s">
        <v>3084</v>
      </c>
      <c r="E48" s="157" t="s">
        <v>2474</v>
      </c>
      <c r="F48" s="157" t="s">
        <v>2474</v>
      </c>
      <c r="G48" s="157" t="s">
        <v>3085</v>
      </c>
      <c r="H48" s="157" t="s">
        <v>3086</v>
      </c>
      <c r="I48" s="73"/>
    </row>
    <row r="49" ht="22.5" customHeight="1">
      <c r="A49" s="154"/>
      <c r="B49" s="191"/>
      <c r="C49" s="155"/>
      <c r="D49" s="156" t="s">
        <v>3087</v>
      </c>
      <c r="E49" s="157" t="s">
        <v>2474</v>
      </c>
      <c r="F49" s="157" t="s">
        <v>2474</v>
      </c>
      <c r="G49" s="157" t="s">
        <v>2474</v>
      </c>
      <c r="H49" s="157" t="s">
        <v>2474</v>
      </c>
      <c r="I49" s="73"/>
    </row>
    <row r="50" ht="22.5" customHeight="1">
      <c r="A50" s="154"/>
      <c r="B50" s="191"/>
      <c r="C50" s="155" t="s">
        <v>1323</v>
      </c>
      <c r="D50" s="156" t="s">
        <v>3088</v>
      </c>
      <c r="E50" s="157" t="s">
        <v>2474</v>
      </c>
      <c r="F50" s="157" t="s">
        <v>2474</v>
      </c>
      <c r="G50" s="157" t="s">
        <v>2474</v>
      </c>
      <c r="H50" s="157" t="s">
        <v>2474</v>
      </c>
      <c r="I50" s="73"/>
    </row>
    <row r="51" ht="22.5" customHeight="1">
      <c r="A51" s="154"/>
      <c r="B51" s="191"/>
      <c r="C51" s="155" t="s">
        <v>1236</v>
      </c>
      <c r="D51" s="156" t="s">
        <v>3089</v>
      </c>
      <c r="E51" s="157" t="s">
        <v>2474</v>
      </c>
      <c r="F51" s="157" t="s">
        <v>2474</v>
      </c>
      <c r="G51" s="157" t="s">
        <v>2474</v>
      </c>
      <c r="H51" s="157" t="s">
        <v>2474</v>
      </c>
      <c r="I51" s="73"/>
    </row>
    <row r="52" ht="22.5" customHeight="1">
      <c r="A52" s="154"/>
      <c r="B52" s="191"/>
      <c r="C52" s="155" t="s">
        <v>1240</v>
      </c>
      <c r="D52" s="156" t="s">
        <v>3090</v>
      </c>
      <c r="E52" s="157" t="s">
        <v>2474</v>
      </c>
      <c r="F52" s="157" t="s">
        <v>2474</v>
      </c>
      <c r="G52" s="157" t="s">
        <v>2474</v>
      </c>
      <c r="H52" s="157" t="s">
        <v>2474</v>
      </c>
      <c r="I52" s="73"/>
    </row>
    <row r="53" ht="22.5" customHeight="1">
      <c r="A53" s="154"/>
      <c r="B53" s="191"/>
      <c r="C53" s="155" t="s">
        <v>1061</v>
      </c>
      <c r="D53" s="156" t="s">
        <v>3091</v>
      </c>
      <c r="E53" s="157" t="s">
        <v>2474</v>
      </c>
      <c r="F53" s="157" t="s">
        <v>2480</v>
      </c>
      <c r="G53" s="157" t="s">
        <v>2474</v>
      </c>
      <c r="H53" s="157" t="s">
        <v>2480</v>
      </c>
      <c r="I53" s="73"/>
    </row>
    <row r="54" ht="22.5" customHeight="1">
      <c r="A54" s="154"/>
      <c r="B54" s="191"/>
      <c r="C54" s="155" t="s">
        <v>154</v>
      </c>
      <c r="D54" s="156" t="s">
        <v>3092</v>
      </c>
      <c r="E54" s="157" t="s">
        <v>2474</v>
      </c>
      <c r="F54" s="157" t="s">
        <v>2474</v>
      </c>
      <c r="G54" s="157" t="s">
        <v>2480</v>
      </c>
      <c r="H54" s="157" t="s">
        <v>2480</v>
      </c>
      <c r="I54" s="73"/>
    </row>
    <row r="55" ht="22.5" customHeight="1">
      <c r="A55" s="154"/>
      <c r="B55" s="191"/>
      <c r="C55" s="155" t="s">
        <v>1252</v>
      </c>
      <c r="D55" s="156" t="s">
        <v>3093</v>
      </c>
      <c r="E55" s="157" t="s">
        <v>2474</v>
      </c>
      <c r="F55" s="157" t="s">
        <v>2474</v>
      </c>
      <c r="G55" s="157" t="s">
        <v>2474</v>
      </c>
      <c r="H55" s="157" t="s">
        <v>2474</v>
      </c>
      <c r="I55" s="73"/>
    </row>
    <row r="56" ht="22.5" customHeight="1">
      <c r="A56" s="154"/>
      <c r="B56" s="191"/>
      <c r="C56" s="155" t="s">
        <v>1355</v>
      </c>
      <c r="D56" s="156" t="s">
        <v>3094</v>
      </c>
      <c r="E56" s="157" t="s">
        <v>2474</v>
      </c>
      <c r="F56" s="157" t="s">
        <v>2474</v>
      </c>
      <c r="G56" s="157" t="s">
        <v>2474</v>
      </c>
      <c r="H56" s="157" t="s">
        <v>2474</v>
      </c>
      <c r="I56" s="73"/>
    </row>
    <row r="57" ht="22.5" customHeight="1">
      <c r="A57" s="154"/>
      <c r="B57" s="191"/>
      <c r="C57" s="155"/>
      <c r="D57" s="156" t="s">
        <v>3095</v>
      </c>
      <c r="E57" s="157" t="s">
        <v>2474</v>
      </c>
      <c r="F57" s="157" t="s">
        <v>2474</v>
      </c>
      <c r="G57" s="157" t="s">
        <v>2474</v>
      </c>
      <c r="H57" s="157" t="s">
        <v>2474</v>
      </c>
      <c r="I57" s="73"/>
    </row>
    <row r="58" ht="22.5" customHeight="1">
      <c r="A58" s="154"/>
      <c r="B58" s="191"/>
      <c r="C58" s="155" t="s">
        <v>2071</v>
      </c>
      <c r="D58" s="156" t="s">
        <v>3096</v>
      </c>
      <c r="E58" s="157" t="s">
        <v>2474</v>
      </c>
      <c r="F58" s="157" t="s">
        <v>2474</v>
      </c>
      <c r="G58" s="157" t="s">
        <v>2474</v>
      </c>
      <c r="H58" s="157" t="s">
        <v>2474</v>
      </c>
      <c r="I58" s="73"/>
    </row>
    <row r="59" ht="22.5" customHeight="1">
      <c r="A59" s="154"/>
      <c r="B59" s="191"/>
      <c r="C59" s="155" t="s">
        <v>1266</v>
      </c>
      <c r="D59" s="156" t="s">
        <v>3097</v>
      </c>
      <c r="E59" s="157" t="s">
        <v>2474</v>
      </c>
      <c r="F59" s="157" t="s">
        <v>2474</v>
      </c>
      <c r="G59" s="157" t="s">
        <v>2474</v>
      </c>
      <c r="H59" s="157" t="s">
        <v>2474</v>
      </c>
      <c r="I59" s="73"/>
    </row>
    <row r="60" ht="22.5" customHeight="1">
      <c r="A60" s="154"/>
      <c r="B60" s="191"/>
      <c r="C60" s="155" t="s">
        <v>1268</v>
      </c>
      <c r="D60" s="156" t="s">
        <v>3098</v>
      </c>
      <c r="E60" s="157" t="s">
        <v>2474</v>
      </c>
      <c r="F60" s="157" t="s">
        <v>2474</v>
      </c>
      <c r="G60" s="157" t="s">
        <v>2474</v>
      </c>
      <c r="H60" s="157" t="s">
        <v>2474</v>
      </c>
      <c r="I60" s="73"/>
    </row>
    <row r="61" ht="22.5" customHeight="1">
      <c r="A61" s="154"/>
      <c r="B61" s="191"/>
      <c r="C61" s="155" t="s">
        <v>1317</v>
      </c>
      <c r="D61" s="156" t="s">
        <v>3099</v>
      </c>
      <c r="E61" s="157" t="s">
        <v>2474</v>
      </c>
      <c r="F61" s="157" t="s">
        <v>2474</v>
      </c>
      <c r="G61" s="157" t="s">
        <v>2474</v>
      </c>
      <c r="H61" s="157" t="s">
        <v>2474</v>
      </c>
      <c r="I61" s="73"/>
    </row>
    <row r="62" ht="22.5" customHeight="1">
      <c r="A62" s="154"/>
      <c r="B62" s="191"/>
      <c r="C62" s="155" t="s">
        <v>1749</v>
      </c>
      <c r="D62" s="156" t="s">
        <v>3100</v>
      </c>
      <c r="E62" s="157" t="s">
        <v>2474</v>
      </c>
      <c r="F62" s="157" t="s">
        <v>2474</v>
      </c>
      <c r="G62" s="157" t="s">
        <v>2474</v>
      </c>
      <c r="H62" s="157" t="s">
        <v>2474</v>
      </c>
      <c r="I62" s="73"/>
    </row>
    <row r="63" ht="22.5" customHeight="1">
      <c r="A63" s="154"/>
      <c r="B63" s="191"/>
      <c r="C63" s="155" t="s">
        <v>2086</v>
      </c>
      <c r="D63" s="156" t="s">
        <v>3101</v>
      </c>
      <c r="E63" s="157" t="s">
        <v>2474</v>
      </c>
      <c r="F63" s="157" t="s">
        <v>2474</v>
      </c>
      <c r="G63" s="157" t="s">
        <v>2474</v>
      </c>
      <c r="H63" s="157" t="s">
        <v>2474</v>
      </c>
      <c r="I63" s="73"/>
    </row>
    <row r="64" ht="22.5" customHeight="1">
      <c r="A64" s="154"/>
      <c r="B64" s="191"/>
      <c r="C64" s="155" t="s">
        <v>123</v>
      </c>
      <c r="D64" s="156" t="s">
        <v>3102</v>
      </c>
      <c r="E64" s="157" t="s">
        <v>2474</v>
      </c>
      <c r="F64" s="157" t="s">
        <v>2474</v>
      </c>
      <c r="G64" s="157" t="s">
        <v>2480</v>
      </c>
      <c r="H64" s="157" t="s">
        <v>2480</v>
      </c>
      <c r="I64" s="73"/>
    </row>
    <row r="65" ht="22.5" customHeight="1">
      <c r="A65" s="154"/>
      <c r="B65" s="191"/>
      <c r="C65" s="155" t="s">
        <v>465</v>
      </c>
      <c r="D65" s="156" t="s">
        <v>3103</v>
      </c>
      <c r="E65" s="157" t="s">
        <v>2480</v>
      </c>
      <c r="F65" s="157" t="s">
        <v>2480</v>
      </c>
      <c r="G65" s="157" t="s">
        <v>2474</v>
      </c>
      <c r="H65" s="157" t="s">
        <v>2474</v>
      </c>
      <c r="I65" s="73"/>
    </row>
    <row r="66" ht="22.5" customHeight="1">
      <c r="A66" s="154"/>
      <c r="B66" s="191"/>
      <c r="C66" s="155" t="s">
        <v>173</v>
      </c>
      <c r="D66" s="156" t="s">
        <v>3104</v>
      </c>
      <c r="E66" s="157" t="s">
        <v>2474</v>
      </c>
      <c r="F66" s="157" t="s">
        <v>2474</v>
      </c>
      <c r="G66" s="157" t="s">
        <v>2480</v>
      </c>
      <c r="H66" s="157" t="s">
        <v>2480</v>
      </c>
      <c r="I66" s="73"/>
    </row>
    <row r="67" ht="22.5" customHeight="1">
      <c r="A67" s="154"/>
      <c r="B67" s="191"/>
      <c r="C67" s="155" t="s">
        <v>1457</v>
      </c>
      <c r="D67" s="156" t="s">
        <v>3105</v>
      </c>
      <c r="E67" s="157" t="s">
        <v>2474</v>
      </c>
      <c r="F67" s="157" t="s">
        <v>2474</v>
      </c>
      <c r="G67" s="157" t="s">
        <v>2474</v>
      </c>
      <c r="H67" s="157" t="s">
        <v>2474</v>
      </c>
      <c r="I67" s="73"/>
    </row>
    <row r="68" ht="22.5" customHeight="1">
      <c r="A68" s="154"/>
      <c r="B68" s="191"/>
      <c r="C68" s="155" t="s">
        <v>286</v>
      </c>
      <c r="D68" s="156" t="s">
        <v>3106</v>
      </c>
      <c r="E68" s="157" t="s">
        <v>2474</v>
      </c>
      <c r="F68" s="157" t="s">
        <v>2474</v>
      </c>
      <c r="G68" s="157" t="s">
        <v>2474</v>
      </c>
      <c r="H68" s="157" t="s">
        <v>2474</v>
      </c>
      <c r="I68" s="73"/>
    </row>
    <row r="69" ht="22.5" customHeight="1">
      <c r="A69" s="154"/>
      <c r="B69" s="191"/>
      <c r="C69" s="155"/>
      <c r="D69" s="156" t="s">
        <v>3107</v>
      </c>
      <c r="E69" s="157" t="s">
        <v>2474</v>
      </c>
      <c r="F69" s="157" t="s">
        <v>2474</v>
      </c>
      <c r="G69" s="157" t="s">
        <v>2474</v>
      </c>
      <c r="H69" s="157" t="s">
        <v>2474</v>
      </c>
      <c r="I69" s="73"/>
    </row>
    <row r="70" ht="22.5" customHeight="1">
      <c r="A70" s="154"/>
      <c r="B70" s="191"/>
      <c r="C70" s="155" t="s">
        <v>24</v>
      </c>
      <c r="D70" s="156" t="s">
        <v>3108</v>
      </c>
      <c r="E70" s="157" t="s">
        <v>2474</v>
      </c>
      <c r="F70" s="157" t="s">
        <v>2474</v>
      </c>
      <c r="G70" s="157" t="s">
        <v>2474</v>
      </c>
      <c r="H70" s="157" t="s">
        <v>2474</v>
      </c>
      <c r="I70" s="73"/>
    </row>
    <row r="71" ht="22.5" customHeight="1">
      <c r="A71" s="154"/>
      <c r="B71" s="191"/>
      <c r="C71" s="155"/>
      <c r="D71" s="156" t="s">
        <v>3109</v>
      </c>
      <c r="E71" s="157" t="s">
        <v>2474</v>
      </c>
      <c r="F71" s="157" t="s">
        <v>2474</v>
      </c>
      <c r="G71" s="157" t="s">
        <v>2474</v>
      </c>
      <c r="H71" s="157" t="s">
        <v>2474</v>
      </c>
      <c r="I71" s="73"/>
    </row>
    <row r="72" ht="22.5" customHeight="1">
      <c r="A72" s="154"/>
      <c r="B72" s="191"/>
      <c r="C72" s="155" t="s">
        <v>397</v>
      </c>
      <c r="D72" s="156" t="s">
        <v>3110</v>
      </c>
      <c r="E72" s="157" t="s">
        <v>3111</v>
      </c>
      <c r="F72" s="157" t="s">
        <v>3112</v>
      </c>
      <c r="G72" s="157" t="s">
        <v>3113</v>
      </c>
      <c r="H72" s="157" t="s">
        <v>3114</v>
      </c>
      <c r="I72" s="73"/>
    </row>
    <row r="73" ht="22.5" customHeight="1">
      <c r="A73" s="154"/>
      <c r="B73" s="191"/>
      <c r="C73" s="155"/>
      <c r="D73" s="156" t="s">
        <v>3115</v>
      </c>
      <c r="E73" s="157" t="s">
        <v>2474</v>
      </c>
      <c r="F73" s="157" t="s">
        <v>2474</v>
      </c>
      <c r="G73" s="157" t="s">
        <v>2474</v>
      </c>
      <c r="H73" s="157" t="s">
        <v>2474</v>
      </c>
      <c r="I73" s="73"/>
    </row>
    <row r="74" ht="22.5" customHeight="1">
      <c r="A74" s="154"/>
      <c r="B74" s="191"/>
      <c r="C74" s="155" t="s">
        <v>1023</v>
      </c>
      <c r="D74" s="156" t="s">
        <v>3116</v>
      </c>
      <c r="E74" s="157" t="s">
        <v>2474</v>
      </c>
      <c r="F74" s="157" t="s">
        <v>2474</v>
      </c>
      <c r="G74" s="157" t="s">
        <v>2474</v>
      </c>
      <c r="H74" s="157" t="s">
        <v>2474</v>
      </c>
      <c r="I74" s="73"/>
    </row>
    <row r="75" ht="22.5" customHeight="1">
      <c r="A75" s="154"/>
      <c r="B75" s="191"/>
      <c r="C75" s="155" t="s">
        <v>1839</v>
      </c>
      <c r="D75" s="156" t="s">
        <v>3117</v>
      </c>
      <c r="E75" s="157" t="s">
        <v>2474</v>
      </c>
      <c r="F75" s="157" t="s">
        <v>2474</v>
      </c>
      <c r="G75" s="157" t="s">
        <v>2474</v>
      </c>
      <c r="H75" s="157" t="s">
        <v>2474</v>
      </c>
      <c r="I75" s="73"/>
    </row>
    <row r="76" ht="22.5" customHeight="1">
      <c r="A76" s="154"/>
      <c r="B76" s="191"/>
      <c r="C76" s="155"/>
      <c r="D76" s="156" t="s">
        <v>3118</v>
      </c>
      <c r="E76" s="157" t="s">
        <v>2474</v>
      </c>
      <c r="F76" s="157" t="s">
        <v>2474</v>
      </c>
      <c r="G76" s="157" t="s">
        <v>2474</v>
      </c>
      <c r="H76" s="157" t="s">
        <v>2474</v>
      </c>
      <c r="I76" s="73"/>
    </row>
    <row r="77" ht="22.5" customHeight="1">
      <c r="A77" s="154"/>
      <c r="B77" s="191"/>
      <c r="C77" s="155" t="s">
        <v>2063</v>
      </c>
      <c r="D77" s="156" t="s">
        <v>3119</v>
      </c>
      <c r="E77" s="157" t="s">
        <v>2474</v>
      </c>
      <c r="F77" s="157" t="s">
        <v>2474</v>
      </c>
      <c r="G77" s="157" t="s">
        <v>2474</v>
      </c>
      <c r="H77" s="157" t="s">
        <v>2474</v>
      </c>
      <c r="I77" s="73"/>
    </row>
    <row r="78" ht="22.5" customHeight="1">
      <c r="A78" s="154"/>
      <c r="B78" s="191"/>
      <c r="C78" s="155"/>
      <c r="D78" s="156" t="s">
        <v>3120</v>
      </c>
      <c r="E78" s="157" t="s">
        <v>2474</v>
      </c>
      <c r="F78" s="157" t="s">
        <v>2474</v>
      </c>
      <c r="G78" s="157" t="s">
        <v>2474</v>
      </c>
      <c r="H78" s="157" t="s">
        <v>2474</v>
      </c>
      <c r="I78" s="73"/>
    </row>
    <row r="79" ht="22.5" customHeight="1">
      <c r="A79" s="154"/>
      <c r="B79" s="191"/>
      <c r="C79" s="155" t="s">
        <v>2088</v>
      </c>
      <c r="D79" s="156" t="s">
        <v>3121</v>
      </c>
      <c r="E79" s="157" t="s">
        <v>2474</v>
      </c>
      <c r="F79" s="157" t="s">
        <v>2474</v>
      </c>
      <c r="G79" s="157" t="s">
        <v>2474</v>
      </c>
      <c r="H79" s="157" t="s">
        <v>2474</v>
      </c>
      <c r="I79" s="73"/>
    </row>
    <row r="80" ht="22.5" customHeight="1">
      <c r="A80" s="168"/>
      <c r="B80" s="192"/>
      <c r="C80" s="159" t="s">
        <v>1270</v>
      </c>
      <c r="D80" s="170" t="s">
        <v>3122</v>
      </c>
      <c r="E80" s="171" t="s">
        <v>2666</v>
      </c>
      <c r="F80" s="172" t="s">
        <v>2481</v>
      </c>
      <c r="G80" s="171" t="s">
        <v>2666</v>
      </c>
      <c r="H80" s="173" t="s">
        <v>2481</v>
      </c>
      <c r="I80" s="73"/>
    </row>
    <row r="81" ht="22.5" customHeight="1">
      <c r="A81" s="174"/>
      <c r="B81" s="192"/>
      <c r="C81" s="159" t="s">
        <v>1015</v>
      </c>
      <c r="D81" s="175" t="s">
        <v>3123</v>
      </c>
      <c r="E81" s="176" t="s">
        <v>2666</v>
      </c>
      <c r="F81" s="177" t="s">
        <v>2481</v>
      </c>
      <c r="G81" s="176" t="s">
        <v>2666</v>
      </c>
      <c r="H81" s="178" t="s">
        <v>2481</v>
      </c>
      <c r="I81" s="73"/>
    </row>
    <row r="82" ht="22.5" customHeight="1">
      <c r="A82" s="168"/>
      <c r="B82" s="193"/>
      <c r="C82" s="180"/>
      <c r="D82" s="170" t="s">
        <v>3124</v>
      </c>
      <c r="E82" s="171" t="s">
        <v>2666</v>
      </c>
      <c r="F82" s="172" t="s">
        <v>3125</v>
      </c>
      <c r="G82" s="171" t="s">
        <v>2666</v>
      </c>
      <c r="H82" s="173" t="s">
        <v>3126</v>
      </c>
      <c r="I82" s="73"/>
    </row>
    <row r="83" ht="22.5" customHeight="1">
      <c r="A83" s="174"/>
      <c r="B83" s="192"/>
      <c r="C83" s="159" t="s">
        <v>1283</v>
      </c>
      <c r="D83" s="175" t="s">
        <v>3127</v>
      </c>
      <c r="E83" s="176" t="s">
        <v>2666</v>
      </c>
      <c r="F83" s="177" t="s">
        <v>2481</v>
      </c>
      <c r="G83" s="176" t="s">
        <v>2666</v>
      </c>
      <c r="H83" s="178" t="s">
        <v>2481</v>
      </c>
      <c r="I83" s="73"/>
    </row>
    <row r="84" ht="22.5" customHeight="1">
      <c r="A84" s="168"/>
      <c r="B84" s="192"/>
      <c r="C84" s="159" t="s">
        <v>1018</v>
      </c>
      <c r="D84" s="170" t="s">
        <v>3128</v>
      </c>
      <c r="E84" s="171" t="s">
        <v>2666</v>
      </c>
      <c r="F84" s="172" t="s">
        <v>2481</v>
      </c>
      <c r="G84" s="171" t="s">
        <v>2666</v>
      </c>
      <c r="H84" s="173" t="s">
        <v>2481</v>
      </c>
      <c r="I84" s="73"/>
    </row>
    <row r="85" ht="22.5" customHeight="1">
      <c r="A85" s="174"/>
      <c r="B85" s="192"/>
      <c r="C85" s="159" t="s">
        <v>1063</v>
      </c>
      <c r="D85" s="175" t="s">
        <v>3129</v>
      </c>
      <c r="E85" s="176" t="s">
        <v>2666</v>
      </c>
      <c r="F85" s="177" t="s">
        <v>2481</v>
      </c>
      <c r="G85" s="176" t="s">
        <v>2666</v>
      </c>
      <c r="H85" s="178" t="s">
        <v>2481</v>
      </c>
      <c r="I85" s="73"/>
    </row>
    <row r="86" ht="22.5" customHeight="1">
      <c r="A86" s="168"/>
      <c r="B86" s="192"/>
      <c r="C86" s="159" t="s">
        <v>1258</v>
      </c>
      <c r="D86" s="170" t="s">
        <v>3130</v>
      </c>
      <c r="E86" s="171" t="s">
        <v>2666</v>
      </c>
      <c r="F86" s="172" t="s">
        <v>2481</v>
      </c>
      <c r="G86" s="171" t="s">
        <v>2666</v>
      </c>
      <c r="H86" s="173" t="s">
        <v>2481</v>
      </c>
      <c r="I86" s="73"/>
    </row>
    <row r="87" ht="22.5" customHeight="1">
      <c r="A87" s="174"/>
      <c r="B87" s="192"/>
      <c r="C87" s="159" t="s">
        <v>1013</v>
      </c>
      <c r="D87" s="175" t="s">
        <v>3131</v>
      </c>
      <c r="E87" s="176" t="s">
        <v>2666</v>
      </c>
      <c r="F87" s="177" t="s">
        <v>2481</v>
      </c>
      <c r="G87" s="176" t="s">
        <v>2666</v>
      </c>
      <c r="H87" s="178" t="s">
        <v>2481</v>
      </c>
      <c r="I87" s="73"/>
    </row>
    <row r="88" ht="22.5" customHeight="1">
      <c r="A88" s="168"/>
      <c r="B88" s="192"/>
      <c r="C88" s="159" t="s">
        <v>1020</v>
      </c>
      <c r="D88" s="170" t="s">
        <v>3132</v>
      </c>
      <c r="E88" s="171" t="s">
        <v>2666</v>
      </c>
      <c r="F88" s="172" t="s">
        <v>2481</v>
      </c>
      <c r="G88" s="171" t="s">
        <v>2666</v>
      </c>
      <c r="H88" s="173" t="s">
        <v>2481</v>
      </c>
      <c r="I88" s="73"/>
    </row>
    <row r="89" ht="22.5" customHeight="1">
      <c r="A89" s="174"/>
      <c r="B89" s="192"/>
      <c r="C89" s="159" t="s">
        <v>1007</v>
      </c>
      <c r="D89" s="175" t="s">
        <v>3133</v>
      </c>
      <c r="E89" s="176" t="s">
        <v>2666</v>
      </c>
      <c r="F89" s="177" t="s">
        <v>2481</v>
      </c>
      <c r="G89" s="176" t="s">
        <v>2666</v>
      </c>
      <c r="H89" s="178" t="s">
        <v>2481</v>
      </c>
      <c r="I89" s="73"/>
    </row>
    <row r="90" ht="22.5" customHeight="1">
      <c r="A90" s="168"/>
      <c r="B90" s="192"/>
      <c r="C90" s="159" t="s">
        <v>1009</v>
      </c>
      <c r="D90" s="170" t="s">
        <v>3134</v>
      </c>
      <c r="E90" s="171" t="s">
        <v>2666</v>
      </c>
      <c r="F90" s="172" t="s">
        <v>2481</v>
      </c>
      <c r="G90" s="171" t="s">
        <v>2666</v>
      </c>
      <c r="H90" s="173" t="s">
        <v>2481</v>
      </c>
      <c r="I90" s="73"/>
    </row>
    <row r="91" ht="22.5" customHeight="1">
      <c r="A91" s="174"/>
      <c r="B91" s="192"/>
      <c r="C91" s="159" t="s">
        <v>753</v>
      </c>
      <c r="D91" s="175" t="s">
        <v>3135</v>
      </c>
      <c r="E91" s="176" t="s">
        <v>2666</v>
      </c>
      <c r="F91" s="177" t="s">
        <v>2481</v>
      </c>
      <c r="G91" s="176" t="s">
        <v>2666</v>
      </c>
      <c r="H91" s="178" t="s">
        <v>2481</v>
      </c>
      <c r="I91" s="73"/>
    </row>
    <row r="92" ht="22.5" customHeight="1">
      <c r="A92" s="168"/>
      <c r="B92" s="192"/>
      <c r="C92" s="159" t="s">
        <v>1107</v>
      </c>
      <c r="D92" s="170" t="s">
        <v>3136</v>
      </c>
      <c r="E92" s="171" t="s">
        <v>2666</v>
      </c>
      <c r="F92" s="172" t="s">
        <v>2481</v>
      </c>
      <c r="G92" s="171" t="s">
        <v>2666</v>
      </c>
      <c r="H92" s="173" t="s">
        <v>2481</v>
      </c>
      <c r="I92" s="73"/>
    </row>
    <row r="93" ht="22.5" customHeight="1">
      <c r="A93" s="174"/>
      <c r="B93" s="192"/>
      <c r="C93" s="159" t="s">
        <v>1260</v>
      </c>
      <c r="D93" s="175" t="s">
        <v>3137</v>
      </c>
      <c r="E93" s="176" t="s">
        <v>2666</v>
      </c>
      <c r="F93" s="177" t="s">
        <v>2481</v>
      </c>
      <c r="G93" s="176" t="s">
        <v>2666</v>
      </c>
      <c r="H93" s="178" t="s">
        <v>2481</v>
      </c>
      <c r="I93" s="73"/>
    </row>
    <row r="94" ht="22.5" customHeight="1">
      <c r="A94" s="168"/>
      <c r="B94" s="192"/>
      <c r="C94" s="159" t="s">
        <v>1105</v>
      </c>
      <c r="D94" s="170" t="s">
        <v>3138</v>
      </c>
      <c r="E94" s="171" t="s">
        <v>2666</v>
      </c>
      <c r="F94" s="172" t="s">
        <v>2481</v>
      </c>
      <c r="G94" s="171" t="s">
        <v>2666</v>
      </c>
      <c r="H94" s="173" t="s">
        <v>2481</v>
      </c>
      <c r="I94" s="73"/>
    </row>
    <row r="95" ht="22.5" customHeight="1">
      <c r="A95" s="174"/>
      <c r="B95" s="192"/>
      <c r="C95" s="159" t="s">
        <v>1091</v>
      </c>
      <c r="D95" s="175" t="s">
        <v>3139</v>
      </c>
      <c r="E95" s="176" t="s">
        <v>2666</v>
      </c>
      <c r="F95" s="177" t="s">
        <v>2481</v>
      </c>
      <c r="G95" s="176" t="s">
        <v>2666</v>
      </c>
      <c r="H95" s="178" t="s">
        <v>2481</v>
      </c>
      <c r="I95" s="73"/>
    </row>
    <row r="96" ht="22.5" customHeight="1">
      <c r="A96" s="168"/>
      <c r="B96" s="192"/>
      <c r="C96" s="159" t="s">
        <v>1277</v>
      </c>
      <c r="D96" s="170" t="s">
        <v>3140</v>
      </c>
      <c r="E96" s="171" t="s">
        <v>2666</v>
      </c>
      <c r="F96" s="172" t="s">
        <v>2481</v>
      </c>
      <c r="G96" s="171" t="s">
        <v>2666</v>
      </c>
      <c r="H96" s="173" t="s">
        <v>2481</v>
      </c>
      <c r="I96" s="73"/>
    </row>
    <row r="97" ht="22.5" customHeight="1">
      <c r="A97" s="174"/>
      <c r="B97" s="192"/>
      <c r="C97" s="159" t="s">
        <v>1279</v>
      </c>
      <c r="D97" s="175" t="s">
        <v>3141</v>
      </c>
      <c r="E97" s="176" t="s">
        <v>2666</v>
      </c>
      <c r="F97" s="177" t="s">
        <v>2481</v>
      </c>
      <c r="G97" s="176" t="s">
        <v>2666</v>
      </c>
      <c r="H97" s="178" t="s">
        <v>2481</v>
      </c>
      <c r="I97" s="73"/>
    </row>
    <row r="98" ht="22.5" customHeight="1">
      <c r="A98" s="168"/>
      <c r="B98" s="192"/>
      <c r="C98" s="159" t="s">
        <v>1275</v>
      </c>
      <c r="D98" s="170" t="s">
        <v>3142</v>
      </c>
      <c r="E98" s="171" t="s">
        <v>2666</v>
      </c>
      <c r="F98" s="172" t="s">
        <v>2481</v>
      </c>
      <c r="G98" s="171" t="s">
        <v>2666</v>
      </c>
      <c r="H98" s="173" t="s">
        <v>2481</v>
      </c>
      <c r="I98" s="73"/>
    </row>
    <row r="99" ht="22.5" customHeight="1">
      <c r="A99" s="174"/>
      <c r="B99" s="192"/>
      <c r="C99" s="159" t="s">
        <v>1262</v>
      </c>
      <c r="D99" s="175" t="s">
        <v>3143</v>
      </c>
      <c r="E99" s="176" t="s">
        <v>2666</v>
      </c>
      <c r="F99" s="177" t="s">
        <v>2481</v>
      </c>
      <c r="G99" s="176" t="s">
        <v>2666</v>
      </c>
      <c r="H99" s="178" t="s">
        <v>2481</v>
      </c>
      <c r="I99" s="73"/>
    </row>
    <row r="100" ht="22.5" customHeight="1">
      <c r="A100" s="168"/>
      <c r="B100" s="192"/>
      <c r="C100" s="159" t="s">
        <v>1103</v>
      </c>
      <c r="D100" s="170" t="s">
        <v>3144</v>
      </c>
      <c r="E100" s="171" t="s">
        <v>2666</v>
      </c>
      <c r="F100" s="172" t="s">
        <v>2481</v>
      </c>
      <c r="G100" s="171" t="s">
        <v>2666</v>
      </c>
      <c r="H100" s="173" t="s">
        <v>2481</v>
      </c>
      <c r="I100" s="73"/>
    </row>
    <row r="101" ht="22.5" customHeight="1">
      <c r="A101" s="174"/>
      <c r="B101" s="192"/>
      <c r="C101" s="159" t="s">
        <v>1281</v>
      </c>
      <c r="D101" s="175" t="s">
        <v>3145</v>
      </c>
      <c r="E101" s="176" t="s">
        <v>2666</v>
      </c>
      <c r="F101" s="176" t="s">
        <v>2666</v>
      </c>
      <c r="G101" s="176" t="s">
        <v>2666</v>
      </c>
      <c r="H101" s="194" t="s">
        <v>2666</v>
      </c>
      <c r="I101" s="73"/>
    </row>
    <row r="102" ht="22.5" customHeight="1">
      <c r="A102" s="182"/>
      <c r="B102" s="192"/>
      <c r="C102" s="159" t="s">
        <v>960</v>
      </c>
      <c r="D102" s="183" t="s">
        <v>3146</v>
      </c>
      <c r="E102" s="184" t="s">
        <v>2666</v>
      </c>
      <c r="F102" s="184" t="s">
        <v>2666</v>
      </c>
      <c r="G102" s="184" t="s">
        <v>2666</v>
      </c>
      <c r="H102" s="185" t="s">
        <v>2666</v>
      </c>
      <c r="I102" s="73"/>
    </row>
  </sheetData>
  <dataValidations>
    <dataValidation type="list" allowBlank="1" sqref="B2:B102">
      <formula1>"Option 1,Option 2"</formula1>
    </dataValidation>
  </dataValidations>
  <printOptions/>
  <pageMargins bottom="0.5" footer="0.0" header="0.0" left="0.75" right="0.75" top="0.75"/>
  <pageSetup orientation="landscape"/>
  <drawing r:id="rId1"/>
  <tableParts count="1">
    <tablePart r:id="rId3"/>
  </tableParts>
</worksheet>
</file>